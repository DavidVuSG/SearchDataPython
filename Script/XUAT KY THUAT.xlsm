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NGUYENVU\SHARING\CỦA NGUYENVU\SOAN HANG\"/>
    </mc:Choice>
  </mc:AlternateContent>
  <xr:revisionPtr revIDLastSave="0" documentId="13_ncr:1_{5B4FAA48-63A7-4D0D-8857-72115B43B91A}" xr6:coauthVersionLast="45" xr6:coauthVersionMax="45" xr10:uidLastSave="{00000000-0000-0000-0000-000000000000}"/>
  <bookViews>
    <workbookView xWindow="960" yWindow="30" windowWidth="23040" windowHeight="13470" activeTab="12" xr2:uid="{A36C3529-2A74-4897-B7D4-4CF861234C96}"/>
  </bookViews>
  <sheets>
    <sheet name="IMPORT" sheetId="2" r:id="rId1"/>
    <sheet name="PV" sheetId="4" state="hidden" r:id="rId2"/>
    <sheet name="KIEMHANG" sheetId="5" state="hidden" r:id="rId3"/>
    <sheet name="DASHBOARD" sheetId="1" state="hidden" r:id="rId4"/>
    <sheet name="PVHANGCONT" sheetId="11" state="hidden" r:id="rId5"/>
    <sheet name="LSHANGCONT" sheetId="12" r:id="rId6"/>
    <sheet name="IMPORTLISTCONT" sheetId="14" state="hidden" r:id="rId7"/>
    <sheet name="BLOCK CONT" sheetId="9" r:id="rId8"/>
    <sheet name="LIST LPN BLOCK" sheetId="10" state="hidden" r:id="rId9"/>
    <sheet name="LISTBLOCK" sheetId="7" state="hidden" r:id="rId10"/>
    <sheet name="CONT" sheetId="16" r:id="rId11"/>
    <sheet name="ĐƠN MẪU" sheetId="13" state="hidden" r:id="rId12"/>
    <sheet name="LISTCONT" sheetId="15" r:id="rId13"/>
    <sheet name="PACK" sheetId="3" r:id="rId14"/>
  </sheets>
  <functionGroups builtInGroupCount="19"/>
  <definedNames>
    <definedName name="_xlnm._FilterDatabase" localSheetId="7" hidden="1">'BLOCK CONT'!$H$3:$K$53</definedName>
    <definedName name="_xlnm._FilterDatabase" localSheetId="3" hidden="1">DASHBOARD!$A$4:$L$4</definedName>
    <definedName name="_xlnm._FilterDatabase" localSheetId="11" hidden="1">'ĐƠN MẪU'!$A$1:$E$60</definedName>
    <definedName name="_xlnm._FilterDatabase" localSheetId="12" hidden="1">LISTCONT!$A$3:$E$27</definedName>
    <definedName name="_xlnm._FilterDatabase" localSheetId="5" hidden="1">LSHANGCONT!$L$2:$P$2</definedName>
    <definedName name="_xlnm._FilterDatabase" localSheetId="13" hidden="1">PACK!$A$1:$F$3226</definedName>
  </definedNames>
  <calcPr calcId="191029"/>
  <pivotCaches>
    <pivotCache cacheId="178" r:id="rId15"/>
    <pivotCache cacheId="182" r:id="rId16"/>
    <pivotCache cacheId="185" r:id="rId17"/>
    <pivotCache cacheId="188" r:id="rId18"/>
    <pivotCache cacheId="192" r:id="rId19"/>
    <pivotCache cacheId="19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11" l="1"/>
  <c r="H3" i="11"/>
  <c r="H4" i="11"/>
  <c r="H5" i="11"/>
  <c r="H6" i="11"/>
  <c r="H7" i="11"/>
  <c r="G2" i="11"/>
  <c r="J2" i="11" s="1"/>
  <c r="G3" i="11"/>
  <c r="J3" i="11" s="1"/>
  <c r="G4" i="11"/>
  <c r="J4" i="11" s="1"/>
  <c r="G5" i="11"/>
  <c r="J5" i="11" s="1"/>
  <c r="G6" i="11"/>
  <c r="J6" i="11" s="1"/>
  <c r="G7" i="11"/>
  <c r="J7" i="11" s="1"/>
  <c r="F2" i="11"/>
  <c r="I2" i="11" s="1"/>
  <c r="K2" i="11" s="1"/>
  <c r="L2" i="11" s="1"/>
  <c r="F3" i="11"/>
  <c r="I3" i="11" s="1"/>
  <c r="K3" i="11" s="1"/>
  <c r="L3" i="11" s="1"/>
  <c r="F4" i="11"/>
  <c r="I4" i="11" s="1"/>
  <c r="K4" i="11" s="1"/>
  <c r="L4" i="11" s="1"/>
  <c r="F5" i="11"/>
  <c r="I5" i="11" s="1"/>
  <c r="K5" i="11" s="1"/>
  <c r="L5" i="11" s="1"/>
  <c r="F6" i="11"/>
  <c r="I6" i="11" s="1"/>
  <c r="K6" i="11" s="1"/>
  <c r="L6" i="11" s="1"/>
  <c r="F7" i="11"/>
  <c r="I7" i="11" s="1"/>
  <c r="K7" i="11" s="1"/>
  <c r="L7" i="11" s="1"/>
  <c r="E2" i="11"/>
  <c r="E3" i="11"/>
  <c r="E4" i="11"/>
  <c r="E5" i="11"/>
  <c r="E6" i="11"/>
  <c r="E7" i="11"/>
  <c r="D2" i="11"/>
  <c r="D3" i="11"/>
  <c r="D4" i="11"/>
  <c r="D5" i="11"/>
  <c r="D6" i="11"/>
  <c r="D7" i="11"/>
  <c r="H8" i="11" l="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G8" i="11"/>
  <c r="J8" i="11" s="1"/>
  <c r="G9" i="11"/>
  <c r="J9" i="11" s="1"/>
  <c r="G10" i="11"/>
  <c r="J10" i="11" s="1"/>
  <c r="G11" i="11"/>
  <c r="J11" i="11" s="1"/>
  <c r="G12" i="11"/>
  <c r="J12" i="11" s="1"/>
  <c r="G13" i="11"/>
  <c r="J13" i="11" s="1"/>
  <c r="G14" i="11"/>
  <c r="J14" i="11" s="1"/>
  <c r="G15" i="11"/>
  <c r="J15" i="11" s="1"/>
  <c r="G16" i="11"/>
  <c r="J16" i="11" s="1"/>
  <c r="G17" i="11"/>
  <c r="J17" i="11" s="1"/>
  <c r="G18" i="11"/>
  <c r="J18" i="11" s="1"/>
  <c r="G19" i="11"/>
  <c r="J19" i="11" s="1"/>
  <c r="G20" i="11"/>
  <c r="J20" i="11" s="1"/>
  <c r="G21" i="11"/>
  <c r="J21" i="11" s="1"/>
  <c r="G22" i="11"/>
  <c r="J22" i="11" s="1"/>
  <c r="G23" i="11"/>
  <c r="J23" i="11" s="1"/>
  <c r="G24" i="11"/>
  <c r="J24" i="11" s="1"/>
  <c r="G25" i="11"/>
  <c r="J25" i="11" s="1"/>
  <c r="G26" i="11"/>
  <c r="J26" i="11" s="1"/>
  <c r="G27" i="11"/>
  <c r="J27" i="11" s="1"/>
  <c r="G28" i="11"/>
  <c r="J28" i="11" s="1"/>
  <c r="G29" i="11"/>
  <c r="J29" i="11" s="1"/>
  <c r="G30" i="11"/>
  <c r="J30" i="11" s="1"/>
  <c r="G31" i="11"/>
  <c r="J31" i="11" s="1"/>
  <c r="G32" i="11"/>
  <c r="J32" i="11" s="1"/>
  <c r="G33" i="11"/>
  <c r="J33" i="11" s="1"/>
  <c r="G34" i="11"/>
  <c r="J34" i="11" s="1"/>
  <c r="F8" i="11"/>
  <c r="I8" i="11" s="1"/>
  <c r="K8" i="11" s="1"/>
  <c r="L8" i="11" s="1"/>
  <c r="F9" i="11"/>
  <c r="I9" i="11" s="1"/>
  <c r="K9" i="11" s="1"/>
  <c r="L9" i="11" s="1"/>
  <c r="F10" i="11"/>
  <c r="I10" i="11" s="1"/>
  <c r="K10" i="11" s="1"/>
  <c r="L10" i="11" s="1"/>
  <c r="F11" i="11"/>
  <c r="I11" i="11" s="1"/>
  <c r="K11" i="11" s="1"/>
  <c r="L11" i="11" s="1"/>
  <c r="F12" i="11"/>
  <c r="I12" i="11" s="1"/>
  <c r="K12" i="11" s="1"/>
  <c r="L12" i="11" s="1"/>
  <c r="F13" i="11"/>
  <c r="I13" i="11" s="1"/>
  <c r="K13" i="11" s="1"/>
  <c r="L13" i="11" s="1"/>
  <c r="F14" i="11"/>
  <c r="I14" i="11" s="1"/>
  <c r="K14" i="11" s="1"/>
  <c r="L14" i="11" s="1"/>
  <c r="F15" i="11"/>
  <c r="I15" i="11" s="1"/>
  <c r="K15" i="11" s="1"/>
  <c r="L15" i="11" s="1"/>
  <c r="F16" i="11"/>
  <c r="I16" i="11" s="1"/>
  <c r="K16" i="11" s="1"/>
  <c r="L16" i="11" s="1"/>
  <c r="F17" i="11"/>
  <c r="I17" i="11" s="1"/>
  <c r="K17" i="11" s="1"/>
  <c r="L17" i="11" s="1"/>
  <c r="F18" i="11"/>
  <c r="I18" i="11" s="1"/>
  <c r="K18" i="11" s="1"/>
  <c r="L18" i="11" s="1"/>
  <c r="F19" i="11"/>
  <c r="I19" i="11" s="1"/>
  <c r="K19" i="11" s="1"/>
  <c r="L19" i="11" s="1"/>
  <c r="F20" i="11"/>
  <c r="I20" i="11" s="1"/>
  <c r="K20" i="11" s="1"/>
  <c r="L20" i="11" s="1"/>
  <c r="F21" i="11"/>
  <c r="I21" i="11" s="1"/>
  <c r="K21" i="11" s="1"/>
  <c r="L21" i="11" s="1"/>
  <c r="F22" i="11"/>
  <c r="I22" i="11" s="1"/>
  <c r="K22" i="11" s="1"/>
  <c r="L22" i="11" s="1"/>
  <c r="F23" i="11"/>
  <c r="I23" i="11" s="1"/>
  <c r="K23" i="11" s="1"/>
  <c r="L23" i="11" s="1"/>
  <c r="F24" i="11"/>
  <c r="I24" i="11" s="1"/>
  <c r="K24" i="11" s="1"/>
  <c r="L24" i="11" s="1"/>
  <c r="F25" i="11"/>
  <c r="I25" i="11" s="1"/>
  <c r="K25" i="11" s="1"/>
  <c r="L25" i="11" s="1"/>
  <c r="F26" i="11"/>
  <c r="I26" i="11" s="1"/>
  <c r="K26" i="11" s="1"/>
  <c r="L26" i="11" s="1"/>
  <c r="F27" i="11"/>
  <c r="I27" i="11" s="1"/>
  <c r="K27" i="11" s="1"/>
  <c r="L27" i="11" s="1"/>
  <c r="F28" i="11"/>
  <c r="I28" i="11" s="1"/>
  <c r="K28" i="11" s="1"/>
  <c r="L28" i="11" s="1"/>
  <c r="F29" i="11"/>
  <c r="I29" i="11" s="1"/>
  <c r="K29" i="11" s="1"/>
  <c r="L29" i="11" s="1"/>
  <c r="F30" i="11"/>
  <c r="I30" i="11" s="1"/>
  <c r="K30" i="11" s="1"/>
  <c r="L30" i="11" s="1"/>
  <c r="F31" i="11"/>
  <c r="I31" i="11" s="1"/>
  <c r="K31" i="11" s="1"/>
  <c r="L31" i="11" s="1"/>
  <c r="F32" i="11"/>
  <c r="I32" i="11" s="1"/>
  <c r="K32" i="11" s="1"/>
  <c r="L32" i="11" s="1"/>
  <c r="F33" i="11"/>
  <c r="I33" i="11" s="1"/>
  <c r="K33" i="11" s="1"/>
  <c r="L33" i="11" s="1"/>
  <c r="F34" i="11"/>
  <c r="I34" i="11" s="1"/>
  <c r="K34" i="11" s="1"/>
  <c r="L34" i="11" s="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E3354" i="3"/>
  <c r="E3353" i="3"/>
  <c r="E3352" i="3"/>
  <c r="E3351" i="3"/>
  <c r="E3350" i="3"/>
  <c r="E3347" i="3"/>
  <c r="E3346" i="3"/>
  <c r="E3345" i="3"/>
  <c r="E3344" i="3"/>
  <c r="E3343" i="3"/>
  <c r="E3342" i="3"/>
  <c r="E3341" i="3"/>
  <c r="E3340" i="3"/>
  <c r="E3339" i="3"/>
  <c r="E3336" i="3"/>
  <c r="E3335" i="3"/>
  <c r="E3334" i="3"/>
  <c r="E3333" i="3"/>
  <c r="E3332" i="3"/>
  <c r="E3331" i="3"/>
  <c r="E3330" i="3"/>
  <c r="E3329" i="3"/>
  <c r="E3328" i="3"/>
  <c r="E3327" i="3"/>
  <c r="E3326" i="3"/>
  <c r="E3325" i="3"/>
  <c r="E3322" i="3"/>
  <c r="E3319" i="3"/>
  <c r="E3316" i="3"/>
  <c r="E3313" i="3"/>
  <c r="E3310" i="3"/>
  <c r="E3307" i="3"/>
  <c r="E3306" i="3"/>
  <c r="D3305" i="3"/>
  <c r="D3304" i="3"/>
  <c r="D3301" i="3"/>
  <c r="D3300" i="3"/>
  <c r="E3299" i="3"/>
  <c r="E3298" i="3"/>
  <c r="E3297" i="3"/>
  <c r="E3292" i="3"/>
  <c r="E3291" i="3"/>
  <c r="E3290" i="3"/>
  <c r="E3289" i="3"/>
  <c r="E3288" i="3"/>
  <c r="E3287" i="3"/>
  <c r="E3286" i="3"/>
  <c r="E3285" i="3"/>
  <c r="E3284" i="3"/>
  <c r="E3283" i="3"/>
  <c r="E3282" i="3"/>
  <c r="E3281" i="3"/>
  <c r="E3280" i="3"/>
  <c r="E3279" i="3"/>
  <c r="E3278" i="3"/>
  <c r="E3277" i="3"/>
  <c r="E3246" i="3"/>
  <c r="E3245" i="3"/>
  <c r="E3220" i="3"/>
  <c r="E3219" i="3"/>
  <c r="E3218" i="3"/>
  <c r="E3203" i="3"/>
  <c r="E3196" i="3"/>
  <c r="E3195" i="3"/>
  <c r="E3194" i="3"/>
  <c r="E3193" i="3"/>
  <c r="E3187" i="3"/>
  <c r="E3186" i="3"/>
  <c r="E3185" i="3"/>
  <c r="E3184" i="3"/>
  <c r="E3183" i="3"/>
  <c r="D3176" i="3"/>
  <c r="D3174" i="3"/>
  <c r="E3148" i="3"/>
  <c r="E3140" i="3"/>
  <c r="E1936" i="3"/>
  <c r="E200" i="3"/>
  <c r="D200" i="3"/>
  <c r="H35" i="11" l="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G35" i="11"/>
  <c r="J35" i="11" s="1"/>
  <c r="G36" i="11"/>
  <c r="J36" i="11" s="1"/>
  <c r="G37" i="11"/>
  <c r="J37" i="11" s="1"/>
  <c r="G38" i="11"/>
  <c r="J38" i="11" s="1"/>
  <c r="G39" i="11"/>
  <c r="J39" i="11" s="1"/>
  <c r="G40" i="11"/>
  <c r="J40" i="11" s="1"/>
  <c r="G41" i="11"/>
  <c r="J41" i="11" s="1"/>
  <c r="G42" i="11"/>
  <c r="J42" i="11" s="1"/>
  <c r="G43" i="11"/>
  <c r="J43" i="11" s="1"/>
  <c r="G44" i="11"/>
  <c r="J44" i="11" s="1"/>
  <c r="G45" i="11"/>
  <c r="J45" i="11" s="1"/>
  <c r="G46" i="11"/>
  <c r="J46" i="11" s="1"/>
  <c r="G47" i="11"/>
  <c r="J47" i="11" s="1"/>
  <c r="G48" i="11"/>
  <c r="J48" i="11" s="1"/>
  <c r="G49" i="11"/>
  <c r="J49" i="11" s="1"/>
  <c r="G50" i="11"/>
  <c r="J50" i="11" s="1"/>
  <c r="G51" i="11"/>
  <c r="J51" i="11" s="1"/>
  <c r="G52" i="11"/>
  <c r="J52" i="11" s="1"/>
  <c r="G53" i="11"/>
  <c r="J53" i="11" s="1"/>
  <c r="G54" i="11"/>
  <c r="J54" i="11" s="1"/>
  <c r="G55" i="11"/>
  <c r="J55" i="11" s="1"/>
  <c r="F35" i="11"/>
  <c r="I35" i="11" s="1"/>
  <c r="K35" i="11" s="1"/>
  <c r="L35" i="11" s="1"/>
  <c r="F36" i="11"/>
  <c r="I36" i="11" s="1"/>
  <c r="K36" i="11" s="1"/>
  <c r="L36" i="11" s="1"/>
  <c r="F37" i="11"/>
  <c r="I37" i="11" s="1"/>
  <c r="K37" i="11" s="1"/>
  <c r="L37" i="11" s="1"/>
  <c r="F38" i="11"/>
  <c r="I38" i="11" s="1"/>
  <c r="K38" i="11" s="1"/>
  <c r="L38" i="11" s="1"/>
  <c r="F39" i="11"/>
  <c r="I39" i="11" s="1"/>
  <c r="K39" i="11" s="1"/>
  <c r="L39" i="11" s="1"/>
  <c r="F40" i="11"/>
  <c r="I40" i="11" s="1"/>
  <c r="K40" i="11" s="1"/>
  <c r="L40" i="11" s="1"/>
  <c r="F41" i="11"/>
  <c r="I41" i="11" s="1"/>
  <c r="K41" i="11" s="1"/>
  <c r="L41" i="11" s="1"/>
  <c r="F42" i="11"/>
  <c r="I42" i="11" s="1"/>
  <c r="K42" i="11" s="1"/>
  <c r="L42" i="11" s="1"/>
  <c r="F43" i="11"/>
  <c r="I43" i="11" s="1"/>
  <c r="K43" i="11" s="1"/>
  <c r="L43" i="11" s="1"/>
  <c r="F44" i="11"/>
  <c r="I44" i="11" s="1"/>
  <c r="K44" i="11" s="1"/>
  <c r="L44" i="11" s="1"/>
  <c r="F45" i="11"/>
  <c r="I45" i="11" s="1"/>
  <c r="K45" i="11" s="1"/>
  <c r="L45" i="11" s="1"/>
  <c r="F46" i="11"/>
  <c r="I46" i="11" s="1"/>
  <c r="F47" i="11"/>
  <c r="I47" i="11" s="1"/>
  <c r="K47" i="11" s="1"/>
  <c r="L47" i="11" s="1"/>
  <c r="F48" i="11"/>
  <c r="I48" i="11" s="1"/>
  <c r="K48" i="11" s="1"/>
  <c r="L48" i="11" s="1"/>
  <c r="F49" i="11"/>
  <c r="I49" i="11" s="1"/>
  <c r="F50" i="11"/>
  <c r="I50" i="11" s="1"/>
  <c r="F51" i="11"/>
  <c r="I51" i="11" s="1"/>
  <c r="F52" i="11"/>
  <c r="I52" i="11" s="1"/>
  <c r="K52" i="11" s="1"/>
  <c r="L52" i="11" s="1"/>
  <c r="F53" i="11"/>
  <c r="I53" i="11" s="1"/>
  <c r="F54" i="11"/>
  <c r="I54" i="11" s="1"/>
  <c r="F55" i="11"/>
  <c r="I55" i="11" s="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K53" i="11" l="1"/>
  <c r="L53" i="11" s="1"/>
  <c r="K49" i="11"/>
  <c r="L49" i="11" s="1"/>
  <c r="K55" i="11"/>
  <c r="L55" i="11" s="1"/>
  <c r="K51" i="11"/>
  <c r="L51" i="11" s="1"/>
  <c r="K54" i="11"/>
  <c r="L54" i="11" s="1"/>
  <c r="K50" i="11"/>
  <c r="L50" i="11" s="1"/>
  <c r="K46" i="11"/>
  <c r="L46" i="11" s="1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H4" i="9" l="1" a="1"/>
  <c r="H4" i="9" l="1"/>
  <c r="K6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I46" i="9" l="1"/>
  <c r="I47" i="9"/>
  <c r="I48" i="9"/>
  <c r="I49" i="9"/>
  <c r="I50" i="9"/>
  <c r="I51" i="9"/>
  <c r="I52" i="9"/>
  <c r="K29" i="9" l="1"/>
  <c r="I29" i="9" s="1"/>
  <c r="K30" i="9"/>
  <c r="I30" i="9" s="1"/>
  <c r="K31" i="9"/>
  <c r="I31" i="9" s="1"/>
  <c r="K32" i="9"/>
  <c r="I32" i="9" s="1"/>
  <c r="K33" i="9"/>
  <c r="I33" i="9" s="1"/>
  <c r="K34" i="9"/>
  <c r="I34" i="9" s="1"/>
  <c r="K35" i="9"/>
  <c r="I35" i="9" s="1"/>
  <c r="K36" i="9"/>
  <c r="I36" i="9" s="1"/>
  <c r="K37" i="9"/>
  <c r="I37" i="9" s="1"/>
  <c r="K38" i="9"/>
  <c r="I38" i="9" s="1"/>
  <c r="K39" i="9"/>
  <c r="I39" i="9" s="1"/>
  <c r="K40" i="9"/>
  <c r="I40" i="9" s="1"/>
  <c r="K41" i="9"/>
  <c r="I41" i="9" s="1"/>
  <c r="K42" i="9"/>
  <c r="I42" i="9" s="1"/>
  <c r="K43" i="9"/>
  <c r="I43" i="9" s="1"/>
  <c r="K44" i="9"/>
  <c r="I44" i="9" s="1"/>
  <c r="K45" i="9"/>
  <c r="I45" i="9" s="1"/>
  <c r="K46" i="9"/>
  <c r="K47" i="9"/>
  <c r="K48" i="9"/>
  <c r="K49" i="9"/>
  <c r="K50" i="9"/>
  <c r="K51" i="9"/>
  <c r="K52" i="9"/>
  <c r="K53" i="9"/>
  <c r="J1" i="9"/>
  <c r="I57" i="9" l="1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C1" i="15" l="1"/>
  <c r="K18" i="9" l="1"/>
  <c r="I18" i="9" s="1"/>
  <c r="K22" i="9"/>
  <c r="I22" i="9" s="1"/>
  <c r="K26" i="9"/>
  <c r="I26" i="9" s="1"/>
  <c r="K24" i="9"/>
  <c r="I24" i="9" s="1"/>
  <c r="K21" i="9"/>
  <c r="I21" i="9" s="1"/>
  <c r="K19" i="9"/>
  <c r="I19" i="9" s="1"/>
  <c r="K23" i="9"/>
  <c r="I23" i="9" s="1"/>
  <c r="K27" i="9"/>
  <c r="I27" i="9" s="1"/>
  <c r="K20" i="9"/>
  <c r="I20" i="9" s="1"/>
  <c r="K28" i="9"/>
  <c r="I28" i="9" s="1"/>
  <c r="K25" i="9"/>
  <c r="I25" i="9" s="1"/>
  <c r="K10" i="9"/>
  <c r="I10" i="9" s="1"/>
  <c r="K14" i="9"/>
  <c r="I14" i="9" s="1"/>
  <c r="K11" i="9"/>
  <c r="I11" i="9" s="1"/>
  <c r="K15" i="9"/>
  <c r="I15" i="9" s="1"/>
  <c r="K12" i="9"/>
  <c r="I12" i="9" s="1"/>
  <c r="K16" i="9"/>
  <c r="I16" i="9" s="1"/>
  <c r="K13" i="9"/>
  <c r="I13" i="9" s="1"/>
  <c r="K17" i="9"/>
  <c r="I17" i="9" s="1"/>
  <c r="K9" i="9"/>
  <c r="I9" i="9" s="1"/>
  <c r="K8" i="9"/>
  <c r="I8" i="9" s="1"/>
  <c r="K5" i="9"/>
  <c r="I5" i="9" s="1"/>
  <c r="I6" i="9"/>
  <c r="K7" i="9"/>
  <c r="I7" i="9" s="1"/>
  <c r="H1" i="9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K4" i="9" l="1"/>
  <c r="I4" i="9" s="1"/>
  <c r="I1" i="9" s="1"/>
  <c r="A7" i="9" l="1"/>
  <c r="A12" i="9"/>
  <c r="A4" i="9"/>
  <c r="A57" i="13" l="1"/>
  <c r="A56" i="13" l="1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R21" i="12" l="1"/>
  <c r="R12" i="12"/>
  <c r="R20" i="12"/>
  <c r="R17" i="12"/>
  <c r="R33" i="12"/>
  <c r="R23" i="12"/>
  <c r="R38" i="12"/>
  <c r="R32" i="12"/>
  <c r="R25" i="12"/>
  <c r="R27" i="12"/>
  <c r="R8" i="12"/>
  <c r="R31" i="12"/>
  <c r="R40" i="12"/>
  <c r="R6" i="12"/>
  <c r="R24" i="12"/>
  <c r="R10" i="12"/>
  <c r="R29" i="12"/>
  <c r="R7" i="12"/>
  <c r="R13" i="12"/>
  <c r="R28" i="12"/>
  <c r="R18" i="12"/>
  <c r="R11" i="12"/>
  <c r="R15" i="12"/>
  <c r="R39" i="12"/>
  <c r="R34" i="12"/>
  <c r="R9" i="12"/>
  <c r="R30" i="12"/>
  <c r="R35" i="12"/>
  <c r="R19" i="12"/>
  <c r="R16" i="12"/>
  <c r="R14" i="12"/>
  <c r="R36" i="12"/>
  <c r="R22" i="12"/>
  <c r="R5" i="12"/>
  <c r="R4" i="12"/>
  <c r="R26" i="12"/>
  <c r="R3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7" i="12"/>
  <c r="A17" i="9" l="1"/>
  <c r="A18" i="9"/>
  <c r="A19" i="9"/>
  <c r="A20" i="9"/>
  <c r="A21" i="9"/>
  <c r="A22" i="9"/>
  <c r="A23" i="9"/>
  <c r="A24" i="9"/>
  <c r="A25" i="9"/>
  <c r="A26" i="9"/>
  <c r="A27" i="9"/>
  <c r="A28" i="9"/>
  <c r="A35" i="9"/>
  <c r="A34" i="9"/>
  <c r="A33" i="9"/>
  <c r="A32" i="9"/>
  <c r="A29" i="9"/>
  <c r="A30" i="9"/>
  <c r="A31" i="9"/>
  <c r="A13" i="9"/>
  <c r="A14" i="9"/>
  <c r="A15" i="9"/>
  <c r="A16" i="9"/>
  <c r="A11" i="9"/>
  <c r="A10" i="9"/>
  <c r="A9" i="9"/>
  <c r="A8" i="9"/>
  <c r="A5" i="9"/>
  <c r="A6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12" i="13" l="1"/>
  <c r="A13" i="13"/>
  <c r="A14" i="13"/>
  <c r="A15" i="13"/>
  <c r="A16" i="13"/>
  <c r="A17" i="13"/>
  <c r="A3" i="13" l="1"/>
  <c r="A4" i="13"/>
  <c r="A5" i="13"/>
  <c r="A6" i="13"/>
  <c r="A7" i="13"/>
  <c r="A8" i="13"/>
  <c r="A9" i="13"/>
  <c r="A10" i="13"/>
  <c r="A11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2" i="13"/>
  <c r="Q21" i="12" l="1"/>
  <c r="Q12" i="12"/>
  <c r="Q20" i="12"/>
  <c r="Q17" i="12"/>
  <c r="Q33" i="12"/>
  <c r="Q23" i="12"/>
  <c r="Q38" i="12"/>
  <c r="Q32" i="12"/>
  <c r="Q25" i="12"/>
  <c r="Q27" i="12"/>
  <c r="Q8" i="12"/>
  <c r="Q31" i="12"/>
  <c r="Q40" i="12"/>
  <c r="Q6" i="12"/>
  <c r="Q24" i="12"/>
  <c r="Q10" i="12"/>
  <c r="Q29" i="12"/>
  <c r="Q7" i="12"/>
  <c r="Q13" i="12"/>
  <c r="Q28" i="12"/>
  <c r="Q18" i="12"/>
  <c r="Q11" i="12"/>
  <c r="Q15" i="12"/>
  <c r="Q39" i="12"/>
  <c r="Q34" i="12"/>
  <c r="Q9" i="12"/>
  <c r="Q30" i="12"/>
  <c r="Q35" i="12"/>
  <c r="Q19" i="12"/>
  <c r="Q16" i="12"/>
  <c r="Q14" i="12"/>
  <c r="Q36" i="12"/>
  <c r="Q22" i="12"/>
  <c r="Q5" i="12"/>
  <c r="Q4" i="12"/>
  <c r="Q26" i="12"/>
  <c r="Q3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7" i="12"/>
  <c r="N1" i="12" l="1"/>
  <c r="A9" i="12" l="1"/>
  <c r="L43" i="12" l="1"/>
  <c r="L34" i="12"/>
  <c r="L45" i="12"/>
  <c r="L50" i="12"/>
  <c r="L9" i="12"/>
  <c r="L33" i="12"/>
  <c r="L13" i="12"/>
  <c r="L31" i="12"/>
  <c r="L18" i="12"/>
  <c r="L35" i="12"/>
  <c r="L26" i="12"/>
  <c r="L28" i="12"/>
  <c r="L27" i="12"/>
  <c r="L42" i="12"/>
  <c r="L6" i="12"/>
  <c r="L30" i="12"/>
  <c r="L21" i="12"/>
  <c r="L40" i="12"/>
  <c r="L36" i="12"/>
  <c r="L53" i="12"/>
  <c r="L49" i="12"/>
  <c r="L24" i="12"/>
  <c r="L25" i="12"/>
  <c r="L32" i="12"/>
  <c r="L15" i="12"/>
  <c r="L5" i="12"/>
  <c r="L7" i="12"/>
  <c r="L52" i="12"/>
  <c r="L39" i="12"/>
  <c r="L37" i="12"/>
  <c r="L29" i="12"/>
  <c r="L19" i="12"/>
  <c r="L51" i="12"/>
  <c r="L44" i="12"/>
  <c r="L38" i="12"/>
  <c r="L41" i="12"/>
  <c r="L3" i="12"/>
  <c r="L12" i="12"/>
  <c r="L46" i="12"/>
  <c r="L16" i="12"/>
  <c r="L4" i="12"/>
  <c r="L22" i="12"/>
  <c r="L47" i="12"/>
  <c r="L54" i="12"/>
  <c r="L8" i="12"/>
  <c r="L11" i="12"/>
  <c r="L14" i="12"/>
  <c r="L17" i="12"/>
  <c r="L20" i="12"/>
  <c r="L23" i="12"/>
  <c r="L48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0" i="12"/>
  <c r="R7" i="11" l="1"/>
  <c r="S7" i="11" s="1"/>
  <c r="R8" i="11"/>
  <c r="S8" i="11" s="1"/>
  <c r="R9" i="11"/>
  <c r="S9" i="11" s="1"/>
  <c r="R10" i="11"/>
  <c r="S10" i="11" s="1"/>
  <c r="R11" i="11"/>
  <c r="S11" i="11" s="1"/>
  <c r="R12" i="11"/>
  <c r="S12" i="11" s="1"/>
  <c r="R13" i="11"/>
  <c r="S13" i="11" s="1"/>
  <c r="R14" i="11"/>
  <c r="S14" i="11" s="1"/>
  <c r="R15" i="11"/>
  <c r="S15" i="11" s="1"/>
  <c r="R16" i="11"/>
  <c r="S16" i="11" s="1"/>
  <c r="R17" i="11"/>
  <c r="S17" i="11" s="1"/>
  <c r="R18" i="11"/>
  <c r="S18" i="11" s="1"/>
  <c r="R19" i="11"/>
  <c r="S19" i="11" s="1"/>
  <c r="R20" i="11"/>
  <c r="S20" i="11" s="1"/>
  <c r="R21" i="11"/>
  <c r="S21" i="11" s="1"/>
  <c r="R22" i="11"/>
  <c r="S22" i="11" s="1"/>
  <c r="R23" i="11"/>
  <c r="S23" i="11" s="1"/>
  <c r="R24" i="11"/>
  <c r="S24" i="11" s="1"/>
  <c r="R25" i="11"/>
  <c r="S25" i="11" s="1"/>
  <c r="R26" i="11"/>
  <c r="S26" i="11" s="1"/>
  <c r="R27" i="11"/>
  <c r="S27" i="11" s="1"/>
  <c r="R28" i="11"/>
  <c r="S28" i="11" s="1"/>
  <c r="R29" i="11"/>
  <c r="S29" i="11" s="1"/>
  <c r="R30" i="11"/>
  <c r="S30" i="11" s="1"/>
  <c r="R31" i="11"/>
  <c r="S31" i="11" s="1"/>
  <c r="R32" i="11"/>
  <c r="S32" i="11" s="1"/>
  <c r="R33" i="11"/>
  <c r="S33" i="11" s="1"/>
  <c r="R34" i="11"/>
  <c r="S34" i="11" s="1"/>
  <c r="R35" i="11"/>
  <c r="S35" i="11" s="1"/>
  <c r="R36" i="11"/>
  <c r="S36" i="11" s="1"/>
  <c r="R37" i="11"/>
  <c r="S37" i="11" s="1"/>
  <c r="R38" i="11"/>
  <c r="S38" i="11" s="1"/>
  <c r="R39" i="11"/>
  <c r="S39" i="11" s="1"/>
  <c r="R40" i="11"/>
  <c r="S40" i="11" s="1"/>
  <c r="R41" i="11"/>
  <c r="S41" i="11" s="1"/>
  <c r="R42" i="11"/>
  <c r="S42" i="11" s="1"/>
  <c r="R43" i="11"/>
  <c r="S43" i="11" s="1"/>
  <c r="R44" i="11"/>
  <c r="S44" i="11" s="1"/>
  <c r="R45" i="11"/>
  <c r="S45" i="11" s="1"/>
  <c r="R46" i="11"/>
  <c r="S46" i="11" s="1"/>
  <c r="R47" i="11"/>
  <c r="S47" i="11" s="1"/>
  <c r="R48" i="11"/>
  <c r="S48" i="11" s="1"/>
  <c r="R49" i="11"/>
  <c r="S49" i="11" s="1"/>
  <c r="R50" i="11"/>
  <c r="S50" i="11" s="1"/>
  <c r="R51" i="11"/>
  <c r="S51" i="11" s="1"/>
  <c r="R52" i="11"/>
  <c r="S52" i="11" s="1"/>
  <c r="R53" i="11"/>
  <c r="S53" i="11" s="1"/>
  <c r="R54" i="11"/>
  <c r="S54" i="11" s="1"/>
  <c r="R55" i="11"/>
  <c r="S55" i="11" s="1"/>
  <c r="R56" i="11"/>
  <c r="S56" i="11" s="1"/>
  <c r="R57" i="11"/>
  <c r="S57" i="11" s="1"/>
  <c r="R58" i="11"/>
  <c r="S58" i="11" s="1"/>
  <c r="R59" i="11"/>
  <c r="S59" i="11" s="1"/>
  <c r="R60" i="11"/>
  <c r="S60" i="11" s="1"/>
  <c r="R61" i="11"/>
  <c r="S61" i="11" s="1"/>
  <c r="R62" i="11"/>
  <c r="S62" i="11" s="1"/>
  <c r="R63" i="11"/>
  <c r="S63" i="11" s="1"/>
  <c r="R64" i="11"/>
  <c r="S64" i="11" s="1"/>
  <c r="R65" i="11"/>
  <c r="S65" i="11" s="1"/>
  <c r="R66" i="11"/>
  <c r="S66" i="11" s="1"/>
  <c r="R67" i="11"/>
  <c r="S67" i="11" s="1"/>
  <c r="R68" i="11"/>
  <c r="S68" i="11" s="1"/>
  <c r="R69" i="11"/>
  <c r="S69" i="11" s="1"/>
  <c r="R70" i="11"/>
  <c r="S70" i="11" s="1"/>
  <c r="R71" i="11"/>
  <c r="S71" i="11" s="1"/>
  <c r="R72" i="11"/>
  <c r="S72" i="11" s="1"/>
  <c r="R73" i="11"/>
  <c r="S73" i="11" s="1"/>
  <c r="R74" i="11"/>
  <c r="S74" i="11" s="1"/>
  <c r="R75" i="11"/>
  <c r="S75" i="11" s="1"/>
  <c r="R76" i="11"/>
  <c r="S76" i="11" s="1"/>
  <c r="R77" i="11"/>
  <c r="S77" i="11" s="1"/>
  <c r="R78" i="11"/>
  <c r="S78" i="11" s="1"/>
  <c r="R79" i="11"/>
  <c r="S79" i="11" s="1"/>
  <c r="R80" i="11"/>
  <c r="S80" i="11" s="1"/>
  <c r="R81" i="11"/>
  <c r="S81" i="11" s="1"/>
  <c r="R82" i="11"/>
  <c r="S82" i="11" s="1"/>
  <c r="R83" i="11"/>
  <c r="S83" i="11" s="1"/>
  <c r="R84" i="11"/>
  <c r="S84" i="11" s="1"/>
  <c r="R85" i="11"/>
  <c r="S85" i="11" s="1"/>
  <c r="R86" i="11"/>
  <c r="S86" i="11" s="1"/>
  <c r="R87" i="11"/>
  <c r="S87" i="11" s="1"/>
  <c r="R88" i="11"/>
  <c r="R89" i="11"/>
  <c r="S89" i="11" s="1"/>
  <c r="R90" i="11"/>
  <c r="S90" i="11" s="1"/>
  <c r="R91" i="11"/>
  <c r="S91" i="11" s="1"/>
  <c r="R92" i="11"/>
  <c r="S92" i="11" s="1"/>
  <c r="R93" i="11"/>
  <c r="S93" i="11" s="1"/>
  <c r="R94" i="11"/>
  <c r="S94" i="11" s="1"/>
  <c r="R95" i="11"/>
  <c r="S95" i="11" s="1"/>
  <c r="R96" i="11"/>
  <c r="S96" i="11" s="1"/>
  <c r="R97" i="11"/>
  <c r="S97" i="11" s="1"/>
  <c r="R98" i="11"/>
  <c r="S98" i="11" s="1"/>
  <c r="R99" i="11"/>
  <c r="S99" i="11" s="1"/>
  <c r="R100" i="11"/>
  <c r="S100" i="11" s="1"/>
  <c r="R101" i="11"/>
  <c r="S101" i="11" s="1"/>
  <c r="R102" i="11"/>
  <c r="S102" i="11" s="1"/>
  <c r="R103" i="11"/>
  <c r="S103" i="11" s="1"/>
  <c r="R104" i="11"/>
  <c r="S104" i="11" s="1"/>
  <c r="R105" i="11"/>
  <c r="S105" i="11" s="1"/>
  <c r="R106" i="11"/>
  <c r="S106" i="11" s="1"/>
  <c r="R107" i="11"/>
  <c r="S107" i="11" s="1"/>
  <c r="R108" i="11"/>
  <c r="S108" i="11" s="1"/>
  <c r="R109" i="11"/>
  <c r="S109" i="11" s="1"/>
  <c r="R110" i="11"/>
  <c r="S110" i="11" s="1"/>
  <c r="R111" i="11"/>
  <c r="S111" i="11" s="1"/>
  <c r="R112" i="11"/>
  <c r="S112" i="11" s="1"/>
  <c r="R113" i="11"/>
  <c r="S113" i="11" s="1"/>
  <c r="R114" i="11"/>
  <c r="S114" i="11" s="1"/>
  <c r="R115" i="11"/>
  <c r="S115" i="11" s="1"/>
  <c r="R116" i="11"/>
  <c r="S116" i="11" s="1"/>
  <c r="R117" i="11"/>
  <c r="S117" i="11" s="1"/>
  <c r="R118" i="11"/>
  <c r="S118" i="11" s="1"/>
  <c r="R119" i="11"/>
  <c r="S119" i="11" s="1"/>
  <c r="R120" i="11"/>
  <c r="S120" i="11" s="1"/>
  <c r="R121" i="11"/>
  <c r="S121" i="11" s="1"/>
  <c r="R122" i="11"/>
  <c r="S122" i="11" s="1"/>
  <c r="R123" i="11"/>
  <c r="S123" i="11" s="1"/>
  <c r="R124" i="11"/>
  <c r="S124" i="11" s="1"/>
  <c r="R125" i="11"/>
  <c r="S125" i="11" s="1"/>
  <c r="R126" i="11"/>
  <c r="S126" i="11" s="1"/>
  <c r="R127" i="11"/>
  <c r="S127" i="11" s="1"/>
  <c r="R128" i="11"/>
  <c r="S128" i="11" s="1"/>
  <c r="R129" i="11"/>
  <c r="S129" i="11" s="1"/>
  <c r="R130" i="11"/>
  <c r="S130" i="11" s="1"/>
  <c r="R131" i="11"/>
  <c r="S131" i="11" s="1"/>
  <c r="R132" i="11"/>
  <c r="S132" i="11" s="1"/>
  <c r="R133" i="11"/>
  <c r="S133" i="11" s="1"/>
  <c r="R134" i="11"/>
  <c r="S134" i="11" s="1"/>
  <c r="R135" i="11"/>
  <c r="S135" i="11" s="1"/>
  <c r="R136" i="11"/>
  <c r="S136" i="11" s="1"/>
  <c r="R137" i="11"/>
  <c r="S137" i="11" s="1"/>
  <c r="R138" i="11"/>
  <c r="S138" i="11" s="1"/>
  <c r="R139" i="11"/>
  <c r="S139" i="11" s="1"/>
  <c r="R140" i="11"/>
  <c r="S140" i="11" s="1"/>
  <c r="R141" i="11"/>
  <c r="S141" i="11" s="1"/>
  <c r="R142" i="11"/>
  <c r="S142" i="11" s="1"/>
  <c r="R143" i="11"/>
  <c r="S143" i="11" s="1"/>
  <c r="R144" i="11"/>
  <c r="S144" i="11" s="1"/>
  <c r="R145" i="11"/>
  <c r="S145" i="11" s="1"/>
  <c r="R146" i="11"/>
  <c r="S146" i="11" s="1"/>
  <c r="R147" i="11"/>
  <c r="S147" i="11" s="1"/>
  <c r="R148" i="11"/>
  <c r="S148" i="11" s="1"/>
  <c r="R149" i="11"/>
  <c r="S149" i="11" s="1"/>
  <c r="R150" i="11"/>
  <c r="S150" i="11" s="1"/>
  <c r="R151" i="11"/>
  <c r="S151" i="11" s="1"/>
  <c r="R152" i="11"/>
  <c r="S152" i="11" s="1"/>
  <c r="R153" i="11"/>
  <c r="S153" i="11" s="1"/>
  <c r="R154" i="11"/>
  <c r="S154" i="11" s="1"/>
  <c r="R155" i="11"/>
  <c r="S155" i="11" s="1"/>
  <c r="R156" i="11"/>
  <c r="S156" i="11" s="1"/>
  <c r="R157" i="11"/>
  <c r="S157" i="11" s="1"/>
  <c r="R158" i="11"/>
  <c r="S158" i="11" s="1"/>
  <c r="R159" i="11"/>
  <c r="S159" i="11" s="1"/>
  <c r="R160" i="11"/>
  <c r="S160" i="11" s="1"/>
  <c r="R161" i="11"/>
  <c r="S161" i="11" s="1"/>
  <c r="R162" i="11"/>
  <c r="S162" i="11" s="1"/>
  <c r="R163" i="11"/>
  <c r="S163" i="11" s="1"/>
  <c r="R164" i="11"/>
  <c r="S164" i="11" s="1"/>
  <c r="R165" i="11"/>
  <c r="S165" i="11" s="1"/>
  <c r="R166" i="11"/>
  <c r="S166" i="11" s="1"/>
  <c r="R167" i="11"/>
  <c r="S167" i="11" s="1"/>
  <c r="R168" i="11"/>
  <c r="S168" i="11" s="1"/>
  <c r="R169" i="11"/>
  <c r="S169" i="11" s="1"/>
  <c r="R170" i="11"/>
  <c r="S170" i="11" s="1"/>
  <c r="R171" i="11"/>
  <c r="S171" i="11" s="1"/>
  <c r="R172" i="11"/>
  <c r="S172" i="11" s="1"/>
  <c r="R173" i="11"/>
  <c r="S173" i="11" s="1"/>
  <c r="R174" i="11"/>
  <c r="S174" i="11" s="1"/>
  <c r="R175" i="11"/>
  <c r="S175" i="11" s="1"/>
  <c r="R176" i="11"/>
  <c r="S176" i="11" s="1"/>
  <c r="R177" i="11"/>
  <c r="S177" i="11" s="1"/>
  <c r="R178" i="11"/>
  <c r="S178" i="11" s="1"/>
  <c r="R179" i="11"/>
  <c r="S179" i="11" s="1"/>
  <c r="R180" i="11"/>
  <c r="S180" i="11" s="1"/>
  <c r="R181" i="11"/>
  <c r="S181" i="11" s="1"/>
  <c r="R182" i="11"/>
  <c r="S182" i="11" s="1"/>
  <c r="R183" i="11"/>
  <c r="S183" i="11" s="1"/>
  <c r="R184" i="11"/>
  <c r="S184" i="11" s="1"/>
  <c r="R185" i="11"/>
  <c r="S185" i="11" s="1"/>
  <c r="R186" i="11"/>
  <c r="S186" i="11" s="1"/>
  <c r="R187" i="11"/>
  <c r="S187" i="11" s="1"/>
  <c r="R188" i="11"/>
  <c r="S188" i="11" s="1"/>
  <c r="R189" i="11"/>
  <c r="S189" i="11" s="1"/>
  <c r="R190" i="11"/>
  <c r="S190" i="11" s="1"/>
  <c r="R191" i="11"/>
  <c r="S191" i="11" s="1"/>
  <c r="R192" i="11"/>
  <c r="S192" i="11" s="1"/>
  <c r="R193" i="11"/>
  <c r="S193" i="11" s="1"/>
  <c r="R194" i="11"/>
  <c r="S194" i="11" s="1"/>
  <c r="R195" i="11"/>
  <c r="S195" i="11" s="1"/>
  <c r="R196" i="11"/>
  <c r="S196" i="11" s="1"/>
  <c r="R197" i="11"/>
  <c r="S197" i="11" s="1"/>
  <c r="R198" i="11"/>
  <c r="S198" i="11" s="1"/>
  <c r="R199" i="11"/>
  <c r="S199" i="11" s="1"/>
  <c r="R200" i="11"/>
  <c r="S200" i="11" s="1"/>
  <c r="R201" i="11"/>
  <c r="S201" i="11" s="1"/>
  <c r="R202" i="11"/>
  <c r="S202" i="11" s="1"/>
  <c r="R203" i="11"/>
  <c r="S203" i="11" s="1"/>
  <c r="R204" i="11"/>
  <c r="S204" i="11" s="1"/>
  <c r="R205" i="11"/>
  <c r="S205" i="11" s="1"/>
  <c r="R206" i="11"/>
  <c r="S206" i="11" s="1"/>
  <c r="R207" i="11"/>
  <c r="S207" i="11" s="1"/>
  <c r="R208" i="11"/>
  <c r="S208" i="11" s="1"/>
  <c r="R209" i="11"/>
  <c r="S209" i="11" s="1"/>
  <c r="R210" i="11"/>
  <c r="S210" i="11" s="1"/>
  <c r="R211" i="11"/>
  <c r="S211" i="11" s="1"/>
  <c r="R212" i="11"/>
  <c r="S212" i="11" s="1"/>
  <c r="R213" i="11"/>
  <c r="S213" i="11" s="1"/>
  <c r="R214" i="11"/>
  <c r="S214" i="11" s="1"/>
  <c r="R215" i="11"/>
  <c r="S215" i="11" s="1"/>
  <c r="R216" i="11"/>
  <c r="S216" i="11" s="1"/>
  <c r="R217" i="11"/>
  <c r="S217" i="11" s="1"/>
  <c r="R218" i="11"/>
  <c r="S218" i="11" s="1"/>
  <c r="R219" i="11"/>
  <c r="S219" i="11" s="1"/>
  <c r="R220" i="11"/>
  <c r="S220" i="11" s="1"/>
  <c r="R221" i="11"/>
  <c r="S221" i="11" s="1"/>
  <c r="R222" i="11"/>
  <c r="S222" i="11" s="1"/>
  <c r="R223" i="11"/>
  <c r="S223" i="11" s="1"/>
  <c r="R224" i="11"/>
  <c r="S224" i="11" s="1"/>
  <c r="R225" i="11"/>
  <c r="S225" i="11" s="1"/>
  <c r="R226" i="11"/>
  <c r="S226" i="11" s="1"/>
  <c r="R227" i="11"/>
  <c r="S227" i="11" s="1"/>
  <c r="R228" i="11"/>
  <c r="S228" i="11" s="1"/>
  <c r="R229" i="11"/>
  <c r="S229" i="11" s="1"/>
  <c r="R230" i="11"/>
  <c r="S230" i="11" s="1"/>
  <c r="R231" i="11"/>
  <c r="S231" i="11" s="1"/>
  <c r="R232" i="11"/>
  <c r="S232" i="11" s="1"/>
  <c r="R233" i="11"/>
  <c r="S233" i="11" s="1"/>
  <c r="R234" i="11"/>
  <c r="S234" i="11" s="1"/>
  <c r="R235" i="11"/>
  <c r="S235" i="11" s="1"/>
  <c r="R236" i="11"/>
  <c r="S236" i="11" s="1"/>
  <c r="R237" i="11"/>
  <c r="S237" i="11" s="1"/>
  <c r="R238" i="11"/>
  <c r="S238" i="11" s="1"/>
  <c r="R239" i="11"/>
  <c r="S239" i="11" s="1"/>
  <c r="R240" i="11"/>
  <c r="S240" i="11" s="1"/>
  <c r="R241" i="11"/>
  <c r="S241" i="11" s="1"/>
  <c r="R242" i="11"/>
  <c r="S242" i="11" s="1"/>
  <c r="R243" i="11"/>
  <c r="S243" i="11" s="1"/>
  <c r="R244" i="11"/>
  <c r="S244" i="11" s="1"/>
  <c r="R245" i="11"/>
  <c r="S245" i="11" s="1"/>
  <c r="R246" i="11"/>
  <c r="S246" i="11" s="1"/>
  <c r="R247" i="11"/>
  <c r="S247" i="11" s="1"/>
  <c r="R248" i="11"/>
  <c r="S248" i="11" s="1"/>
  <c r="R249" i="11"/>
  <c r="S249" i="11" s="1"/>
  <c r="R250" i="11"/>
  <c r="S250" i="11" s="1"/>
  <c r="R251" i="11"/>
  <c r="S251" i="11" s="1"/>
  <c r="R252" i="11"/>
  <c r="S252" i="11" s="1"/>
  <c r="R253" i="11"/>
  <c r="S253" i="11" s="1"/>
  <c r="R254" i="11"/>
  <c r="S254" i="11" s="1"/>
  <c r="R255" i="11"/>
  <c r="S255" i="11" s="1"/>
  <c r="R256" i="11"/>
  <c r="S256" i="11" s="1"/>
  <c r="R257" i="11"/>
  <c r="S257" i="11" s="1"/>
  <c r="R258" i="11"/>
  <c r="S258" i="11" s="1"/>
  <c r="R259" i="11"/>
  <c r="S259" i="11" s="1"/>
  <c r="R260" i="11"/>
  <c r="S260" i="11" s="1"/>
  <c r="R261" i="11"/>
  <c r="S261" i="11" s="1"/>
  <c r="R262" i="11"/>
  <c r="S262" i="11" s="1"/>
  <c r="R263" i="11"/>
  <c r="S263" i="11" s="1"/>
  <c r="R264" i="11"/>
  <c r="S264" i="11" s="1"/>
  <c r="R265" i="11"/>
  <c r="S265" i="11" s="1"/>
  <c r="R266" i="11"/>
  <c r="S266" i="11" s="1"/>
  <c r="R267" i="11"/>
  <c r="S267" i="11" s="1"/>
  <c r="R268" i="11"/>
  <c r="S268" i="11" s="1"/>
  <c r="R269" i="11"/>
  <c r="S269" i="11" s="1"/>
  <c r="R270" i="11"/>
  <c r="S270" i="11" s="1"/>
  <c r="R271" i="11"/>
  <c r="S271" i="11" s="1"/>
  <c r="R272" i="11"/>
  <c r="S272" i="11" s="1"/>
  <c r="R273" i="11"/>
  <c r="S273" i="11" s="1"/>
  <c r="R274" i="11"/>
  <c r="S274" i="11" s="1"/>
  <c r="R275" i="11"/>
  <c r="S275" i="11" s="1"/>
  <c r="R276" i="11"/>
  <c r="S276" i="11" s="1"/>
  <c r="R277" i="11"/>
  <c r="S277" i="11" s="1"/>
  <c r="R278" i="11"/>
  <c r="S278" i="11" s="1"/>
  <c r="R279" i="11"/>
  <c r="S279" i="11" s="1"/>
  <c r="R280" i="11"/>
  <c r="S280" i="11" s="1"/>
  <c r="R281" i="11"/>
  <c r="S281" i="11" s="1"/>
  <c r="R282" i="11"/>
  <c r="S282" i="11" s="1"/>
  <c r="R283" i="11"/>
  <c r="S283" i="11" s="1"/>
  <c r="R284" i="11"/>
  <c r="S284" i="11" s="1"/>
  <c r="R285" i="11"/>
  <c r="S285" i="11" s="1"/>
  <c r="R286" i="11"/>
  <c r="S286" i="11" s="1"/>
  <c r="R287" i="11"/>
  <c r="S287" i="11" s="1"/>
  <c r="R288" i="11"/>
  <c r="S288" i="11" s="1"/>
  <c r="R289" i="11"/>
  <c r="S289" i="11" s="1"/>
  <c r="R290" i="11"/>
  <c r="S290" i="11" s="1"/>
  <c r="R291" i="11"/>
  <c r="S291" i="11" s="1"/>
  <c r="R292" i="11"/>
  <c r="S292" i="11" s="1"/>
  <c r="R293" i="11"/>
  <c r="S293" i="11" s="1"/>
  <c r="R294" i="11"/>
  <c r="S294" i="11" s="1"/>
  <c r="R295" i="11"/>
  <c r="S295" i="11" s="1"/>
  <c r="R296" i="11"/>
  <c r="S296" i="11" s="1"/>
  <c r="R297" i="11"/>
  <c r="S297" i="11" s="1"/>
  <c r="R298" i="11"/>
  <c r="S298" i="11" s="1"/>
  <c r="R299" i="11"/>
  <c r="S299" i="11" s="1"/>
  <c r="R300" i="11"/>
  <c r="S300" i="11" s="1"/>
  <c r="R301" i="11"/>
  <c r="S301" i="11" s="1"/>
  <c r="R302" i="11"/>
  <c r="S302" i="11" s="1"/>
  <c r="R303" i="11"/>
  <c r="S303" i="11" s="1"/>
  <c r="R304" i="11"/>
  <c r="S304" i="11" s="1"/>
  <c r="R305" i="11"/>
  <c r="S305" i="11" s="1"/>
  <c r="R306" i="11"/>
  <c r="S306" i="11" s="1"/>
  <c r="R307" i="11"/>
  <c r="S307" i="11" s="1"/>
  <c r="R308" i="11"/>
  <c r="S308" i="11" s="1"/>
  <c r="R309" i="11"/>
  <c r="S309" i="11" s="1"/>
  <c r="R310" i="11"/>
  <c r="S310" i="11" s="1"/>
  <c r="R311" i="11"/>
  <c r="S311" i="11" s="1"/>
  <c r="R312" i="11"/>
  <c r="S312" i="11" s="1"/>
  <c r="R313" i="11"/>
  <c r="S313" i="11" s="1"/>
  <c r="R314" i="11"/>
  <c r="S314" i="11" s="1"/>
  <c r="R315" i="11"/>
  <c r="S315" i="11" s="1"/>
  <c r="R316" i="11"/>
  <c r="S316" i="11" s="1"/>
  <c r="R317" i="11"/>
  <c r="S317" i="11" s="1"/>
  <c r="R318" i="11"/>
  <c r="S318" i="11" s="1"/>
  <c r="R319" i="11"/>
  <c r="S319" i="11" s="1"/>
  <c r="R320" i="11"/>
  <c r="S320" i="11" s="1"/>
  <c r="R321" i="11"/>
  <c r="S321" i="11" s="1"/>
  <c r="R322" i="11"/>
  <c r="S322" i="11" s="1"/>
  <c r="R323" i="11"/>
  <c r="S323" i="11" s="1"/>
  <c r="R324" i="11"/>
  <c r="S324" i="11" s="1"/>
  <c r="R325" i="11"/>
  <c r="S325" i="11" s="1"/>
  <c r="R326" i="11"/>
  <c r="S326" i="11" s="1"/>
  <c r="R327" i="11"/>
  <c r="S327" i="11" s="1"/>
  <c r="R328" i="11"/>
  <c r="S328" i="11" s="1"/>
  <c r="R329" i="11"/>
  <c r="S329" i="11" s="1"/>
  <c r="R330" i="11"/>
  <c r="S330" i="11" s="1"/>
  <c r="R331" i="11"/>
  <c r="S331" i="11" s="1"/>
  <c r="R332" i="11"/>
  <c r="S332" i="11" s="1"/>
  <c r="R333" i="11"/>
  <c r="S333" i="11" s="1"/>
  <c r="R334" i="11"/>
  <c r="S334" i="11" s="1"/>
  <c r="R335" i="11"/>
  <c r="S335" i="11" s="1"/>
  <c r="R336" i="11"/>
  <c r="S336" i="11" s="1"/>
  <c r="R337" i="11"/>
  <c r="S337" i="11" s="1"/>
  <c r="R338" i="11"/>
  <c r="S338" i="11" s="1"/>
  <c r="R339" i="11"/>
  <c r="S339" i="11" s="1"/>
  <c r="R340" i="11"/>
  <c r="S340" i="11" s="1"/>
  <c r="R341" i="11"/>
  <c r="S341" i="11" s="1"/>
  <c r="R342" i="11"/>
  <c r="S342" i="11" s="1"/>
  <c r="R343" i="11"/>
  <c r="S343" i="11" s="1"/>
  <c r="R344" i="11"/>
  <c r="S344" i="11" s="1"/>
  <c r="R345" i="11"/>
  <c r="S345" i="11" s="1"/>
  <c r="R346" i="11"/>
  <c r="S346" i="11" s="1"/>
  <c r="R347" i="11"/>
  <c r="S347" i="11" s="1"/>
  <c r="R348" i="11"/>
  <c r="S348" i="11" s="1"/>
  <c r="R349" i="11"/>
  <c r="S349" i="11" s="1"/>
  <c r="R350" i="11"/>
  <c r="S350" i="11" s="1"/>
  <c r="R351" i="11"/>
  <c r="S351" i="11" s="1"/>
  <c r="R352" i="11"/>
  <c r="S352" i="11" s="1"/>
  <c r="R353" i="11"/>
  <c r="S353" i="11" s="1"/>
  <c r="R354" i="11"/>
  <c r="S354" i="11" s="1"/>
  <c r="R355" i="11"/>
  <c r="S355" i="11" s="1"/>
  <c r="R356" i="11"/>
  <c r="S356" i="11" s="1"/>
  <c r="R357" i="11"/>
  <c r="S357" i="11" s="1"/>
  <c r="R358" i="11"/>
  <c r="S358" i="11" s="1"/>
  <c r="R359" i="11"/>
  <c r="S359" i="11" s="1"/>
  <c r="R360" i="11"/>
  <c r="S360" i="11" s="1"/>
  <c r="R361" i="11"/>
  <c r="S361" i="11" s="1"/>
  <c r="R362" i="11"/>
  <c r="S362" i="11" s="1"/>
  <c r="R363" i="11"/>
  <c r="S363" i="11" s="1"/>
  <c r="R364" i="11"/>
  <c r="S364" i="11" s="1"/>
  <c r="R365" i="11"/>
  <c r="S365" i="11" s="1"/>
  <c r="R366" i="11"/>
  <c r="S366" i="11" s="1"/>
  <c r="R367" i="11"/>
  <c r="S367" i="11" s="1"/>
  <c r="R368" i="11"/>
  <c r="S368" i="11" s="1"/>
  <c r="R369" i="11"/>
  <c r="S369" i="11" s="1"/>
  <c r="R370" i="11"/>
  <c r="S370" i="11" s="1"/>
  <c r="R371" i="11"/>
  <c r="S371" i="11" s="1"/>
  <c r="R372" i="11"/>
  <c r="S372" i="11" s="1"/>
  <c r="R373" i="11"/>
  <c r="S373" i="11" s="1"/>
  <c r="R374" i="11"/>
  <c r="S374" i="11" s="1"/>
  <c r="R375" i="11"/>
  <c r="S375" i="11" s="1"/>
  <c r="R376" i="11"/>
  <c r="S376" i="11" s="1"/>
  <c r="R377" i="11"/>
  <c r="S377" i="11" s="1"/>
  <c r="R378" i="11"/>
  <c r="S378" i="11" s="1"/>
  <c r="R379" i="11"/>
  <c r="S379" i="11" s="1"/>
  <c r="R380" i="11"/>
  <c r="S380" i="11" s="1"/>
  <c r="R381" i="11"/>
  <c r="S381" i="11" s="1"/>
  <c r="R382" i="11"/>
  <c r="S382" i="11" s="1"/>
  <c r="R383" i="11"/>
  <c r="S383" i="11" s="1"/>
  <c r="R384" i="11"/>
  <c r="S384" i="11" s="1"/>
  <c r="R385" i="11"/>
  <c r="S385" i="11" s="1"/>
  <c r="R386" i="11"/>
  <c r="S386" i="11" s="1"/>
  <c r="R387" i="11"/>
  <c r="S387" i="11" s="1"/>
  <c r="R388" i="11"/>
  <c r="S388" i="11" s="1"/>
  <c r="R389" i="11"/>
  <c r="S389" i="11" s="1"/>
  <c r="R390" i="11"/>
  <c r="S390" i="11" s="1"/>
  <c r="R391" i="11"/>
  <c r="S391" i="11" s="1"/>
  <c r="R392" i="11"/>
  <c r="S392" i="11" s="1"/>
  <c r="R393" i="11"/>
  <c r="S393" i="11" s="1"/>
  <c r="R394" i="11"/>
  <c r="S394" i="11" s="1"/>
  <c r="R395" i="11"/>
  <c r="S395" i="11" s="1"/>
  <c r="R396" i="11"/>
  <c r="S396" i="11" s="1"/>
  <c r="R397" i="11"/>
  <c r="S397" i="11" s="1"/>
  <c r="R398" i="11"/>
  <c r="S398" i="11" s="1"/>
  <c r="R399" i="11"/>
  <c r="S399" i="11" s="1"/>
  <c r="R400" i="11"/>
  <c r="S400" i="11" s="1"/>
  <c r="R401" i="11"/>
  <c r="S401" i="11" s="1"/>
  <c r="R402" i="11"/>
  <c r="S402" i="11" s="1"/>
  <c r="R403" i="11"/>
  <c r="S403" i="11" s="1"/>
  <c r="R404" i="11"/>
  <c r="S404" i="11" s="1"/>
  <c r="R405" i="11"/>
  <c r="S405" i="11" s="1"/>
  <c r="R406" i="11"/>
  <c r="S406" i="11" s="1"/>
  <c r="R407" i="11"/>
  <c r="S407" i="11" s="1"/>
  <c r="R408" i="11"/>
  <c r="S408" i="11" s="1"/>
  <c r="R409" i="11"/>
  <c r="S409" i="11" s="1"/>
  <c r="R410" i="11"/>
  <c r="S410" i="11" s="1"/>
  <c r="R411" i="11"/>
  <c r="S411" i="11" s="1"/>
  <c r="R412" i="11"/>
  <c r="S412" i="11" s="1"/>
  <c r="R413" i="11"/>
  <c r="S413" i="11" s="1"/>
  <c r="R414" i="11"/>
  <c r="S414" i="11" s="1"/>
  <c r="R415" i="11"/>
  <c r="S415" i="11" s="1"/>
  <c r="R416" i="11"/>
  <c r="S416" i="11" s="1"/>
  <c r="R417" i="11"/>
  <c r="S417" i="11" s="1"/>
  <c r="R418" i="11"/>
  <c r="S418" i="11" s="1"/>
  <c r="R419" i="11"/>
  <c r="S419" i="11" s="1"/>
  <c r="R420" i="11"/>
  <c r="S420" i="11" s="1"/>
  <c r="R421" i="11"/>
  <c r="S421" i="11" s="1"/>
  <c r="R422" i="11"/>
  <c r="S422" i="11" s="1"/>
  <c r="R423" i="11"/>
  <c r="S423" i="11" s="1"/>
  <c r="R424" i="11"/>
  <c r="S424" i="11" s="1"/>
  <c r="R425" i="11"/>
  <c r="S425" i="11" s="1"/>
  <c r="R426" i="11"/>
  <c r="S426" i="11" s="1"/>
  <c r="R427" i="11"/>
  <c r="S427" i="11" s="1"/>
  <c r="R428" i="11"/>
  <c r="S428" i="11" s="1"/>
  <c r="R429" i="11"/>
  <c r="S429" i="11" s="1"/>
  <c r="R430" i="11"/>
  <c r="S430" i="11" s="1"/>
  <c r="R431" i="11"/>
  <c r="S431" i="11" s="1"/>
  <c r="R432" i="11"/>
  <c r="S432" i="11" s="1"/>
  <c r="R433" i="11"/>
  <c r="S433" i="11" s="1"/>
  <c r="R434" i="11"/>
  <c r="S434" i="11" s="1"/>
  <c r="R435" i="11"/>
  <c r="S435" i="11" s="1"/>
  <c r="R436" i="11"/>
  <c r="S436" i="11" s="1"/>
  <c r="R437" i="11"/>
  <c r="S437" i="11" s="1"/>
  <c r="R438" i="11"/>
  <c r="S438" i="11" s="1"/>
  <c r="R439" i="11"/>
  <c r="S439" i="11" s="1"/>
  <c r="R440" i="11"/>
  <c r="S440" i="11" s="1"/>
  <c r="R441" i="11"/>
  <c r="S441" i="11" s="1"/>
  <c r="R442" i="11"/>
  <c r="S442" i="11" s="1"/>
  <c r="R443" i="11"/>
  <c r="S443" i="11" s="1"/>
  <c r="R444" i="11"/>
  <c r="S444" i="11" s="1"/>
  <c r="R445" i="11"/>
  <c r="S445" i="11" s="1"/>
  <c r="R446" i="11"/>
  <c r="S446" i="11" s="1"/>
  <c r="R447" i="11"/>
  <c r="S447" i="11" s="1"/>
  <c r="R448" i="11"/>
  <c r="S448" i="11" s="1"/>
  <c r="R449" i="11"/>
  <c r="S449" i="11" s="1"/>
  <c r="R450" i="11"/>
  <c r="S450" i="11" s="1"/>
  <c r="R451" i="11"/>
  <c r="S451" i="11" s="1"/>
  <c r="R452" i="11"/>
  <c r="S452" i="11" s="1"/>
  <c r="R453" i="11"/>
  <c r="S453" i="11" s="1"/>
  <c r="R454" i="11"/>
  <c r="S454" i="11" s="1"/>
  <c r="R455" i="11"/>
  <c r="S455" i="11" s="1"/>
  <c r="R456" i="11"/>
  <c r="S456" i="11" s="1"/>
  <c r="R457" i="11"/>
  <c r="S457" i="11" s="1"/>
  <c r="R458" i="11"/>
  <c r="S458" i="11" s="1"/>
  <c r="R459" i="11"/>
  <c r="S459" i="11" s="1"/>
  <c r="R460" i="11"/>
  <c r="S460" i="11" s="1"/>
  <c r="R461" i="11"/>
  <c r="S461" i="11" s="1"/>
  <c r="R462" i="11"/>
  <c r="S462" i="11" s="1"/>
  <c r="R463" i="11"/>
  <c r="S463" i="11" s="1"/>
  <c r="R464" i="11"/>
  <c r="S464" i="11" s="1"/>
  <c r="R465" i="11"/>
  <c r="S465" i="11" s="1"/>
  <c r="R466" i="11"/>
  <c r="S466" i="11" s="1"/>
  <c r="R467" i="11"/>
  <c r="S467" i="11" s="1"/>
  <c r="R468" i="11"/>
  <c r="S468" i="11" s="1"/>
  <c r="R469" i="11"/>
  <c r="S469" i="11" s="1"/>
  <c r="R470" i="11"/>
  <c r="S470" i="11" s="1"/>
  <c r="R471" i="11"/>
  <c r="S471" i="11" s="1"/>
  <c r="R472" i="11"/>
  <c r="S472" i="11" s="1"/>
  <c r="R473" i="11"/>
  <c r="S473" i="11" s="1"/>
  <c r="R474" i="11"/>
  <c r="S474" i="11" s="1"/>
  <c r="R475" i="11"/>
  <c r="S475" i="11" s="1"/>
  <c r="R476" i="11"/>
  <c r="S476" i="11" s="1"/>
  <c r="R477" i="11"/>
  <c r="S477" i="11" s="1"/>
  <c r="R478" i="11"/>
  <c r="S478" i="11" s="1"/>
  <c r="R479" i="11"/>
  <c r="S479" i="11" s="1"/>
  <c r="R480" i="11"/>
  <c r="S480" i="11" s="1"/>
  <c r="R481" i="11"/>
  <c r="S481" i="11" s="1"/>
  <c r="R482" i="11"/>
  <c r="S482" i="11" s="1"/>
  <c r="R483" i="11"/>
  <c r="S483" i="11" s="1"/>
  <c r="R484" i="11"/>
  <c r="S484" i="11" s="1"/>
  <c r="R485" i="11"/>
  <c r="S485" i="11" s="1"/>
  <c r="R486" i="11"/>
  <c r="S486" i="11" s="1"/>
  <c r="R487" i="11"/>
  <c r="S487" i="11" s="1"/>
  <c r="R488" i="11"/>
  <c r="S488" i="11" s="1"/>
  <c r="R489" i="11"/>
  <c r="S489" i="11" s="1"/>
  <c r="R490" i="11"/>
  <c r="S490" i="11" s="1"/>
  <c r="R491" i="11"/>
  <c r="S491" i="11" s="1"/>
  <c r="S88" i="11"/>
  <c r="G10" i="1"/>
  <c r="F10" i="1"/>
  <c r="I10" i="1" s="1"/>
  <c r="E10" i="1"/>
  <c r="G9" i="1"/>
  <c r="F9" i="1"/>
  <c r="I9" i="1" s="1"/>
  <c r="E9" i="1"/>
  <c r="G6" i="1"/>
  <c r="F6" i="1"/>
  <c r="I6" i="1" s="1"/>
  <c r="E6" i="1"/>
  <c r="G5" i="1"/>
  <c r="F5" i="1"/>
  <c r="I5" i="1" s="1"/>
  <c r="E5" i="1"/>
  <c r="G7" i="1"/>
  <c r="F7" i="1"/>
  <c r="I7" i="1" s="1"/>
  <c r="E7" i="1"/>
  <c r="G8" i="1"/>
  <c r="F8" i="1"/>
  <c r="I8" i="1" s="1"/>
  <c r="E8" i="1"/>
  <c r="K7" i="1" l="1"/>
  <c r="K6" i="1"/>
  <c r="K10" i="1"/>
  <c r="K8" i="1"/>
  <c r="K5" i="1"/>
  <c r="K9" i="1"/>
  <c r="H8" i="1"/>
  <c r="J8" i="1" s="1"/>
  <c r="L8" i="1" s="1"/>
  <c r="H7" i="1"/>
  <c r="J7" i="1" s="1"/>
  <c r="L7" i="1" s="1"/>
  <c r="H5" i="1"/>
  <c r="J5" i="1" s="1"/>
  <c r="L5" i="1" s="1"/>
  <c r="H6" i="1"/>
  <c r="J6" i="1" s="1"/>
  <c r="L6" i="1" s="1"/>
  <c r="H9" i="1"/>
  <c r="J9" i="1" s="1"/>
  <c r="L9" i="1" s="1"/>
  <c r="H10" i="1"/>
  <c r="J10" i="1" s="1"/>
  <c r="L10" i="1" s="1"/>
  <c r="R3" i="11"/>
  <c r="S3" i="11" s="1"/>
  <c r="R4" i="11"/>
  <c r="S4" i="11" s="1"/>
  <c r="R5" i="11"/>
  <c r="S5" i="11" s="1"/>
  <c r="R6" i="11"/>
  <c r="S6" i="11" s="1"/>
  <c r="R2" i="11"/>
  <c r="S2" i="11" s="1"/>
  <c r="W21" i="12"/>
  <c r="W12" i="12"/>
  <c r="W20" i="12"/>
  <c r="W17" i="12"/>
  <c r="W33" i="12"/>
  <c r="W23" i="12"/>
  <c r="W38" i="12"/>
  <c r="W32" i="12"/>
  <c r="W25" i="12"/>
  <c r="W27" i="12"/>
  <c r="W8" i="12"/>
  <c r="W31" i="12"/>
  <c r="W40" i="12"/>
  <c r="W6" i="12"/>
  <c r="W24" i="12"/>
  <c r="W10" i="12"/>
  <c r="W29" i="12"/>
  <c r="W7" i="12"/>
  <c r="W13" i="12"/>
  <c r="W28" i="12"/>
  <c r="W18" i="12"/>
  <c r="W11" i="12"/>
  <c r="W15" i="12"/>
  <c r="W39" i="12"/>
  <c r="W34" i="12"/>
  <c r="W9" i="12"/>
  <c r="W30" i="12"/>
  <c r="W35" i="12"/>
  <c r="W19" i="12"/>
  <c r="W16" i="12"/>
  <c r="W14" i="12"/>
  <c r="W36" i="12"/>
  <c r="W22" i="12"/>
  <c r="W5" i="12"/>
  <c r="W4" i="12"/>
  <c r="W26" i="12"/>
  <c r="W3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W243" i="12"/>
  <c r="W244" i="12"/>
  <c r="W245" i="12"/>
  <c r="W246" i="12"/>
  <c r="W247" i="12"/>
  <c r="W248" i="12"/>
  <c r="W249" i="12"/>
  <c r="W250" i="12"/>
  <c r="W251" i="12"/>
  <c r="W252" i="12"/>
  <c r="W253" i="12"/>
  <c r="W254" i="12"/>
  <c r="W255" i="12"/>
  <c r="W256" i="12"/>
  <c r="W257" i="12"/>
  <c r="W258" i="12"/>
  <c r="W259" i="12"/>
  <c r="W260" i="12"/>
  <c r="W261" i="12"/>
  <c r="W262" i="12"/>
  <c r="W263" i="12"/>
  <c r="W264" i="12"/>
  <c r="W265" i="12"/>
  <c r="W266" i="12"/>
  <c r="W267" i="12"/>
  <c r="W268" i="12"/>
  <c r="W269" i="12"/>
  <c r="W270" i="12"/>
  <c r="W271" i="12"/>
  <c r="W272" i="12"/>
  <c r="W273" i="12"/>
  <c r="W274" i="12"/>
  <c r="W275" i="12"/>
  <c r="W276" i="12"/>
  <c r="W277" i="12"/>
  <c r="W278" i="12"/>
  <c r="W279" i="12"/>
  <c r="W280" i="12"/>
  <c r="W281" i="12"/>
  <c r="W282" i="12"/>
  <c r="W283" i="12"/>
  <c r="W284" i="12"/>
  <c r="W285" i="12"/>
  <c r="W286" i="12"/>
  <c r="W287" i="12"/>
  <c r="W288" i="12"/>
  <c r="W289" i="12"/>
  <c r="W290" i="12"/>
  <c r="W291" i="12"/>
  <c r="W292" i="12"/>
  <c r="W293" i="12"/>
  <c r="W294" i="12"/>
  <c r="W295" i="12"/>
  <c r="W296" i="12"/>
  <c r="W297" i="12"/>
  <c r="W298" i="12"/>
  <c r="W299" i="12"/>
  <c r="W300" i="12"/>
  <c r="W301" i="12"/>
  <c r="W302" i="12"/>
  <c r="W303" i="12"/>
  <c r="W304" i="12"/>
  <c r="W305" i="12"/>
  <c r="W306" i="12"/>
  <c r="W307" i="12"/>
  <c r="W308" i="12"/>
  <c r="W309" i="12"/>
  <c r="W310" i="12"/>
  <c r="W311" i="12"/>
  <c r="W312" i="12"/>
  <c r="W313" i="12"/>
  <c r="W314" i="12"/>
  <c r="W315" i="12"/>
  <c r="W316" i="12"/>
  <c r="W317" i="12"/>
  <c r="W318" i="12"/>
  <c r="W319" i="12"/>
  <c r="W320" i="12"/>
  <c r="W321" i="12"/>
  <c r="W322" i="12"/>
  <c r="W323" i="12"/>
  <c r="W324" i="12"/>
  <c r="W325" i="12"/>
  <c r="W326" i="12"/>
  <c r="W327" i="12"/>
  <c r="W328" i="12"/>
  <c r="W329" i="12"/>
  <c r="W330" i="12"/>
  <c r="W331" i="12"/>
  <c r="W332" i="12"/>
  <c r="W333" i="12"/>
  <c r="W334" i="12"/>
  <c r="W335" i="12"/>
  <c r="W336" i="12"/>
  <c r="W337" i="12"/>
  <c r="W338" i="12"/>
  <c r="W339" i="12"/>
  <c r="W340" i="12"/>
  <c r="W341" i="12"/>
  <c r="W342" i="12"/>
  <c r="W343" i="12"/>
  <c r="W344" i="12"/>
  <c r="W345" i="12"/>
  <c r="W346" i="12"/>
  <c r="W347" i="12"/>
  <c r="W348" i="12"/>
  <c r="W37" i="12"/>
  <c r="T21" i="12"/>
  <c r="T12" i="12"/>
  <c r="T20" i="12"/>
  <c r="T17" i="12"/>
  <c r="T33" i="12"/>
  <c r="T23" i="12"/>
  <c r="T38" i="12"/>
  <c r="T32" i="12"/>
  <c r="T25" i="12"/>
  <c r="T27" i="12"/>
  <c r="T8" i="12"/>
  <c r="T31" i="12"/>
  <c r="T40" i="12"/>
  <c r="T6" i="12"/>
  <c r="T24" i="12"/>
  <c r="T10" i="12"/>
  <c r="T29" i="12"/>
  <c r="T7" i="12"/>
  <c r="T13" i="12"/>
  <c r="T28" i="12"/>
  <c r="T18" i="12"/>
  <c r="T11" i="12"/>
  <c r="T15" i="12"/>
  <c r="T39" i="12"/>
  <c r="T34" i="12"/>
  <c r="T9" i="12"/>
  <c r="T30" i="12"/>
  <c r="T35" i="12"/>
  <c r="T19" i="12"/>
  <c r="T16" i="12"/>
  <c r="T14" i="12"/>
  <c r="T36" i="12"/>
  <c r="T22" i="12"/>
  <c r="T5" i="12"/>
  <c r="T4" i="12"/>
  <c r="T26" i="12"/>
  <c r="X26" i="12" s="1"/>
  <c r="T3" i="12"/>
  <c r="U3" i="12" s="1"/>
  <c r="T41" i="12"/>
  <c r="X41" i="12" s="1"/>
  <c r="T42" i="12"/>
  <c r="T43" i="12"/>
  <c r="T44" i="12"/>
  <c r="X44" i="12" s="1"/>
  <c r="T45" i="12"/>
  <c r="X45" i="12" s="1"/>
  <c r="T46" i="12"/>
  <c r="T47" i="12"/>
  <c r="T48" i="12"/>
  <c r="T49" i="12"/>
  <c r="X49" i="12" s="1"/>
  <c r="T50" i="12"/>
  <c r="X50" i="12" s="1"/>
  <c r="T51" i="12"/>
  <c r="T52" i="12"/>
  <c r="T53" i="12"/>
  <c r="X53" i="12" s="1"/>
  <c r="T54" i="12"/>
  <c r="T55" i="12"/>
  <c r="X55" i="12" s="1"/>
  <c r="T56" i="12"/>
  <c r="T57" i="12"/>
  <c r="X57" i="12" s="1"/>
  <c r="T58" i="12"/>
  <c r="T59" i="12"/>
  <c r="T60" i="12"/>
  <c r="X60" i="12" s="1"/>
  <c r="T61" i="12"/>
  <c r="X61" i="12" s="1"/>
  <c r="T62" i="12"/>
  <c r="T63" i="12"/>
  <c r="T64" i="12"/>
  <c r="T65" i="12"/>
  <c r="X65" i="12" s="1"/>
  <c r="T66" i="12"/>
  <c r="X66" i="12" s="1"/>
  <c r="T67" i="12"/>
  <c r="T68" i="12"/>
  <c r="T69" i="12"/>
  <c r="X69" i="12" s="1"/>
  <c r="T70" i="12"/>
  <c r="T71" i="12"/>
  <c r="X71" i="12" s="1"/>
  <c r="T72" i="12"/>
  <c r="T73" i="12"/>
  <c r="X73" i="12" s="1"/>
  <c r="T74" i="12"/>
  <c r="T75" i="12"/>
  <c r="T76" i="12"/>
  <c r="X76" i="12" s="1"/>
  <c r="T77" i="12"/>
  <c r="X77" i="12" s="1"/>
  <c r="T78" i="12"/>
  <c r="T79" i="12"/>
  <c r="T80" i="12"/>
  <c r="T81" i="12"/>
  <c r="X81" i="12" s="1"/>
  <c r="T82" i="12"/>
  <c r="X82" i="12" s="1"/>
  <c r="T83" i="12"/>
  <c r="T84" i="12"/>
  <c r="T85" i="12"/>
  <c r="X85" i="12" s="1"/>
  <c r="T86" i="12"/>
  <c r="T87" i="12"/>
  <c r="X87" i="12" s="1"/>
  <c r="T88" i="12"/>
  <c r="T89" i="12"/>
  <c r="X89" i="12" s="1"/>
  <c r="T90" i="12"/>
  <c r="T91" i="12"/>
  <c r="T92" i="12"/>
  <c r="X92" i="12" s="1"/>
  <c r="T93" i="12"/>
  <c r="X93" i="12" s="1"/>
  <c r="T94" i="12"/>
  <c r="T95" i="12"/>
  <c r="T96" i="12"/>
  <c r="T97" i="12"/>
  <c r="X97" i="12" s="1"/>
  <c r="T98" i="12"/>
  <c r="X98" i="12" s="1"/>
  <c r="T99" i="12"/>
  <c r="T100" i="12"/>
  <c r="T101" i="12"/>
  <c r="X101" i="12" s="1"/>
  <c r="T102" i="12"/>
  <c r="T103" i="12"/>
  <c r="X103" i="12" s="1"/>
  <c r="T104" i="12"/>
  <c r="T105" i="12"/>
  <c r="X105" i="12" s="1"/>
  <c r="T106" i="12"/>
  <c r="T107" i="12"/>
  <c r="T108" i="12"/>
  <c r="X108" i="12" s="1"/>
  <c r="T109" i="12"/>
  <c r="X109" i="12" s="1"/>
  <c r="T110" i="12"/>
  <c r="T111" i="12"/>
  <c r="T112" i="12"/>
  <c r="T113" i="12"/>
  <c r="X113" i="12" s="1"/>
  <c r="T114" i="12"/>
  <c r="X114" i="12" s="1"/>
  <c r="T115" i="12"/>
  <c r="T116" i="12"/>
  <c r="T117" i="12"/>
  <c r="X117" i="12" s="1"/>
  <c r="T118" i="12"/>
  <c r="T119" i="12"/>
  <c r="X119" i="12" s="1"/>
  <c r="T120" i="12"/>
  <c r="T121" i="12"/>
  <c r="X121" i="12" s="1"/>
  <c r="T122" i="12"/>
  <c r="T123" i="12"/>
  <c r="T124" i="12"/>
  <c r="X124" i="12" s="1"/>
  <c r="T125" i="12"/>
  <c r="X125" i="12" s="1"/>
  <c r="T126" i="12"/>
  <c r="T127" i="12"/>
  <c r="T128" i="12"/>
  <c r="T129" i="12"/>
  <c r="X129" i="12" s="1"/>
  <c r="T130" i="12"/>
  <c r="X130" i="12" s="1"/>
  <c r="T131" i="12"/>
  <c r="T132" i="12"/>
  <c r="T133" i="12"/>
  <c r="X133" i="12" s="1"/>
  <c r="T134" i="12"/>
  <c r="T135" i="12"/>
  <c r="X135" i="12" s="1"/>
  <c r="T136" i="12"/>
  <c r="T137" i="12"/>
  <c r="X137" i="12" s="1"/>
  <c r="T138" i="12"/>
  <c r="T139" i="12"/>
  <c r="T140" i="12"/>
  <c r="X140" i="12" s="1"/>
  <c r="T141" i="12"/>
  <c r="X141" i="12" s="1"/>
  <c r="T142" i="12"/>
  <c r="T143" i="12"/>
  <c r="T144" i="12"/>
  <c r="T145" i="12"/>
  <c r="X145" i="12" s="1"/>
  <c r="T146" i="12"/>
  <c r="X146" i="12" s="1"/>
  <c r="T147" i="12"/>
  <c r="T148" i="12"/>
  <c r="T149" i="12"/>
  <c r="X149" i="12" s="1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7" i="12"/>
  <c r="V345" i="12" l="1"/>
  <c r="X345" i="12"/>
  <c r="V329" i="12"/>
  <c r="X329" i="12"/>
  <c r="V340" i="12"/>
  <c r="X340" i="12"/>
  <c r="V328" i="12"/>
  <c r="X328" i="12"/>
  <c r="V316" i="12"/>
  <c r="X316" i="12"/>
  <c r="V304" i="12"/>
  <c r="X304" i="12"/>
  <c r="V300" i="12"/>
  <c r="X300" i="12"/>
  <c r="V296" i="12"/>
  <c r="X296" i="12"/>
  <c r="V292" i="12"/>
  <c r="X292" i="12"/>
  <c r="V288" i="12"/>
  <c r="X288" i="12"/>
  <c r="V284" i="12"/>
  <c r="X284" i="12"/>
  <c r="V280" i="12"/>
  <c r="X280" i="12"/>
  <c r="V276" i="12"/>
  <c r="X276" i="12"/>
  <c r="V272" i="12"/>
  <c r="X272" i="12"/>
  <c r="V268" i="12"/>
  <c r="X268" i="12"/>
  <c r="V264" i="12"/>
  <c r="X264" i="12"/>
  <c r="V260" i="12"/>
  <c r="X260" i="12"/>
  <c r="V256" i="12"/>
  <c r="X256" i="12"/>
  <c r="V252" i="12"/>
  <c r="X252" i="12"/>
  <c r="V248" i="12"/>
  <c r="X248" i="12"/>
  <c r="V244" i="12"/>
  <c r="X244" i="12"/>
  <c r="V240" i="12"/>
  <c r="X240" i="12"/>
  <c r="V236" i="12"/>
  <c r="X236" i="12"/>
  <c r="V232" i="12"/>
  <c r="X232" i="12"/>
  <c r="V228" i="12"/>
  <c r="X228" i="12"/>
  <c r="V224" i="12"/>
  <c r="X224" i="12"/>
  <c r="V220" i="12"/>
  <c r="X220" i="12"/>
  <c r="V216" i="12"/>
  <c r="X216" i="12"/>
  <c r="V212" i="12"/>
  <c r="X212" i="12"/>
  <c r="V208" i="12"/>
  <c r="X208" i="12"/>
  <c r="V204" i="12"/>
  <c r="X204" i="12"/>
  <c r="V200" i="12"/>
  <c r="X200" i="12"/>
  <c r="V196" i="12"/>
  <c r="X196" i="12"/>
  <c r="V192" i="12"/>
  <c r="X192" i="12"/>
  <c r="V188" i="12"/>
  <c r="X188" i="12"/>
  <c r="V184" i="12"/>
  <c r="X184" i="12"/>
  <c r="V180" i="12"/>
  <c r="X180" i="12"/>
  <c r="V176" i="12"/>
  <c r="X176" i="12"/>
  <c r="V172" i="12"/>
  <c r="X172" i="12"/>
  <c r="V168" i="12"/>
  <c r="X168" i="12"/>
  <c r="V164" i="12"/>
  <c r="X164" i="12"/>
  <c r="V160" i="12"/>
  <c r="X160" i="12"/>
  <c r="V156" i="12"/>
  <c r="X156" i="12"/>
  <c r="V152" i="12"/>
  <c r="X152" i="12"/>
  <c r="U148" i="12"/>
  <c r="X148" i="12"/>
  <c r="V144" i="12"/>
  <c r="X144" i="12"/>
  <c r="V136" i="12"/>
  <c r="X136" i="12"/>
  <c r="U132" i="12"/>
  <c r="X132" i="12"/>
  <c r="V128" i="12"/>
  <c r="X128" i="12"/>
  <c r="U120" i="12"/>
  <c r="X120" i="12"/>
  <c r="V116" i="12"/>
  <c r="X116" i="12"/>
  <c r="U112" i="12"/>
  <c r="X112" i="12"/>
  <c r="U104" i="12"/>
  <c r="X104" i="12"/>
  <c r="V100" i="12"/>
  <c r="X100" i="12"/>
  <c r="V96" i="12"/>
  <c r="X96" i="12"/>
  <c r="V88" i="12"/>
  <c r="X88" i="12"/>
  <c r="U84" i="12"/>
  <c r="X84" i="12"/>
  <c r="V80" i="12"/>
  <c r="X80" i="12"/>
  <c r="V72" i="12"/>
  <c r="X72" i="12"/>
  <c r="U68" i="12"/>
  <c r="X68" i="12"/>
  <c r="V64" i="12"/>
  <c r="X64" i="12"/>
  <c r="U56" i="12"/>
  <c r="X56" i="12"/>
  <c r="V52" i="12"/>
  <c r="X52" i="12"/>
  <c r="U48" i="12"/>
  <c r="X48" i="12"/>
  <c r="U22" i="12"/>
  <c r="X22" i="12"/>
  <c r="V19" i="12"/>
  <c r="X19" i="12"/>
  <c r="U34" i="12"/>
  <c r="X34" i="12"/>
  <c r="U18" i="12"/>
  <c r="X18" i="12"/>
  <c r="V29" i="12"/>
  <c r="X29" i="12"/>
  <c r="V40" i="12"/>
  <c r="X40" i="12"/>
  <c r="V25" i="12"/>
  <c r="X25" i="12"/>
  <c r="V33" i="12"/>
  <c r="X33" i="12"/>
  <c r="V21" i="12"/>
  <c r="X21" i="12"/>
  <c r="V341" i="12"/>
  <c r="X341" i="12"/>
  <c r="V317" i="12"/>
  <c r="X317" i="12"/>
  <c r="V344" i="12"/>
  <c r="X344" i="12"/>
  <c r="V336" i="12"/>
  <c r="X336" i="12"/>
  <c r="V324" i="12"/>
  <c r="X324" i="12"/>
  <c r="V308" i="12"/>
  <c r="X308" i="12"/>
  <c r="V347" i="12"/>
  <c r="X347" i="12"/>
  <c r="V343" i="12"/>
  <c r="X343" i="12"/>
  <c r="V339" i="12"/>
  <c r="X339" i="12"/>
  <c r="V335" i="12"/>
  <c r="X335" i="12"/>
  <c r="V331" i="12"/>
  <c r="X331" i="12"/>
  <c r="V327" i="12"/>
  <c r="X327" i="12"/>
  <c r="V323" i="12"/>
  <c r="X323" i="12"/>
  <c r="V319" i="12"/>
  <c r="X319" i="12"/>
  <c r="V315" i="12"/>
  <c r="X315" i="12"/>
  <c r="V311" i="12"/>
  <c r="X311" i="12"/>
  <c r="V307" i="12"/>
  <c r="X307" i="12"/>
  <c r="V303" i="12"/>
  <c r="X303" i="12"/>
  <c r="V299" i="12"/>
  <c r="X299" i="12"/>
  <c r="V295" i="12"/>
  <c r="X295" i="12"/>
  <c r="V291" i="12"/>
  <c r="X291" i="12"/>
  <c r="V287" i="12"/>
  <c r="X287" i="12"/>
  <c r="V283" i="12"/>
  <c r="X283" i="12"/>
  <c r="V279" i="12"/>
  <c r="X279" i="12"/>
  <c r="V275" i="12"/>
  <c r="X275" i="12"/>
  <c r="V271" i="12"/>
  <c r="X271" i="12"/>
  <c r="V267" i="12"/>
  <c r="X267" i="12"/>
  <c r="V263" i="12"/>
  <c r="X263" i="12"/>
  <c r="V259" i="12"/>
  <c r="X259" i="12"/>
  <c r="V255" i="12"/>
  <c r="X255" i="12"/>
  <c r="V251" i="12"/>
  <c r="X251" i="12"/>
  <c r="V247" i="12"/>
  <c r="X247" i="12"/>
  <c r="V243" i="12"/>
  <c r="X243" i="12"/>
  <c r="V239" i="12"/>
  <c r="X239" i="12"/>
  <c r="V235" i="12"/>
  <c r="X235" i="12"/>
  <c r="V231" i="12"/>
  <c r="X231" i="12"/>
  <c r="V227" i="12"/>
  <c r="X227" i="12"/>
  <c r="V223" i="12"/>
  <c r="X223" i="12"/>
  <c r="V219" i="12"/>
  <c r="X219" i="12"/>
  <c r="V215" i="12"/>
  <c r="X215" i="12"/>
  <c r="V211" i="12"/>
  <c r="X211" i="12"/>
  <c r="V207" i="12"/>
  <c r="X207" i="12"/>
  <c r="V203" i="12"/>
  <c r="X203" i="12"/>
  <c r="V199" i="12"/>
  <c r="X199" i="12"/>
  <c r="V195" i="12"/>
  <c r="X195" i="12"/>
  <c r="V191" i="12"/>
  <c r="X191" i="12"/>
  <c r="V187" i="12"/>
  <c r="X187" i="12"/>
  <c r="V183" i="12"/>
  <c r="X183" i="12"/>
  <c r="V179" i="12"/>
  <c r="X179" i="12"/>
  <c r="V175" i="12"/>
  <c r="X175" i="12"/>
  <c r="V171" i="12"/>
  <c r="X171" i="12"/>
  <c r="V167" i="12"/>
  <c r="X167" i="12"/>
  <c r="V163" i="12"/>
  <c r="X163" i="12"/>
  <c r="V159" i="12"/>
  <c r="X159" i="12"/>
  <c r="V155" i="12"/>
  <c r="X155" i="12"/>
  <c r="V151" i="12"/>
  <c r="X151" i="12"/>
  <c r="V147" i="12"/>
  <c r="X147" i="12"/>
  <c r="V143" i="12"/>
  <c r="X143" i="12"/>
  <c r="V139" i="12"/>
  <c r="X139" i="12"/>
  <c r="V131" i="12"/>
  <c r="X131" i="12"/>
  <c r="U127" i="12"/>
  <c r="X127" i="12"/>
  <c r="V123" i="12"/>
  <c r="X123" i="12"/>
  <c r="V115" i="12"/>
  <c r="X115" i="12"/>
  <c r="V111" i="12"/>
  <c r="X111" i="12"/>
  <c r="V107" i="12"/>
  <c r="X107" i="12"/>
  <c r="U99" i="12"/>
  <c r="X99" i="12"/>
  <c r="V95" i="12"/>
  <c r="X95" i="12"/>
  <c r="U91" i="12"/>
  <c r="X91" i="12"/>
  <c r="V83" i="12"/>
  <c r="X83" i="12"/>
  <c r="V79" i="12"/>
  <c r="X79" i="12"/>
  <c r="V75" i="12"/>
  <c r="X75" i="12"/>
  <c r="V67" i="12"/>
  <c r="X67" i="12"/>
  <c r="U63" i="12"/>
  <c r="X63" i="12"/>
  <c r="V59" i="12"/>
  <c r="X59" i="12"/>
  <c r="V51" i="12"/>
  <c r="X51" i="12"/>
  <c r="V47" i="12"/>
  <c r="X47" i="12"/>
  <c r="V43" i="12"/>
  <c r="X43" i="12"/>
  <c r="U36" i="12"/>
  <c r="X36" i="12"/>
  <c r="U35" i="12"/>
  <c r="X35" i="12"/>
  <c r="V39" i="12"/>
  <c r="X39" i="12"/>
  <c r="U28" i="12"/>
  <c r="X28" i="12"/>
  <c r="U10" i="12"/>
  <c r="X10" i="12"/>
  <c r="U31" i="12"/>
  <c r="X31" i="12"/>
  <c r="U32" i="12"/>
  <c r="X32" i="12"/>
  <c r="U17" i="12"/>
  <c r="X17" i="12"/>
  <c r="V337" i="12"/>
  <c r="X337" i="12"/>
  <c r="V325" i="12"/>
  <c r="X325" i="12"/>
  <c r="V348" i="12"/>
  <c r="X348" i="12"/>
  <c r="V332" i="12"/>
  <c r="X332" i="12"/>
  <c r="V320" i="12"/>
  <c r="X320" i="12"/>
  <c r="V312" i="12"/>
  <c r="X312" i="12"/>
  <c r="V346" i="12"/>
  <c r="X346" i="12"/>
  <c r="V342" i="12"/>
  <c r="X342" i="12"/>
  <c r="V338" i="12"/>
  <c r="X338" i="12"/>
  <c r="V334" i="12"/>
  <c r="X334" i="12"/>
  <c r="V330" i="12"/>
  <c r="X330" i="12"/>
  <c r="V326" i="12"/>
  <c r="X326" i="12"/>
  <c r="V322" i="12"/>
  <c r="X322" i="12"/>
  <c r="V318" i="12"/>
  <c r="X318" i="12"/>
  <c r="V314" i="12"/>
  <c r="X314" i="12"/>
  <c r="V310" i="12"/>
  <c r="X310" i="12"/>
  <c r="V306" i="12"/>
  <c r="X306" i="12"/>
  <c r="V302" i="12"/>
  <c r="X302" i="12"/>
  <c r="V298" i="12"/>
  <c r="X298" i="12"/>
  <c r="V294" i="12"/>
  <c r="X294" i="12"/>
  <c r="V290" i="12"/>
  <c r="X290" i="12"/>
  <c r="V286" i="12"/>
  <c r="X286" i="12"/>
  <c r="V282" i="12"/>
  <c r="X282" i="12"/>
  <c r="V278" i="12"/>
  <c r="X278" i="12"/>
  <c r="V274" i="12"/>
  <c r="X274" i="12"/>
  <c r="V270" i="12"/>
  <c r="X270" i="12"/>
  <c r="V266" i="12"/>
  <c r="X266" i="12"/>
  <c r="V262" i="12"/>
  <c r="X262" i="12"/>
  <c r="V258" i="12"/>
  <c r="X258" i="12"/>
  <c r="V254" i="12"/>
  <c r="X254" i="12"/>
  <c r="V250" i="12"/>
  <c r="X250" i="12"/>
  <c r="V246" i="12"/>
  <c r="X246" i="12"/>
  <c r="V242" i="12"/>
  <c r="X242" i="12"/>
  <c r="V238" i="12"/>
  <c r="X238" i="12"/>
  <c r="V234" i="12"/>
  <c r="X234" i="12"/>
  <c r="V230" i="12"/>
  <c r="X230" i="12"/>
  <c r="V226" i="12"/>
  <c r="X226" i="12"/>
  <c r="V222" i="12"/>
  <c r="X222" i="12"/>
  <c r="V218" i="12"/>
  <c r="X218" i="12"/>
  <c r="V214" i="12"/>
  <c r="X214" i="12"/>
  <c r="V210" i="12"/>
  <c r="X210" i="12"/>
  <c r="V206" i="12"/>
  <c r="X206" i="12"/>
  <c r="V202" i="12"/>
  <c r="X202" i="12"/>
  <c r="V198" i="12"/>
  <c r="X198" i="12"/>
  <c r="V194" i="12"/>
  <c r="X194" i="12"/>
  <c r="V190" i="12"/>
  <c r="X190" i="12"/>
  <c r="V186" i="12"/>
  <c r="X186" i="12"/>
  <c r="V182" i="12"/>
  <c r="X182" i="12"/>
  <c r="V178" i="12"/>
  <c r="X178" i="12"/>
  <c r="V174" i="12"/>
  <c r="X174" i="12"/>
  <c r="V170" i="12"/>
  <c r="X170" i="12"/>
  <c r="V166" i="12"/>
  <c r="X166" i="12"/>
  <c r="V162" i="12"/>
  <c r="X162" i="12"/>
  <c r="V158" i="12"/>
  <c r="X158" i="12"/>
  <c r="V154" i="12"/>
  <c r="X154" i="12"/>
  <c r="V150" i="12"/>
  <c r="X150" i="12"/>
  <c r="U142" i="12"/>
  <c r="X142" i="12"/>
  <c r="V138" i="12"/>
  <c r="X138" i="12"/>
  <c r="U134" i="12"/>
  <c r="X134" i="12"/>
  <c r="V126" i="12"/>
  <c r="X126" i="12"/>
  <c r="V122" i="12"/>
  <c r="X122" i="12"/>
  <c r="V118" i="12"/>
  <c r="X118" i="12"/>
  <c r="V110" i="12"/>
  <c r="X110" i="12"/>
  <c r="U106" i="12"/>
  <c r="X106" i="12"/>
  <c r="V102" i="12"/>
  <c r="X102" i="12"/>
  <c r="V94" i="12"/>
  <c r="X94" i="12"/>
  <c r="U90" i="12"/>
  <c r="X90" i="12"/>
  <c r="V86" i="12"/>
  <c r="X86" i="12"/>
  <c r="U78" i="12"/>
  <c r="X78" i="12"/>
  <c r="V74" i="12"/>
  <c r="X74" i="12"/>
  <c r="U70" i="12"/>
  <c r="X70" i="12"/>
  <c r="V62" i="12"/>
  <c r="X62" i="12"/>
  <c r="V58" i="12"/>
  <c r="X58" i="12"/>
  <c r="V54" i="12"/>
  <c r="X54" i="12"/>
  <c r="V46" i="12"/>
  <c r="X46" i="12"/>
  <c r="U42" i="12"/>
  <c r="X42" i="12"/>
  <c r="U4" i="12"/>
  <c r="X4" i="12"/>
  <c r="U14" i="12"/>
  <c r="X14" i="12"/>
  <c r="U30" i="12"/>
  <c r="X30" i="12"/>
  <c r="V15" i="12"/>
  <c r="X15" i="12"/>
  <c r="U13" i="12"/>
  <c r="X13" i="12"/>
  <c r="V24" i="12"/>
  <c r="X24" i="12"/>
  <c r="U8" i="12"/>
  <c r="X8" i="12"/>
  <c r="U38" i="12"/>
  <c r="X38" i="12"/>
  <c r="V20" i="12"/>
  <c r="X20" i="12"/>
  <c r="V37" i="12"/>
  <c r="X37" i="12"/>
  <c r="V333" i="12"/>
  <c r="X333" i="12"/>
  <c r="V321" i="12"/>
  <c r="X321" i="12"/>
  <c r="V313" i="12"/>
  <c r="X313" i="12"/>
  <c r="V309" i="12"/>
  <c r="X309" i="12"/>
  <c r="V305" i="12"/>
  <c r="X305" i="12"/>
  <c r="V301" i="12"/>
  <c r="X301" i="12"/>
  <c r="V297" i="12"/>
  <c r="X297" i="12"/>
  <c r="V293" i="12"/>
  <c r="X293" i="12"/>
  <c r="V289" i="12"/>
  <c r="X289" i="12"/>
  <c r="V285" i="12"/>
  <c r="X285" i="12"/>
  <c r="V281" i="12"/>
  <c r="X281" i="12"/>
  <c r="V277" i="12"/>
  <c r="X277" i="12"/>
  <c r="V273" i="12"/>
  <c r="X273" i="12"/>
  <c r="V269" i="12"/>
  <c r="X269" i="12"/>
  <c r="V265" i="12"/>
  <c r="X265" i="12"/>
  <c r="V261" i="12"/>
  <c r="X261" i="12"/>
  <c r="V257" i="12"/>
  <c r="X257" i="12"/>
  <c r="V253" i="12"/>
  <c r="X253" i="12"/>
  <c r="V249" i="12"/>
  <c r="X249" i="12"/>
  <c r="V245" i="12"/>
  <c r="X245" i="12"/>
  <c r="V241" i="12"/>
  <c r="X241" i="12"/>
  <c r="V237" i="12"/>
  <c r="X237" i="12"/>
  <c r="V233" i="12"/>
  <c r="X233" i="12"/>
  <c r="V229" i="12"/>
  <c r="X229" i="12"/>
  <c r="V225" i="12"/>
  <c r="X225" i="12"/>
  <c r="V221" i="12"/>
  <c r="X221" i="12"/>
  <c r="V217" i="12"/>
  <c r="X217" i="12"/>
  <c r="V213" i="12"/>
  <c r="X213" i="12"/>
  <c r="V209" i="12"/>
  <c r="X209" i="12"/>
  <c r="V205" i="12"/>
  <c r="X205" i="12"/>
  <c r="V201" i="12"/>
  <c r="X201" i="12"/>
  <c r="V197" i="12"/>
  <c r="X197" i="12"/>
  <c r="V193" i="12"/>
  <c r="X193" i="12"/>
  <c r="V189" i="12"/>
  <c r="X189" i="12"/>
  <c r="V185" i="12"/>
  <c r="X185" i="12"/>
  <c r="V181" i="12"/>
  <c r="X181" i="12"/>
  <c r="V177" i="12"/>
  <c r="X177" i="12"/>
  <c r="V173" i="12"/>
  <c r="X173" i="12"/>
  <c r="V169" i="12"/>
  <c r="X169" i="12"/>
  <c r="V165" i="12"/>
  <c r="X165" i="12"/>
  <c r="V161" i="12"/>
  <c r="X161" i="12"/>
  <c r="V157" i="12"/>
  <c r="X157" i="12"/>
  <c r="V153" i="12"/>
  <c r="X153" i="12"/>
  <c r="U5" i="12"/>
  <c r="X5" i="12"/>
  <c r="U16" i="12"/>
  <c r="X16" i="12"/>
  <c r="U9" i="12"/>
  <c r="X9" i="12"/>
  <c r="V11" i="12"/>
  <c r="X11" i="12"/>
  <c r="V7" i="12"/>
  <c r="X7" i="12"/>
  <c r="V6" i="12"/>
  <c r="X6" i="12"/>
  <c r="V27" i="12"/>
  <c r="X27" i="12"/>
  <c r="V23" i="12"/>
  <c r="X23" i="12"/>
  <c r="V12" i="12"/>
  <c r="X12" i="12"/>
  <c r="V42" i="12"/>
  <c r="U46" i="12"/>
  <c r="U126" i="12"/>
  <c r="U102" i="12"/>
  <c r="V70" i="12"/>
  <c r="U74" i="12"/>
  <c r="V127" i="12"/>
  <c r="V63" i="12"/>
  <c r="U118" i="12"/>
  <c r="U62" i="12"/>
  <c r="V142" i="12"/>
  <c r="V90" i="12"/>
  <c r="U139" i="12"/>
  <c r="U111" i="12"/>
  <c r="U83" i="12"/>
  <c r="U54" i="12"/>
  <c r="V99" i="12"/>
  <c r="V91" i="12"/>
  <c r="U147" i="12"/>
  <c r="V134" i="12"/>
  <c r="V106" i="12"/>
  <c r="V78" i="12"/>
  <c r="U138" i="12"/>
  <c r="U110" i="12"/>
  <c r="U75" i="12"/>
  <c r="U47" i="12"/>
  <c r="U60" i="12"/>
  <c r="V60" i="12"/>
  <c r="U44" i="12"/>
  <c r="V44" i="12"/>
  <c r="V148" i="12"/>
  <c r="V120" i="12"/>
  <c r="U96" i="12"/>
  <c r="U135" i="12"/>
  <c r="V135" i="12"/>
  <c r="U119" i="12"/>
  <c r="V119" i="12"/>
  <c r="U103" i="12"/>
  <c r="V103" i="12"/>
  <c r="U55" i="12"/>
  <c r="V55" i="12"/>
  <c r="V132" i="12"/>
  <c r="V104" i="12"/>
  <c r="V68" i="12"/>
  <c r="V3" i="12"/>
  <c r="U144" i="12"/>
  <c r="U131" i="12"/>
  <c r="U123" i="12"/>
  <c r="U116" i="12"/>
  <c r="U95" i="12"/>
  <c r="U88" i="12"/>
  <c r="U80" i="12"/>
  <c r="U67" i="12"/>
  <c r="U59" i="12"/>
  <c r="U52" i="12"/>
  <c r="U124" i="12"/>
  <c r="V124" i="12"/>
  <c r="U92" i="12"/>
  <c r="V92" i="12"/>
  <c r="V84" i="12"/>
  <c r="V48" i="12"/>
  <c r="U87" i="12"/>
  <c r="V87" i="12"/>
  <c r="U71" i="12"/>
  <c r="V71" i="12"/>
  <c r="U26" i="12"/>
  <c r="V26" i="12"/>
  <c r="U146" i="12"/>
  <c r="V146" i="12"/>
  <c r="U130" i="12"/>
  <c r="V130" i="12"/>
  <c r="U114" i="12"/>
  <c r="V114" i="12"/>
  <c r="U98" i="12"/>
  <c r="V98" i="12"/>
  <c r="U82" i="12"/>
  <c r="V82" i="12"/>
  <c r="U66" i="12"/>
  <c r="V66" i="12"/>
  <c r="U50" i="12"/>
  <c r="V50" i="12"/>
  <c r="U150" i="12"/>
  <c r="U143" i="12"/>
  <c r="U136" i="12"/>
  <c r="U128" i="12"/>
  <c r="U122" i="12"/>
  <c r="U115" i="12"/>
  <c r="U107" i="12"/>
  <c r="U100" i="12"/>
  <c r="U94" i="12"/>
  <c r="U86" i="12"/>
  <c r="U79" i="12"/>
  <c r="U72" i="12"/>
  <c r="U64" i="12"/>
  <c r="U58" i="12"/>
  <c r="U51" i="12"/>
  <c r="U43" i="12"/>
  <c r="U140" i="12"/>
  <c r="V140" i="12"/>
  <c r="U108" i="12"/>
  <c r="V108" i="12"/>
  <c r="U76" i="12"/>
  <c r="V76" i="12"/>
  <c r="V112" i="12"/>
  <c r="V56" i="12"/>
  <c r="U149" i="12"/>
  <c r="V149" i="12"/>
  <c r="U145" i="12"/>
  <c r="V145" i="12"/>
  <c r="U141" i="12"/>
  <c r="V141" i="12"/>
  <c r="U137" i="12"/>
  <c r="V137" i="12"/>
  <c r="U133" i="12"/>
  <c r="V133" i="12"/>
  <c r="U129" i="12"/>
  <c r="V129" i="12"/>
  <c r="U125" i="12"/>
  <c r="V125" i="12"/>
  <c r="U121" i="12"/>
  <c r="V121" i="12"/>
  <c r="U117" i="12"/>
  <c r="V117" i="12"/>
  <c r="U113" i="12"/>
  <c r="V113" i="12"/>
  <c r="U109" i="12"/>
  <c r="V109" i="12"/>
  <c r="U105" i="12"/>
  <c r="V105" i="12"/>
  <c r="U101" i="12"/>
  <c r="V101" i="12"/>
  <c r="U97" i="12"/>
  <c r="V97" i="12"/>
  <c r="U93" i="12"/>
  <c r="V93" i="12"/>
  <c r="U89" i="12"/>
  <c r="V89" i="12"/>
  <c r="U85" i="12"/>
  <c r="V85" i="12"/>
  <c r="U81" i="12"/>
  <c r="V81" i="12"/>
  <c r="U77" i="12"/>
  <c r="V77" i="12"/>
  <c r="U73" i="12"/>
  <c r="V73" i="12"/>
  <c r="U69" i="12"/>
  <c r="V69" i="12"/>
  <c r="U65" i="12"/>
  <c r="V65" i="12"/>
  <c r="U61" i="12"/>
  <c r="V61" i="12"/>
  <c r="U57" i="12"/>
  <c r="V57" i="12"/>
  <c r="U53" i="12"/>
  <c r="V53" i="12"/>
  <c r="U49" i="12"/>
  <c r="V49" i="12"/>
  <c r="U45" i="12"/>
  <c r="V45" i="12"/>
  <c r="U41" i="12"/>
  <c r="V41" i="12"/>
  <c r="V35" i="12"/>
  <c r="U39" i="12"/>
  <c r="V30" i="12"/>
  <c r="V5" i="12"/>
  <c r="V9" i="12"/>
  <c r="V22" i="12"/>
  <c r="V4" i="12"/>
  <c r="V36" i="12"/>
  <c r="V14" i="12"/>
  <c r="V16" i="12"/>
  <c r="U19" i="12"/>
  <c r="V34" i="12"/>
  <c r="U20" i="12"/>
  <c r="U15" i="12"/>
  <c r="U11" i="12"/>
  <c r="V18" i="12"/>
  <c r="V28" i="12"/>
  <c r="V13" i="12"/>
  <c r="U7" i="12"/>
  <c r="V31" i="12"/>
  <c r="V32" i="12"/>
  <c r="V10" i="12"/>
  <c r="U24" i="12"/>
  <c r="V8" i="12"/>
  <c r="V38" i="12"/>
  <c r="U6" i="12"/>
  <c r="U27" i="12"/>
  <c r="U23" i="12"/>
  <c r="U29" i="12"/>
  <c r="U40" i="12"/>
  <c r="U25" i="12"/>
  <c r="U33" i="12"/>
  <c r="U37" i="12"/>
  <c r="V1" i="12"/>
  <c r="U12" i="12"/>
  <c r="U21" i="12"/>
  <c r="V17" i="12"/>
  <c r="E1" i="12"/>
  <c r="X1" i="12" l="1"/>
  <c r="W1" i="12"/>
  <c r="A11" i="12"/>
  <c r="A17" i="12"/>
  <c r="A12" i="12"/>
  <c r="A10" i="12"/>
  <c r="A37" i="12"/>
  <c r="A35" i="12"/>
  <c r="A28" i="12"/>
  <c r="A30" i="12"/>
  <c r="A32" i="12"/>
  <c r="A39" i="12"/>
  <c r="A20" i="12"/>
  <c r="A25" i="12"/>
  <c r="A8" i="12"/>
  <c r="A16" i="12"/>
  <c r="A19" i="12"/>
  <c r="A14" i="12"/>
  <c r="A40" i="12"/>
  <c r="A13" i="12"/>
  <c r="A15" i="12"/>
  <c r="A6" i="12"/>
  <c r="A24" i="12"/>
  <c r="A36" i="12"/>
  <c r="A22" i="12"/>
  <c r="A5" i="12"/>
  <c r="A4" i="12"/>
  <c r="A26" i="12"/>
  <c r="A3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G56" i="11"/>
  <c r="G57" i="11"/>
  <c r="G58" i="11"/>
  <c r="J58" i="11" s="1"/>
  <c r="G59" i="11"/>
  <c r="G60" i="11"/>
  <c r="G61" i="11"/>
  <c r="G62" i="11"/>
  <c r="J62" i="11" s="1"/>
  <c r="G63" i="11"/>
  <c r="J63" i="11" s="1"/>
  <c r="G64" i="11"/>
  <c r="G65" i="11"/>
  <c r="G66" i="11"/>
  <c r="J66" i="11" s="1"/>
  <c r="G67" i="11"/>
  <c r="J67" i="11" s="1"/>
  <c r="G68" i="11"/>
  <c r="J68" i="11" s="1"/>
  <c r="G69" i="11"/>
  <c r="J69" i="11" s="1"/>
  <c r="G70" i="11"/>
  <c r="J70" i="11" s="1"/>
  <c r="G71" i="11"/>
  <c r="J71" i="11" s="1"/>
  <c r="G72" i="11"/>
  <c r="J72" i="11" s="1"/>
  <c r="G73" i="11"/>
  <c r="J73" i="11" s="1"/>
  <c r="G74" i="11"/>
  <c r="J74" i="11" s="1"/>
  <c r="G75" i="11"/>
  <c r="J75" i="11" s="1"/>
  <c r="G76" i="11"/>
  <c r="J76" i="11" s="1"/>
  <c r="G77" i="11"/>
  <c r="J77" i="11" s="1"/>
  <c r="G78" i="11"/>
  <c r="J78" i="11" s="1"/>
  <c r="G79" i="11"/>
  <c r="J79" i="11" s="1"/>
  <c r="G80" i="11"/>
  <c r="J80" i="11" s="1"/>
  <c r="G81" i="11"/>
  <c r="J81" i="11" s="1"/>
  <c r="G82" i="11"/>
  <c r="J82" i="11" s="1"/>
  <c r="G83" i="11"/>
  <c r="J83" i="11" s="1"/>
  <c r="G84" i="11"/>
  <c r="J84" i="11" s="1"/>
  <c r="G85" i="11"/>
  <c r="J85" i="11" s="1"/>
  <c r="G86" i="11"/>
  <c r="J86" i="11" s="1"/>
  <c r="G87" i="11"/>
  <c r="J87" i="11" s="1"/>
  <c r="G88" i="11"/>
  <c r="J88" i="11" s="1"/>
  <c r="G89" i="11"/>
  <c r="J89" i="11" s="1"/>
  <c r="G90" i="11"/>
  <c r="J90" i="11" s="1"/>
  <c r="G91" i="11"/>
  <c r="J91" i="11" s="1"/>
  <c r="G92" i="11"/>
  <c r="J92" i="11" s="1"/>
  <c r="G93" i="11"/>
  <c r="J93" i="11" s="1"/>
  <c r="G94" i="11"/>
  <c r="J94" i="11" s="1"/>
  <c r="G95" i="11"/>
  <c r="J95" i="11" s="1"/>
  <c r="G96" i="11"/>
  <c r="J96" i="11" s="1"/>
  <c r="G97" i="11"/>
  <c r="J97" i="11" s="1"/>
  <c r="G98" i="11"/>
  <c r="J98" i="11" s="1"/>
  <c r="G99" i="11"/>
  <c r="J99" i="11" s="1"/>
  <c r="G100" i="11"/>
  <c r="J100" i="11" s="1"/>
  <c r="G101" i="11"/>
  <c r="J101" i="11" s="1"/>
  <c r="G102" i="11"/>
  <c r="J102" i="11" s="1"/>
  <c r="G103" i="11"/>
  <c r="J103" i="11" s="1"/>
  <c r="G104" i="11"/>
  <c r="J104" i="11" s="1"/>
  <c r="G105" i="11"/>
  <c r="J105" i="11" s="1"/>
  <c r="G106" i="11"/>
  <c r="J106" i="11" s="1"/>
  <c r="G107" i="11"/>
  <c r="J107" i="11" s="1"/>
  <c r="G108" i="11"/>
  <c r="J108" i="11" s="1"/>
  <c r="G109" i="11"/>
  <c r="J109" i="11" s="1"/>
  <c r="G110" i="11"/>
  <c r="J110" i="11" s="1"/>
  <c r="G111" i="11"/>
  <c r="J111" i="11" s="1"/>
  <c r="G112" i="11"/>
  <c r="J112" i="11" s="1"/>
  <c r="G113" i="11"/>
  <c r="J113" i="11" s="1"/>
  <c r="G114" i="11"/>
  <c r="J114" i="11" s="1"/>
  <c r="G115" i="11"/>
  <c r="J115" i="11" s="1"/>
  <c r="G116" i="11"/>
  <c r="J116" i="11" s="1"/>
  <c r="G117" i="11"/>
  <c r="J117" i="11" s="1"/>
  <c r="G118" i="11"/>
  <c r="J118" i="11" s="1"/>
  <c r="G119" i="11"/>
  <c r="J119" i="11" s="1"/>
  <c r="G120" i="11"/>
  <c r="J120" i="11" s="1"/>
  <c r="G121" i="11"/>
  <c r="J121" i="11" s="1"/>
  <c r="G122" i="11"/>
  <c r="J122" i="11" s="1"/>
  <c r="G123" i="11"/>
  <c r="J123" i="11" s="1"/>
  <c r="G124" i="11"/>
  <c r="J124" i="11" s="1"/>
  <c r="G125" i="11"/>
  <c r="J125" i="11" s="1"/>
  <c r="G126" i="11"/>
  <c r="J126" i="11" s="1"/>
  <c r="G127" i="11"/>
  <c r="J127" i="11" s="1"/>
  <c r="G128" i="11"/>
  <c r="J128" i="11" s="1"/>
  <c r="G129" i="11"/>
  <c r="J129" i="11" s="1"/>
  <c r="G130" i="11"/>
  <c r="J130" i="11" s="1"/>
  <c r="G131" i="11"/>
  <c r="J131" i="11" s="1"/>
  <c r="G132" i="11"/>
  <c r="J132" i="11" s="1"/>
  <c r="G133" i="11"/>
  <c r="J133" i="11" s="1"/>
  <c r="G134" i="11"/>
  <c r="J134" i="11" s="1"/>
  <c r="G135" i="11"/>
  <c r="J135" i="11" s="1"/>
  <c r="G136" i="11"/>
  <c r="J136" i="11" s="1"/>
  <c r="G137" i="11"/>
  <c r="J137" i="11" s="1"/>
  <c r="G138" i="11"/>
  <c r="J138" i="11" s="1"/>
  <c r="G139" i="11"/>
  <c r="J139" i="11" s="1"/>
  <c r="G140" i="11"/>
  <c r="J140" i="11" s="1"/>
  <c r="G141" i="11"/>
  <c r="J141" i="11" s="1"/>
  <c r="G142" i="11"/>
  <c r="J142" i="11" s="1"/>
  <c r="G143" i="11"/>
  <c r="J143" i="11" s="1"/>
  <c r="G144" i="11"/>
  <c r="J144" i="11" s="1"/>
  <c r="G145" i="11"/>
  <c r="J145" i="11" s="1"/>
  <c r="G146" i="11"/>
  <c r="J146" i="11" s="1"/>
  <c r="G147" i="11"/>
  <c r="J147" i="11" s="1"/>
  <c r="G148" i="11"/>
  <c r="J148" i="11" s="1"/>
  <c r="G149" i="11"/>
  <c r="J149" i="11" s="1"/>
  <c r="G150" i="11"/>
  <c r="J150" i="11" s="1"/>
  <c r="G151" i="11"/>
  <c r="J151" i="11" s="1"/>
  <c r="G152" i="11"/>
  <c r="J152" i="11" s="1"/>
  <c r="G153" i="11"/>
  <c r="J153" i="11" s="1"/>
  <c r="G154" i="11"/>
  <c r="J154" i="11" s="1"/>
  <c r="G155" i="11"/>
  <c r="J155" i="11" s="1"/>
  <c r="G156" i="11"/>
  <c r="J156" i="11" s="1"/>
  <c r="G157" i="11"/>
  <c r="J157" i="11" s="1"/>
  <c r="G158" i="11"/>
  <c r="J158" i="11" s="1"/>
  <c r="G159" i="11"/>
  <c r="J159" i="11" s="1"/>
  <c r="G160" i="11"/>
  <c r="J160" i="11" s="1"/>
  <c r="G161" i="11"/>
  <c r="J161" i="11" s="1"/>
  <c r="G162" i="11"/>
  <c r="J162" i="11" s="1"/>
  <c r="G163" i="11"/>
  <c r="J163" i="11" s="1"/>
  <c r="G164" i="11"/>
  <c r="J164" i="11" s="1"/>
  <c r="G165" i="11"/>
  <c r="J165" i="11" s="1"/>
  <c r="G166" i="11"/>
  <c r="J166" i="11" s="1"/>
  <c r="G167" i="11"/>
  <c r="J167" i="11" s="1"/>
  <c r="G168" i="11"/>
  <c r="J168" i="11" s="1"/>
  <c r="G169" i="11"/>
  <c r="J169" i="11" s="1"/>
  <c r="G170" i="11"/>
  <c r="J170" i="11" s="1"/>
  <c r="G171" i="11"/>
  <c r="J171" i="11" s="1"/>
  <c r="G172" i="11"/>
  <c r="J172" i="11" s="1"/>
  <c r="G173" i="11"/>
  <c r="J173" i="11" s="1"/>
  <c r="G174" i="11"/>
  <c r="J174" i="11" s="1"/>
  <c r="G175" i="11"/>
  <c r="J175" i="11" s="1"/>
  <c r="G176" i="11"/>
  <c r="J176" i="11" s="1"/>
  <c r="G177" i="11"/>
  <c r="J177" i="11" s="1"/>
  <c r="G178" i="11"/>
  <c r="J178" i="11" s="1"/>
  <c r="G179" i="11"/>
  <c r="J179" i="11" s="1"/>
  <c r="G180" i="11"/>
  <c r="J180" i="11" s="1"/>
  <c r="G181" i="11"/>
  <c r="J181" i="11" s="1"/>
  <c r="G182" i="11"/>
  <c r="J182" i="11" s="1"/>
  <c r="G183" i="11"/>
  <c r="J183" i="11" s="1"/>
  <c r="G184" i="11"/>
  <c r="J184" i="11" s="1"/>
  <c r="G185" i="11"/>
  <c r="J185" i="11" s="1"/>
  <c r="G186" i="11"/>
  <c r="J186" i="11" s="1"/>
  <c r="G187" i="11"/>
  <c r="J187" i="11" s="1"/>
  <c r="G188" i="11"/>
  <c r="J188" i="11" s="1"/>
  <c r="G189" i="11"/>
  <c r="J189" i="11" s="1"/>
  <c r="G190" i="11"/>
  <c r="J190" i="11" s="1"/>
  <c r="G191" i="11"/>
  <c r="J191" i="11" s="1"/>
  <c r="G192" i="11"/>
  <c r="J192" i="11" s="1"/>
  <c r="G193" i="11"/>
  <c r="J193" i="11" s="1"/>
  <c r="G194" i="11"/>
  <c r="J194" i="11" s="1"/>
  <c r="G195" i="11"/>
  <c r="J195" i="11" s="1"/>
  <c r="G196" i="11"/>
  <c r="J196" i="11" s="1"/>
  <c r="G197" i="11"/>
  <c r="J197" i="11" s="1"/>
  <c r="G198" i="11"/>
  <c r="J198" i="11" s="1"/>
  <c r="G199" i="11"/>
  <c r="J199" i="11" s="1"/>
  <c r="G200" i="11"/>
  <c r="J200" i="11" s="1"/>
  <c r="G201" i="11"/>
  <c r="J201" i="11" s="1"/>
  <c r="G202" i="11"/>
  <c r="J202" i="11" s="1"/>
  <c r="G203" i="11"/>
  <c r="J203" i="11" s="1"/>
  <c r="G204" i="11"/>
  <c r="J204" i="11" s="1"/>
  <c r="G205" i="11"/>
  <c r="J205" i="11" s="1"/>
  <c r="G206" i="11"/>
  <c r="J206" i="11" s="1"/>
  <c r="G207" i="11"/>
  <c r="J207" i="11" s="1"/>
  <c r="G208" i="11"/>
  <c r="J208" i="11" s="1"/>
  <c r="G209" i="11"/>
  <c r="J209" i="11" s="1"/>
  <c r="G210" i="11"/>
  <c r="J210" i="11" s="1"/>
  <c r="G211" i="11"/>
  <c r="J211" i="11" s="1"/>
  <c r="G212" i="11"/>
  <c r="J212" i="11" s="1"/>
  <c r="G213" i="11"/>
  <c r="J213" i="11" s="1"/>
  <c r="G214" i="11"/>
  <c r="J214" i="11" s="1"/>
  <c r="G215" i="11"/>
  <c r="J215" i="11" s="1"/>
  <c r="G216" i="11"/>
  <c r="J216" i="11" s="1"/>
  <c r="G217" i="11"/>
  <c r="J217" i="11" s="1"/>
  <c r="G218" i="11"/>
  <c r="J218" i="11" s="1"/>
  <c r="G219" i="11"/>
  <c r="J219" i="11" s="1"/>
  <c r="G220" i="11"/>
  <c r="J220" i="11" s="1"/>
  <c r="G221" i="11"/>
  <c r="J221" i="11" s="1"/>
  <c r="G222" i="11"/>
  <c r="J222" i="11" s="1"/>
  <c r="G223" i="11"/>
  <c r="J223" i="11" s="1"/>
  <c r="G224" i="11"/>
  <c r="J224" i="11" s="1"/>
  <c r="G225" i="11"/>
  <c r="J225" i="11" s="1"/>
  <c r="G226" i="11"/>
  <c r="J226" i="11" s="1"/>
  <c r="G227" i="11"/>
  <c r="J227" i="11" s="1"/>
  <c r="G228" i="11"/>
  <c r="J228" i="11" s="1"/>
  <c r="G229" i="11"/>
  <c r="J229" i="11" s="1"/>
  <c r="G230" i="11"/>
  <c r="J230" i="11" s="1"/>
  <c r="G231" i="11"/>
  <c r="J231" i="11" s="1"/>
  <c r="G232" i="11"/>
  <c r="J232" i="11" s="1"/>
  <c r="G233" i="11"/>
  <c r="J233" i="11" s="1"/>
  <c r="G234" i="11"/>
  <c r="J234" i="11" s="1"/>
  <c r="G235" i="11"/>
  <c r="J235" i="11" s="1"/>
  <c r="G236" i="11"/>
  <c r="J236" i="11" s="1"/>
  <c r="G237" i="11"/>
  <c r="J237" i="11" s="1"/>
  <c r="G238" i="11"/>
  <c r="J238" i="11" s="1"/>
  <c r="G239" i="11"/>
  <c r="J239" i="11" s="1"/>
  <c r="G240" i="11"/>
  <c r="J240" i="11" s="1"/>
  <c r="G241" i="11"/>
  <c r="J241" i="11" s="1"/>
  <c r="G242" i="11"/>
  <c r="J242" i="11" s="1"/>
  <c r="G243" i="11"/>
  <c r="J243" i="11" s="1"/>
  <c r="G244" i="11"/>
  <c r="J244" i="11" s="1"/>
  <c r="G245" i="11"/>
  <c r="J245" i="11" s="1"/>
  <c r="G246" i="11"/>
  <c r="J246" i="11" s="1"/>
  <c r="G247" i="11"/>
  <c r="J247" i="11" s="1"/>
  <c r="G248" i="11"/>
  <c r="J248" i="11" s="1"/>
  <c r="G249" i="11"/>
  <c r="J249" i="11" s="1"/>
  <c r="G250" i="11"/>
  <c r="J250" i="11" s="1"/>
  <c r="G251" i="11"/>
  <c r="J251" i="11" s="1"/>
  <c r="G252" i="11"/>
  <c r="J252" i="11" s="1"/>
  <c r="G253" i="11"/>
  <c r="J253" i="11" s="1"/>
  <c r="G254" i="11"/>
  <c r="J254" i="11" s="1"/>
  <c r="G255" i="11"/>
  <c r="J255" i="11" s="1"/>
  <c r="G256" i="11"/>
  <c r="J256" i="11" s="1"/>
  <c r="G257" i="11"/>
  <c r="J257" i="11" s="1"/>
  <c r="G258" i="11"/>
  <c r="J258" i="11" s="1"/>
  <c r="G259" i="11"/>
  <c r="J259" i="11" s="1"/>
  <c r="G260" i="11"/>
  <c r="J260" i="11" s="1"/>
  <c r="G261" i="11"/>
  <c r="J261" i="11" s="1"/>
  <c r="G262" i="11"/>
  <c r="J262" i="11" s="1"/>
  <c r="G263" i="11"/>
  <c r="J263" i="11" s="1"/>
  <c r="G264" i="11"/>
  <c r="J264" i="11" s="1"/>
  <c r="G265" i="11"/>
  <c r="J265" i="11" s="1"/>
  <c r="G266" i="11"/>
  <c r="J266" i="11" s="1"/>
  <c r="G267" i="11"/>
  <c r="J267" i="11" s="1"/>
  <c r="G268" i="11"/>
  <c r="J268" i="11" s="1"/>
  <c r="G269" i="11"/>
  <c r="J269" i="11" s="1"/>
  <c r="G270" i="11"/>
  <c r="J270" i="11" s="1"/>
  <c r="G271" i="11"/>
  <c r="J271" i="11" s="1"/>
  <c r="G272" i="11"/>
  <c r="J272" i="11" s="1"/>
  <c r="G273" i="11"/>
  <c r="J273" i="11" s="1"/>
  <c r="G274" i="11"/>
  <c r="J274" i="11" s="1"/>
  <c r="G275" i="11"/>
  <c r="J275" i="11" s="1"/>
  <c r="G276" i="11"/>
  <c r="J276" i="11" s="1"/>
  <c r="G277" i="11"/>
  <c r="J277" i="11" s="1"/>
  <c r="G278" i="11"/>
  <c r="J278" i="11" s="1"/>
  <c r="G279" i="11"/>
  <c r="J279" i="11" s="1"/>
  <c r="G280" i="11"/>
  <c r="J280" i="11" s="1"/>
  <c r="G281" i="11"/>
  <c r="J281" i="11" s="1"/>
  <c r="G282" i="11"/>
  <c r="J282" i="11" s="1"/>
  <c r="G283" i="11"/>
  <c r="J283" i="11" s="1"/>
  <c r="G284" i="11"/>
  <c r="J284" i="11" s="1"/>
  <c r="G285" i="11"/>
  <c r="J285" i="11" s="1"/>
  <c r="G286" i="11"/>
  <c r="J286" i="11" s="1"/>
  <c r="G287" i="11"/>
  <c r="J287" i="11" s="1"/>
  <c r="G288" i="11"/>
  <c r="J288" i="11" s="1"/>
  <c r="G289" i="11"/>
  <c r="J289" i="11" s="1"/>
  <c r="G290" i="11"/>
  <c r="J290" i="11" s="1"/>
  <c r="G291" i="11"/>
  <c r="J291" i="11" s="1"/>
  <c r="G292" i="11"/>
  <c r="J292" i="11" s="1"/>
  <c r="G293" i="11"/>
  <c r="J293" i="11" s="1"/>
  <c r="G294" i="11"/>
  <c r="J294" i="11" s="1"/>
  <c r="G295" i="11"/>
  <c r="J295" i="11" s="1"/>
  <c r="G296" i="11"/>
  <c r="J296" i="11" s="1"/>
  <c r="G297" i="11"/>
  <c r="J297" i="11" s="1"/>
  <c r="G298" i="11"/>
  <c r="J298" i="11" s="1"/>
  <c r="G299" i="11"/>
  <c r="J299" i="11" s="1"/>
  <c r="G300" i="11"/>
  <c r="J300" i="11" s="1"/>
  <c r="G301" i="11"/>
  <c r="J301" i="11" s="1"/>
  <c r="G302" i="11"/>
  <c r="J302" i="11" s="1"/>
  <c r="G303" i="11"/>
  <c r="J303" i="11" s="1"/>
  <c r="G304" i="11"/>
  <c r="J304" i="11" s="1"/>
  <c r="G305" i="11"/>
  <c r="J305" i="11" s="1"/>
  <c r="G306" i="11"/>
  <c r="J306" i="11" s="1"/>
  <c r="G307" i="11"/>
  <c r="J307" i="11" s="1"/>
  <c r="G308" i="11"/>
  <c r="J308" i="11" s="1"/>
  <c r="G309" i="11"/>
  <c r="J309" i="11" s="1"/>
  <c r="G310" i="11"/>
  <c r="J310" i="11" s="1"/>
  <c r="G311" i="11"/>
  <c r="J311" i="11" s="1"/>
  <c r="G312" i="11"/>
  <c r="J312" i="11" s="1"/>
  <c r="G313" i="11"/>
  <c r="J313" i="11" s="1"/>
  <c r="G314" i="11"/>
  <c r="J314" i="11" s="1"/>
  <c r="G315" i="11"/>
  <c r="J315" i="11" s="1"/>
  <c r="G316" i="11"/>
  <c r="J316" i="11" s="1"/>
  <c r="G317" i="11"/>
  <c r="J317" i="11" s="1"/>
  <c r="G318" i="11"/>
  <c r="J318" i="11" s="1"/>
  <c r="G319" i="11"/>
  <c r="J319" i="11" s="1"/>
  <c r="G320" i="11"/>
  <c r="J320" i="11" s="1"/>
  <c r="G321" i="11"/>
  <c r="J321" i="11" s="1"/>
  <c r="G322" i="11"/>
  <c r="J322" i="11" s="1"/>
  <c r="G323" i="11"/>
  <c r="J323" i="11" s="1"/>
  <c r="G324" i="11"/>
  <c r="J324" i="11" s="1"/>
  <c r="G325" i="11"/>
  <c r="J325" i="11" s="1"/>
  <c r="G326" i="11"/>
  <c r="J326" i="11" s="1"/>
  <c r="G327" i="11"/>
  <c r="J327" i="11" s="1"/>
  <c r="G328" i="11"/>
  <c r="J328" i="11" s="1"/>
  <c r="G329" i="11"/>
  <c r="J329" i="11" s="1"/>
  <c r="G330" i="11"/>
  <c r="J330" i="11" s="1"/>
  <c r="G331" i="11"/>
  <c r="J331" i="11" s="1"/>
  <c r="G332" i="11"/>
  <c r="J332" i="11" s="1"/>
  <c r="G333" i="11"/>
  <c r="J333" i="11" s="1"/>
  <c r="G334" i="11"/>
  <c r="J334" i="11" s="1"/>
  <c r="G335" i="11"/>
  <c r="J335" i="11" s="1"/>
  <c r="G336" i="11"/>
  <c r="J336" i="11" s="1"/>
  <c r="G337" i="11"/>
  <c r="J337" i="11" s="1"/>
  <c r="G338" i="11"/>
  <c r="J338" i="11" s="1"/>
  <c r="G339" i="11"/>
  <c r="J339" i="11" s="1"/>
  <c r="G340" i="11"/>
  <c r="J340" i="11" s="1"/>
  <c r="G341" i="11"/>
  <c r="J341" i="11" s="1"/>
  <c r="G342" i="11"/>
  <c r="J342" i="11" s="1"/>
  <c r="G343" i="11"/>
  <c r="J343" i="11" s="1"/>
  <c r="G344" i="11"/>
  <c r="J344" i="11" s="1"/>
  <c r="G345" i="11"/>
  <c r="J345" i="11" s="1"/>
  <c r="G346" i="11"/>
  <c r="J346" i="11" s="1"/>
  <c r="G347" i="11"/>
  <c r="J347" i="11" s="1"/>
  <c r="G348" i="11"/>
  <c r="J348" i="11" s="1"/>
  <c r="G349" i="11"/>
  <c r="J349" i="11" s="1"/>
  <c r="G350" i="11"/>
  <c r="J350" i="11" s="1"/>
  <c r="G351" i="11"/>
  <c r="J351" i="11" s="1"/>
  <c r="G352" i="11"/>
  <c r="J352" i="11" s="1"/>
  <c r="G353" i="11"/>
  <c r="J353" i="11" s="1"/>
  <c r="G354" i="11"/>
  <c r="J354" i="11" s="1"/>
  <c r="G355" i="11"/>
  <c r="J355" i="11" s="1"/>
  <c r="G356" i="11"/>
  <c r="J356" i="11" s="1"/>
  <c r="G357" i="11"/>
  <c r="J357" i="11" s="1"/>
  <c r="G358" i="11"/>
  <c r="J358" i="11" s="1"/>
  <c r="G359" i="11"/>
  <c r="J359" i="11" s="1"/>
  <c r="G360" i="11"/>
  <c r="J360" i="11" s="1"/>
  <c r="G361" i="11"/>
  <c r="J361" i="11" s="1"/>
  <c r="G362" i="11"/>
  <c r="J362" i="11" s="1"/>
  <c r="G363" i="11"/>
  <c r="J363" i="11" s="1"/>
  <c r="G364" i="11"/>
  <c r="J364" i="11" s="1"/>
  <c r="G365" i="11"/>
  <c r="J365" i="11" s="1"/>
  <c r="G366" i="11"/>
  <c r="J366" i="11" s="1"/>
  <c r="G367" i="11"/>
  <c r="J367" i="11" s="1"/>
  <c r="G368" i="11"/>
  <c r="J368" i="11" s="1"/>
  <c r="G369" i="11"/>
  <c r="J369" i="11" s="1"/>
  <c r="G370" i="11"/>
  <c r="J370" i="11" s="1"/>
  <c r="G371" i="11"/>
  <c r="J371" i="11" s="1"/>
  <c r="G372" i="11"/>
  <c r="J372" i="11" s="1"/>
  <c r="G373" i="11"/>
  <c r="J373" i="11" s="1"/>
  <c r="G374" i="11"/>
  <c r="J374" i="11" s="1"/>
  <c r="G375" i="11"/>
  <c r="J375" i="11" s="1"/>
  <c r="G376" i="11"/>
  <c r="J376" i="11" s="1"/>
  <c r="G377" i="11"/>
  <c r="J377" i="11" s="1"/>
  <c r="G378" i="11"/>
  <c r="J378" i="11" s="1"/>
  <c r="G379" i="11"/>
  <c r="J379" i="11" s="1"/>
  <c r="G380" i="11"/>
  <c r="J380" i="11" s="1"/>
  <c r="G381" i="11"/>
  <c r="J381" i="11" s="1"/>
  <c r="G382" i="11"/>
  <c r="J382" i="11" s="1"/>
  <c r="G383" i="11"/>
  <c r="J383" i="11" s="1"/>
  <c r="G384" i="11"/>
  <c r="J384" i="11" s="1"/>
  <c r="G385" i="11"/>
  <c r="J385" i="11" s="1"/>
  <c r="G386" i="11"/>
  <c r="J386" i="11" s="1"/>
  <c r="G387" i="11"/>
  <c r="J387" i="11" s="1"/>
  <c r="G388" i="11"/>
  <c r="J388" i="11" s="1"/>
  <c r="G389" i="11"/>
  <c r="J389" i="11" s="1"/>
  <c r="G390" i="11"/>
  <c r="J390" i="11" s="1"/>
  <c r="G391" i="11"/>
  <c r="J391" i="11" s="1"/>
  <c r="G392" i="11"/>
  <c r="J392" i="11" s="1"/>
  <c r="G393" i="11"/>
  <c r="J393" i="11" s="1"/>
  <c r="G394" i="11"/>
  <c r="J394" i="11" s="1"/>
  <c r="G395" i="11"/>
  <c r="J395" i="11" s="1"/>
  <c r="G396" i="11"/>
  <c r="J396" i="11" s="1"/>
  <c r="G397" i="11"/>
  <c r="J397" i="11" s="1"/>
  <c r="G398" i="11"/>
  <c r="J398" i="11" s="1"/>
  <c r="G399" i="11"/>
  <c r="J399" i="11" s="1"/>
  <c r="G400" i="11"/>
  <c r="J400" i="11" s="1"/>
  <c r="G401" i="11"/>
  <c r="J401" i="11" s="1"/>
  <c r="G402" i="11"/>
  <c r="J402" i="11" s="1"/>
  <c r="G403" i="11"/>
  <c r="J403" i="11" s="1"/>
  <c r="G404" i="11"/>
  <c r="J404" i="11" s="1"/>
  <c r="G405" i="11"/>
  <c r="J405" i="11" s="1"/>
  <c r="G406" i="11"/>
  <c r="J406" i="11" s="1"/>
  <c r="G407" i="11"/>
  <c r="J407" i="11" s="1"/>
  <c r="G408" i="11"/>
  <c r="J408" i="11" s="1"/>
  <c r="G409" i="11"/>
  <c r="J409" i="11" s="1"/>
  <c r="G410" i="11"/>
  <c r="J410" i="11" s="1"/>
  <c r="G411" i="11"/>
  <c r="J411" i="11" s="1"/>
  <c r="G412" i="11"/>
  <c r="J412" i="11" s="1"/>
  <c r="G413" i="11"/>
  <c r="J413" i="11" s="1"/>
  <c r="G414" i="11"/>
  <c r="J414" i="11" s="1"/>
  <c r="G415" i="11"/>
  <c r="J415" i="11" s="1"/>
  <c r="G416" i="11"/>
  <c r="J416" i="11" s="1"/>
  <c r="G417" i="11"/>
  <c r="J417" i="11" s="1"/>
  <c r="G418" i="11"/>
  <c r="J418" i="11" s="1"/>
  <c r="G419" i="11"/>
  <c r="J419" i="11" s="1"/>
  <c r="G420" i="11"/>
  <c r="J420" i="11" s="1"/>
  <c r="G421" i="11"/>
  <c r="J421" i="11" s="1"/>
  <c r="G422" i="11"/>
  <c r="J422" i="11" s="1"/>
  <c r="G423" i="11"/>
  <c r="J423" i="11" s="1"/>
  <c r="G424" i="11"/>
  <c r="J424" i="11" s="1"/>
  <c r="G425" i="11"/>
  <c r="J425" i="11" s="1"/>
  <c r="G426" i="11"/>
  <c r="J426" i="11" s="1"/>
  <c r="G427" i="11"/>
  <c r="J427" i="11" s="1"/>
  <c r="G428" i="11"/>
  <c r="J428" i="11" s="1"/>
  <c r="G429" i="11"/>
  <c r="J429" i="11" s="1"/>
  <c r="G430" i="11"/>
  <c r="J430" i="11" s="1"/>
  <c r="G431" i="11"/>
  <c r="J431" i="11" s="1"/>
  <c r="G432" i="11"/>
  <c r="J432" i="11" s="1"/>
  <c r="G433" i="11"/>
  <c r="J433" i="11" s="1"/>
  <c r="G434" i="11"/>
  <c r="J434" i="11" s="1"/>
  <c r="G435" i="11"/>
  <c r="J435" i="11" s="1"/>
  <c r="G436" i="11"/>
  <c r="J436" i="11" s="1"/>
  <c r="G437" i="11"/>
  <c r="J437" i="11" s="1"/>
  <c r="G438" i="11"/>
  <c r="J438" i="11" s="1"/>
  <c r="G439" i="11"/>
  <c r="J439" i="11" s="1"/>
  <c r="G440" i="11"/>
  <c r="J440" i="11" s="1"/>
  <c r="G441" i="11"/>
  <c r="J441" i="11" s="1"/>
  <c r="G442" i="11"/>
  <c r="J442" i="11" s="1"/>
  <c r="G443" i="11"/>
  <c r="J443" i="11" s="1"/>
  <c r="G444" i="11"/>
  <c r="J444" i="11" s="1"/>
  <c r="G445" i="11"/>
  <c r="J445" i="11" s="1"/>
  <c r="G446" i="11"/>
  <c r="J446" i="11" s="1"/>
  <c r="G447" i="11"/>
  <c r="J447" i="11" s="1"/>
  <c r="G448" i="11"/>
  <c r="J448" i="11" s="1"/>
  <c r="G449" i="11"/>
  <c r="J449" i="11" s="1"/>
  <c r="G450" i="11"/>
  <c r="J450" i="11" s="1"/>
  <c r="G451" i="11"/>
  <c r="J451" i="11" s="1"/>
  <c r="G452" i="11"/>
  <c r="J452" i="11" s="1"/>
  <c r="G453" i="11"/>
  <c r="J453" i="11" s="1"/>
  <c r="G454" i="11"/>
  <c r="J454" i="11" s="1"/>
  <c r="G455" i="11"/>
  <c r="J455" i="11" s="1"/>
  <c r="G456" i="11"/>
  <c r="J456" i="11" s="1"/>
  <c r="G457" i="11"/>
  <c r="J457" i="11" s="1"/>
  <c r="G458" i="11"/>
  <c r="J458" i="11" s="1"/>
  <c r="G459" i="11"/>
  <c r="J459" i="11" s="1"/>
  <c r="G460" i="11"/>
  <c r="J460" i="11" s="1"/>
  <c r="G461" i="11"/>
  <c r="J461" i="11" s="1"/>
  <c r="G462" i="11"/>
  <c r="J462" i="11" s="1"/>
  <c r="G463" i="11"/>
  <c r="J463" i="11" s="1"/>
  <c r="G464" i="11"/>
  <c r="J464" i="11" s="1"/>
  <c r="G465" i="11"/>
  <c r="J465" i="11" s="1"/>
  <c r="G466" i="11"/>
  <c r="J466" i="11" s="1"/>
  <c r="G467" i="11"/>
  <c r="J467" i="11" s="1"/>
  <c r="G468" i="11"/>
  <c r="J468" i="11" s="1"/>
  <c r="G469" i="11"/>
  <c r="J469" i="11" s="1"/>
  <c r="G470" i="11"/>
  <c r="J470" i="11" s="1"/>
  <c r="G471" i="11"/>
  <c r="J471" i="11" s="1"/>
  <c r="G472" i="11"/>
  <c r="J472" i="11" s="1"/>
  <c r="G473" i="11"/>
  <c r="J473" i="11" s="1"/>
  <c r="G474" i="11"/>
  <c r="J474" i="11" s="1"/>
  <c r="G475" i="11"/>
  <c r="J475" i="11" s="1"/>
  <c r="G476" i="11"/>
  <c r="J476" i="11" s="1"/>
  <c r="G477" i="11"/>
  <c r="J477" i="11" s="1"/>
  <c r="G478" i="11"/>
  <c r="J478" i="11" s="1"/>
  <c r="G479" i="11"/>
  <c r="J479" i="11" s="1"/>
  <c r="G480" i="11"/>
  <c r="J480" i="11" s="1"/>
  <c r="G481" i="11"/>
  <c r="J481" i="11" s="1"/>
  <c r="G482" i="11"/>
  <c r="J482" i="11" s="1"/>
  <c r="G483" i="11"/>
  <c r="J483" i="11" s="1"/>
  <c r="G484" i="11"/>
  <c r="J484" i="11" s="1"/>
  <c r="G485" i="11"/>
  <c r="J485" i="11" s="1"/>
  <c r="G486" i="11"/>
  <c r="J486" i="11" s="1"/>
  <c r="G487" i="11"/>
  <c r="J487" i="11" s="1"/>
  <c r="G488" i="11"/>
  <c r="J488" i="11" s="1"/>
  <c r="G489" i="11"/>
  <c r="J489" i="11" s="1"/>
  <c r="G490" i="11"/>
  <c r="J490" i="11" s="1"/>
  <c r="G491" i="11"/>
  <c r="J491" i="11" s="1"/>
  <c r="G492" i="11"/>
  <c r="J492" i="11" s="1"/>
  <c r="G493" i="11"/>
  <c r="J493" i="11" s="1"/>
  <c r="G494" i="11"/>
  <c r="J494" i="11" s="1"/>
  <c r="G495" i="11"/>
  <c r="J495" i="11" s="1"/>
  <c r="G496" i="11"/>
  <c r="J496" i="11" s="1"/>
  <c r="G497" i="11"/>
  <c r="J497" i="11" s="1"/>
  <c r="G498" i="11"/>
  <c r="J498" i="11" s="1"/>
  <c r="G499" i="11"/>
  <c r="J499" i="11" s="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F56" i="11"/>
  <c r="F57" i="11"/>
  <c r="F58" i="11"/>
  <c r="F59" i="11"/>
  <c r="F60" i="11"/>
  <c r="F61" i="11"/>
  <c r="F62" i="11"/>
  <c r="F63" i="11"/>
  <c r="F64" i="11"/>
  <c r="F65" i="11"/>
  <c r="F66" i="11"/>
  <c r="I66" i="11" s="1"/>
  <c r="K66" i="11" s="1"/>
  <c r="F67" i="11"/>
  <c r="I67" i="11" s="1"/>
  <c r="F68" i="11"/>
  <c r="I68" i="11" s="1"/>
  <c r="K68" i="11" s="1"/>
  <c r="F69" i="11"/>
  <c r="I69" i="11" s="1"/>
  <c r="K69" i="11" s="1"/>
  <c r="F70" i="11"/>
  <c r="I70" i="11" s="1"/>
  <c r="K70" i="11" s="1"/>
  <c r="F71" i="11"/>
  <c r="I71" i="11" s="1"/>
  <c r="F72" i="11"/>
  <c r="I72" i="11" s="1"/>
  <c r="K72" i="11" s="1"/>
  <c r="F73" i="11"/>
  <c r="I73" i="11" s="1"/>
  <c r="K73" i="11" s="1"/>
  <c r="F74" i="11"/>
  <c r="I74" i="11" s="1"/>
  <c r="K74" i="11" s="1"/>
  <c r="F75" i="11"/>
  <c r="I75" i="11" s="1"/>
  <c r="F76" i="11"/>
  <c r="I76" i="11" s="1"/>
  <c r="K76" i="11" s="1"/>
  <c r="F77" i="11"/>
  <c r="I77" i="11" s="1"/>
  <c r="K77" i="11" s="1"/>
  <c r="F78" i="11"/>
  <c r="I78" i="11" s="1"/>
  <c r="K78" i="11" s="1"/>
  <c r="F79" i="11"/>
  <c r="I79" i="11" s="1"/>
  <c r="F80" i="11"/>
  <c r="I80" i="11" s="1"/>
  <c r="K80" i="11" s="1"/>
  <c r="F81" i="11"/>
  <c r="I81" i="11" s="1"/>
  <c r="K81" i="11" s="1"/>
  <c r="F82" i="11"/>
  <c r="I82" i="11" s="1"/>
  <c r="K82" i="11" s="1"/>
  <c r="F83" i="11"/>
  <c r="I83" i="11" s="1"/>
  <c r="F84" i="11"/>
  <c r="I84" i="11" s="1"/>
  <c r="K84" i="11" s="1"/>
  <c r="F85" i="11"/>
  <c r="I85" i="11" s="1"/>
  <c r="K85" i="11" s="1"/>
  <c r="F86" i="11"/>
  <c r="I86" i="11" s="1"/>
  <c r="K86" i="11" s="1"/>
  <c r="F87" i="11"/>
  <c r="I87" i="11" s="1"/>
  <c r="F88" i="11"/>
  <c r="I88" i="11" s="1"/>
  <c r="K88" i="11" s="1"/>
  <c r="F89" i="11"/>
  <c r="I89" i="11" s="1"/>
  <c r="K89" i="11" s="1"/>
  <c r="F90" i="11"/>
  <c r="I90" i="11" s="1"/>
  <c r="K90" i="11" s="1"/>
  <c r="F91" i="11"/>
  <c r="I91" i="11" s="1"/>
  <c r="F92" i="11"/>
  <c r="I92" i="11" s="1"/>
  <c r="K92" i="11" s="1"/>
  <c r="F93" i="11"/>
  <c r="I93" i="11" s="1"/>
  <c r="K93" i="11" s="1"/>
  <c r="F94" i="11"/>
  <c r="I94" i="11" s="1"/>
  <c r="K94" i="11" s="1"/>
  <c r="F95" i="11"/>
  <c r="I95" i="11" s="1"/>
  <c r="F96" i="11"/>
  <c r="I96" i="11" s="1"/>
  <c r="K96" i="11" s="1"/>
  <c r="F97" i="11"/>
  <c r="I97" i="11" s="1"/>
  <c r="K97" i="11" s="1"/>
  <c r="F98" i="11"/>
  <c r="I98" i="11" s="1"/>
  <c r="K98" i="11" s="1"/>
  <c r="F99" i="11"/>
  <c r="I99" i="11" s="1"/>
  <c r="F100" i="11"/>
  <c r="I100" i="11" s="1"/>
  <c r="K100" i="11" s="1"/>
  <c r="F101" i="11"/>
  <c r="I101" i="11" s="1"/>
  <c r="K101" i="11" s="1"/>
  <c r="F102" i="11"/>
  <c r="I102" i="11" s="1"/>
  <c r="K102" i="11" s="1"/>
  <c r="F103" i="11"/>
  <c r="I103" i="11" s="1"/>
  <c r="F104" i="11"/>
  <c r="I104" i="11" s="1"/>
  <c r="K104" i="11" s="1"/>
  <c r="F105" i="11"/>
  <c r="I105" i="11" s="1"/>
  <c r="K105" i="11" s="1"/>
  <c r="F106" i="11"/>
  <c r="I106" i="11" s="1"/>
  <c r="K106" i="11" s="1"/>
  <c r="F107" i="11"/>
  <c r="I107" i="11" s="1"/>
  <c r="F108" i="11"/>
  <c r="I108" i="11" s="1"/>
  <c r="K108" i="11" s="1"/>
  <c r="F109" i="11"/>
  <c r="I109" i="11" s="1"/>
  <c r="K109" i="11" s="1"/>
  <c r="F110" i="11"/>
  <c r="I110" i="11" s="1"/>
  <c r="K110" i="11" s="1"/>
  <c r="F111" i="11"/>
  <c r="I111" i="11" s="1"/>
  <c r="F112" i="11"/>
  <c r="I112" i="11" s="1"/>
  <c r="K112" i="11" s="1"/>
  <c r="F113" i="11"/>
  <c r="I113" i="11" s="1"/>
  <c r="K113" i="11" s="1"/>
  <c r="F114" i="11"/>
  <c r="I114" i="11" s="1"/>
  <c r="K114" i="11" s="1"/>
  <c r="F115" i="11"/>
  <c r="I115" i="11" s="1"/>
  <c r="F116" i="11"/>
  <c r="I116" i="11" s="1"/>
  <c r="K116" i="11" s="1"/>
  <c r="F117" i="11"/>
  <c r="I117" i="11" s="1"/>
  <c r="K117" i="11" s="1"/>
  <c r="F118" i="11"/>
  <c r="I118" i="11" s="1"/>
  <c r="K118" i="11" s="1"/>
  <c r="F119" i="11"/>
  <c r="I119" i="11" s="1"/>
  <c r="F120" i="11"/>
  <c r="I120" i="11" s="1"/>
  <c r="K120" i="11" s="1"/>
  <c r="F121" i="11"/>
  <c r="I121" i="11" s="1"/>
  <c r="K121" i="11" s="1"/>
  <c r="F122" i="11"/>
  <c r="I122" i="11" s="1"/>
  <c r="K122" i="11" s="1"/>
  <c r="F123" i="11"/>
  <c r="I123" i="11" s="1"/>
  <c r="F124" i="11"/>
  <c r="I124" i="11" s="1"/>
  <c r="K124" i="11" s="1"/>
  <c r="F125" i="11"/>
  <c r="I125" i="11" s="1"/>
  <c r="K125" i="11" s="1"/>
  <c r="F126" i="11"/>
  <c r="I126" i="11" s="1"/>
  <c r="K126" i="11" s="1"/>
  <c r="F127" i="11"/>
  <c r="I127" i="11" s="1"/>
  <c r="F128" i="11"/>
  <c r="I128" i="11" s="1"/>
  <c r="K128" i="11" s="1"/>
  <c r="F129" i="11"/>
  <c r="I129" i="11" s="1"/>
  <c r="K129" i="11" s="1"/>
  <c r="F130" i="11"/>
  <c r="I130" i="11" s="1"/>
  <c r="K130" i="11" s="1"/>
  <c r="F131" i="11"/>
  <c r="I131" i="11" s="1"/>
  <c r="K131" i="11" s="1"/>
  <c r="F132" i="11"/>
  <c r="I132" i="11" s="1"/>
  <c r="K132" i="11" s="1"/>
  <c r="F133" i="11"/>
  <c r="I133" i="11" s="1"/>
  <c r="K133" i="11" s="1"/>
  <c r="F134" i="11"/>
  <c r="I134" i="11" s="1"/>
  <c r="K134" i="11" s="1"/>
  <c r="F135" i="11"/>
  <c r="I135" i="11" s="1"/>
  <c r="K135" i="11" s="1"/>
  <c r="F136" i="11"/>
  <c r="I136" i="11" s="1"/>
  <c r="K136" i="11" s="1"/>
  <c r="F137" i="11"/>
  <c r="I137" i="11" s="1"/>
  <c r="K137" i="11" s="1"/>
  <c r="F138" i="11"/>
  <c r="I138" i="11" s="1"/>
  <c r="K138" i="11" s="1"/>
  <c r="F139" i="11"/>
  <c r="I139" i="11" s="1"/>
  <c r="K139" i="11" s="1"/>
  <c r="F140" i="11"/>
  <c r="I140" i="11" s="1"/>
  <c r="K140" i="11" s="1"/>
  <c r="F141" i="11"/>
  <c r="I141" i="11" s="1"/>
  <c r="K141" i="11" s="1"/>
  <c r="F142" i="11"/>
  <c r="I142" i="11" s="1"/>
  <c r="K142" i="11" s="1"/>
  <c r="F143" i="11"/>
  <c r="I143" i="11" s="1"/>
  <c r="K143" i="11" s="1"/>
  <c r="F144" i="11"/>
  <c r="I144" i="11" s="1"/>
  <c r="K144" i="11" s="1"/>
  <c r="F145" i="11"/>
  <c r="I145" i="11" s="1"/>
  <c r="K145" i="11" s="1"/>
  <c r="F146" i="11"/>
  <c r="I146" i="11" s="1"/>
  <c r="K146" i="11" s="1"/>
  <c r="F147" i="11"/>
  <c r="I147" i="11" s="1"/>
  <c r="K147" i="11" s="1"/>
  <c r="F148" i="11"/>
  <c r="I148" i="11" s="1"/>
  <c r="K148" i="11" s="1"/>
  <c r="F149" i="11"/>
  <c r="I149" i="11" s="1"/>
  <c r="K149" i="11" s="1"/>
  <c r="F150" i="11"/>
  <c r="I150" i="11" s="1"/>
  <c r="K150" i="11" s="1"/>
  <c r="F151" i="11"/>
  <c r="I151" i="11" s="1"/>
  <c r="K151" i="11" s="1"/>
  <c r="F152" i="11"/>
  <c r="I152" i="11" s="1"/>
  <c r="K152" i="11" s="1"/>
  <c r="F153" i="11"/>
  <c r="I153" i="11" s="1"/>
  <c r="K153" i="11" s="1"/>
  <c r="F154" i="11"/>
  <c r="I154" i="11" s="1"/>
  <c r="K154" i="11" s="1"/>
  <c r="F155" i="11"/>
  <c r="I155" i="11" s="1"/>
  <c r="K155" i="11" s="1"/>
  <c r="F156" i="11"/>
  <c r="I156" i="11" s="1"/>
  <c r="K156" i="11" s="1"/>
  <c r="F157" i="11"/>
  <c r="I157" i="11" s="1"/>
  <c r="K157" i="11" s="1"/>
  <c r="F158" i="11"/>
  <c r="I158" i="11" s="1"/>
  <c r="K158" i="11" s="1"/>
  <c r="F159" i="11"/>
  <c r="I159" i="11" s="1"/>
  <c r="K159" i="11" s="1"/>
  <c r="F160" i="11"/>
  <c r="I160" i="11" s="1"/>
  <c r="K160" i="11" s="1"/>
  <c r="F161" i="11"/>
  <c r="I161" i="11" s="1"/>
  <c r="K161" i="11" s="1"/>
  <c r="F162" i="11"/>
  <c r="I162" i="11" s="1"/>
  <c r="K162" i="11" s="1"/>
  <c r="F163" i="11"/>
  <c r="I163" i="11" s="1"/>
  <c r="K163" i="11" s="1"/>
  <c r="F164" i="11"/>
  <c r="I164" i="11" s="1"/>
  <c r="K164" i="11" s="1"/>
  <c r="F165" i="11"/>
  <c r="I165" i="11" s="1"/>
  <c r="K165" i="11" s="1"/>
  <c r="F166" i="11"/>
  <c r="I166" i="11" s="1"/>
  <c r="K166" i="11" s="1"/>
  <c r="F167" i="11"/>
  <c r="I167" i="11" s="1"/>
  <c r="K167" i="11" s="1"/>
  <c r="F168" i="11"/>
  <c r="I168" i="11" s="1"/>
  <c r="K168" i="11" s="1"/>
  <c r="F169" i="11"/>
  <c r="I169" i="11" s="1"/>
  <c r="K169" i="11" s="1"/>
  <c r="F170" i="11"/>
  <c r="I170" i="11" s="1"/>
  <c r="K170" i="11" s="1"/>
  <c r="F171" i="11"/>
  <c r="I171" i="11" s="1"/>
  <c r="K171" i="11" s="1"/>
  <c r="F172" i="11"/>
  <c r="I172" i="11" s="1"/>
  <c r="K172" i="11" s="1"/>
  <c r="F173" i="11"/>
  <c r="I173" i="11" s="1"/>
  <c r="K173" i="11" s="1"/>
  <c r="F174" i="11"/>
  <c r="I174" i="11" s="1"/>
  <c r="K174" i="11" s="1"/>
  <c r="F175" i="11"/>
  <c r="I175" i="11" s="1"/>
  <c r="K175" i="11" s="1"/>
  <c r="F176" i="11"/>
  <c r="I176" i="11" s="1"/>
  <c r="K176" i="11" s="1"/>
  <c r="F177" i="11"/>
  <c r="I177" i="11" s="1"/>
  <c r="K177" i="11" s="1"/>
  <c r="F178" i="11"/>
  <c r="I178" i="11" s="1"/>
  <c r="K178" i="11" s="1"/>
  <c r="F179" i="11"/>
  <c r="I179" i="11" s="1"/>
  <c r="K179" i="11" s="1"/>
  <c r="F180" i="11"/>
  <c r="I180" i="11" s="1"/>
  <c r="K180" i="11" s="1"/>
  <c r="F181" i="11"/>
  <c r="I181" i="11" s="1"/>
  <c r="K181" i="11" s="1"/>
  <c r="F182" i="11"/>
  <c r="I182" i="11" s="1"/>
  <c r="K182" i="11" s="1"/>
  <c r="F183" i="11"/>
  <c r="I183" i="11" s="1"/>
  <c r="K183" i="11" s="1"/>
  <c r="F184" i="11"/>
  <c r="I184" i="11" s="1"/>
  <c r="K184" i="11" s="1"/>
  <c r="F185" i="11"/>
  <c r="I185" i="11" s="1"/>
  <c r="K185" i="11" s="1"/>
  <c r="F186" i="11"/>
  <c r="I186" i="11" s="1"/>
  <c r="K186" i="11" s="1"/>
  <c r="F187" i="11"/>
  <c r="I187" i="11" s="1"/>
  <c r="K187" i="11" s="1"/>
  <c r="F188" i="11"/>
  <c r="I188" i="11" s="1"/>
  <c r="K188" i="11" s="1"/>
  <c r="F189" i="11"/>
  <c r="I189" i="11" s="1"/>
  <c r="K189" i="11" s="1"/>
  <c r="F190" i="11"/>
  <c r="I190" i="11" s="1"/>
  <c r="K190" i="11" s="1"/>
  <c r="F191" i="11"/>
  <c r="I191" i="11" s="1"/>
  <c r="K191" i="11" s="1"/>
  <c r="F192" i="11"/>
  <c r="I192" i="11" s="1"/>
  <c r="K192" i="11" s="1"/>
  <c r="F193" i="11"/>
  <c r="I193" i="11" s="1"/>
  <c r="K193" i="11" s="1"/>
  <c r="F194" i="11"/>
  <c r="I194" i="11" s="1"/>
  <c r="K194" i="11" s="1"/>
  <c r="F195" i="11"/>
  <c r="I195" i="11" s="1"/>
  <c r="K195" i="11" s="1"/>
  <c r="F196" i="11"/>
  <c r="I196" i="11" s="1"/>
  <c r="K196" i="11" s="1"/>
  <c r="F197" i="11"/>
  <c r="I197" i="11" s="1"/>
  <c r="K197" i="11" s="1"/>
  <c r="F198" i="11"/>
  <c r="I198" i="11" s="1"/>
  <c r="K198" i="11" s="1"/>
  <c r="F199" i="11"/>
  <c r="I199" i="11" s="1"/>
  <c r="K199" i="11" s="1"/>
  <c r="F200" i="11"/>
  <c r="I200" i="11" s="1"/>
  <c r="K200" i="11" s="1"/>
  <c r="F201" i="11"/>
  <c r="I201" i="11" s="1"/>
  <c r="K201" i="11" s="1"/>
  <c r="F202" i="11"/>
  <c r="I202" i="11" s="1"/>
  <c r="K202" i="11" s="1"/>
  <c r="F203" i="11"/>
  <c r="I203" i="11" s="1"/>
  <c r="K203" i="11" s="1"/>
  <c r="F204" i="11"/>
  <c r="I204" i="11" s="1"/>
  <c r="K204" i="11" s="1"/>
  <c r="F205" i="11"/>
  <c r="I205" i="11" s="1"/>
  <c r="K205" i="11" s="1"/>
  <c r="F206" i="11"/>
  <c r="I206" i="11" s="1"/>
  <c r="K206" i="11" s="1"/>
  <c r="F207" i="11"/>
  <c r="I207" i="11" s="1"/>
  <c r="K207" i="11" s="1"/>
  <c r="F208" i="11"/>
  <c r="I208" i="11" s="1"/>
  <c r="K208" i="11" s="1"/>
  <c r="F209" i="11"/>
  <c r="I209" i="11" s="1"/>
  <c r="K209" i="11" s="1"/>
  <c r="F210" i="11"/>
  <c r="I210" i="11" s="1"/>
  <c r="K210" i="11" s="1"/>
  <c r="F211" i="11"/>
  <c r="I211" i="11" s="1"/>
  <c r="K211" i="11" s="1"/>
  <c r="F212" i="11"/>
  <c r="I212" i="11" s="1"/>
  <c r="K212" i="11" s="1"/>
  <c r="F213" i="11"/>
  <c r="I213" i="11" s="1"/>
  <c r="K213" i="11" s="1"/>
  <c r="F214" i="11"/>
  <c r="I214" i="11" s="1"/>
  <c r="K214" i="11" s="1"/>
  <c r="F215" i="11"/>
  <c r="I215" i="11" s="1"/>
  <c r="K215" i="11" s="1"/>
  <c r="F216" i="11"/>
  <c r="I216" i="11" s="1"/>
  <c r="K216" i="11" s="1"/>
  <c r="F217" i="11"/>
  <c r="I217" i="11" s="1"/>
  <c r="K217" i="11" s="1"/>
  <c r="F218" i="11"/>
  <c r="I218" i="11" s="1"/>
  <c r="K218" i="11" s="1"/>
  <c r="F219" i="11"/>
  <c r="I219" i="11" s="1"/>
  <c r="K219" i="11" s="1"/>
  <c r="F220" i="11"/>
  <c r="I220" i="11" s="1"/>
  <c r="K220" i="11" s="1"/>
  <c r="F221" i="11"/>
  <c r="I221" i="11" s="1"/>
  <c r="K221" i="11" s="1"/>
  <c r="F222" i="11"/>
  <c r="I222" i="11" s="1"/>
  <c r="K222" i="11" s="1"/>
  <c r="F223" i="11"/>
  <c r="I223" i="11" s="1"/>
  <c r="K223" i="11" s="1"/>
  <c r="F224" i="11"/>
  <c r="I224" i="11" s="1"/>
  <c r="K224" i="11" s="1"/>
  <c r="F225" i="11"/>
  <c r="I225" i="11" s="1"/>
  <c r="K225" i="11" s="1"/>
  <c r="F226" i="11"/>
  <c r="I226" i="11" s="1"/>
  <c r="K226" i="11" s="1"/>
  <c r="F227" i="11"/>
  <c r="I227" i="11" s="1"/>
  <c r="K227" i="11" s="1"/>
  <c r="F228" i="11"/>
  <c r="I228" i="11" s="1"/>
  <c r="K228" i="11" s="1"/>
  <c r="F229" i="11"/>
  <c r="I229" i="11" s="1"/>
  <c r="K229" i="11" s="1"/>
  <c r="F230" i="11"/>
  <c r="I230" i="11" s="1"/>
  <c r="K230" i="11" s="1"/>
  <c r="F231" i="11"/>
  <c r="I231" i="11" s="1"/>
  <c r="K231" i="11" s="1"/>
  <c r="F232" i="11"/>
  <c r="I232" i="11" s="1"/>
  <c r="K232" i="11" s="1"/>
  <c r="F233" i="11"/>
  <c r="I233" i="11" s="1"/>
  <c r="K233" i="11" s="1"/>
  <c r="F234" i="11"/>
  <c r="I234" i="11" s="1"/>
  <c r="K234" i="11" s="1"/>
  <c r="F235" i="11"/>
  <c r="I235" i="11" s="1"/>
  <c r="K235" i="11" s="1"/>
  <c r="F236" i="11"/>
  <c r="I236" i="11" s="1"/>
  <c r="K236" i="11" s="1"/>
  <c r="F237" i="11"/>
  <c r="I237" i="11" s="1"/>
  <c r="K237" i="11" s="1"/>
  <c r="F238" i="11"/>
  <c r="I238" i="11" s="1"/>
  <c r="K238" i="11" s="1"/>
  <c r="F239" i="11"/>
  <c r="I239" i="11" s="1"/>
  <c r="K239" i="11" s="1"/>
  <c r="F240" i="11"/>
  <c r="I240" i="11" s="1"/>
  <c r="K240" i="11" s="1"/>
  <c r="F241" i="11"/>
  <c r="I241" i="11" s="1"/>
  <c r="K241" i="11" s="1"/>
  <c r="F242" i="11"/>
  <c r="I242" i="11" s="1"/>
  <c r="K242" i="11" s="1"/>
  <c r="F243" i="11"/>
  <c r="I243" i="11" s="1"/>
  <c r="K243" i="11" s="1"/>
  <c r="F244" i="11"/>
  <c r="I244" i="11" s="1"/>
  <c r="K244" i="11" s="1"/>
  <c r="F245" i="11"/>
  <c r="I245" i="11" s="1"/>
  <c r="K245" i="11" s="1"/>
  <c r="F246" i="11"/>
  <c r="I246" i="11" s="1"/>
  <c r="K246" i="11" s="1"/>
  <c r="F247" i="11"/>
  <c r="I247" i="11" s="1"/>
  <c r="K247" i="11" s="1"/>
  <c r="F248" i="11"/>
  <c r="I248" i="11" s="1"/>
  <c r="K248" i="11" s="1"/>
  <c r="F249" i="11"/>
  <c r="I249" i="11" s="1"/>
  <c r="K249" i="11" s="1"/>
  <c r="F250" i="11"/>
  <c r="I250" i="11" s="1"/>
  <c r="K250" i="11" s="1"/>
  <c r="F251" i="11"/>
  <c r="I251" i="11" s="1"/>
  <c r="K251" i="11" s="1"/>
  <c r="F252" i="11"/>
  <c r="I252" i="11" s="1"/>
  <c r="K252" i="11" s="1"/>
  <c r="F253" i="11"/>
  <c r="I253" i="11" s="1"/>
  <c r="K253" i="11" s="1"/>
  <c r="F254" i="11"/>
  <c r="I254" i="11" s="1"/>
  <c r="K254" i="11" s="1"/>
  <c r="F255" i="11"/>
  <c r="I255" i="11" s="1"/>
  <c r="K255" i="11" s="1"/>
  <c r="F256" i="11"/>
  <c r="I256" i="11" s="1"/>
  <c r="K256" i="11" s="1"/>
  <c r="F257" i="11"/>
  <c r="I257" i="11" s="1"/>
  <c r="K257" i="11" s="1"/>
  <c r="F258" i="11"/>
  <c r="I258" i="11" s="1"/>
  <c r="K258" i="11" s="1"/>
  <c r="F259" i="11"/>
  <c r="I259" i="11" s="1"/>
  <c r="K259" i="11" s="1"/>
  <c r="F260" i="11"/>
  <c r="I260" i="11" s="1"/>
  <c r="K260" i="11" s="1"/>
  <c r="F261" i="11"/>
  <c r="I261" i="11" s="1"/>
  <c r="K261" i="11" s="1"/>
  <c r="F262" i="11"/>
  <c r="I262" i="11" s="1"/>
  <c r="K262" i="11" s="1"/>
  <c r="F263" i="11"/>
  <c r="I263" i="11" s="1"/>
  <c r="K263" i="11" s="1"/>
  <c r="F264" i="11"/>
  <c r="I264" i="11" s="1"/>
  <c r="K264" i="11" s="1"/>
  <c r="F265" i="11"/>
  <c r="I265" i="11" s="1"/>
  <c r="K265" i="11" s="1"/>
  <c r="F266" i="11"/>
  <c r="I266" i="11" s="1"/>
  <c r="K266" i="11" s="1"/>
  <c r="F267" i="11"/>
  <c r="I267" i="11" s="1"/>
  <c r="K267" i="11" s="1"/>
  <c r="F268" i="11"/>
  <c r="I268" i="11" s="1"/>
  <c r="K268" i="11" s="1"/>
  <c r="F269" i="11"/>
  <c r="I269" i="11" s="1"/>
  <c r="K269" i="11" s="1"/>
  <c r="F270" i="11"/>
  <c r="I270" i="11" s="1"/>
  <c r="K270" i="11" s="1"/>
  <c r="F271" i="11"/>
  <c r="I271" i="11" s="1"/>
  <c r="K271" i="11" s="1"/>
  <c r="F272" i="11"/>
  <c r="I272" i="11" s="1"/>
  <c r="K272" i="11" s="1"/>
  <c r="F273" i="11"/>
  <c r="I273" i="11" s="1"/>
  <c r="K273" i="11" s="1"/>
  <c r="F274" i="11"/>
  <c r="I274" i="11" s="1"/>
  <c r="K274" i="11" s="1"/>
  <c r="F275" i="11"/>
  <c r="I275" i="11" s="1"/>
  <c r="K275" i="11" s="1"/>
  <c r="F276" i="11"/>
  <c r="I276" i="11" s="1"/>
  <c r="K276" i="11" s="1"/>
  <c r="F277" i="11"/>
  <c r="I277" i="11" s="1"/>
  <c r="K277" i="11" s="1"/>
  <c r="F278" i="11"/>
  <c r="I278" i="11" s="1"/>
  <c r="K278" i="11" s="1"/>
  <c r="F279" i="11"/>
  <c r="I279" i="11" s="1"/>
  <c r="K279" i="11" s="1"/>
  <c r="F280" i="11"/>
  <c r="I280" i="11" s="1"/>
  <c r="K280" i="11" s="1"/>
  <c r="F281" i="11"/>
  <c r="I281" i="11" s="1"/>
  <c r="K281" i="11" s="1"/>
  <c r="F282" i="11"/>
  <c r="I282" i="11" s="1"/>
  <c r="K282" i="11" s="1"/>
  <c r="F283" i="11"/>
  <c r="I283" i="11" s="1"/>
  <c r="K283" i="11" s="1"/>
  <c r="F284" i="11"/>
  <c r="I284" i="11" s="1"/>
  <c r="K284" i="11" s="1"/>
  <c r="F285" i="11"/>
  <c r="I285" i="11" s="1"/>
  <c r="K285" i="11" s="1"/>
  <c r="F286" i="11"/>
  <c r="I286" i="11" s="1"/>
  <c r="K286" i="11" s="1"/>
  <c r="F287" i="11"/>
  <c r="I287" i="11" s="1"/>
  <c r="K287" i="11" s="1"/>
  <c r="F288" i="11"/>
  <c r="I288" i="11" s="1"/>
  <c r="K288" i="11" s="1"/>
  <c r="F289" i="11"/>
  <c r="I289" i="11" s="1"/>
  <c r="K289" i="11" s="1"/>
  <c r="F290" i="11"/>
  <c r="I290" i="11" s="1"/>
  <c r="K290" i="11" s="1"/>
  <c r="F291" i="11"/>
  <c r="I291" i="11" s="1"/>
  <c r="K291" i="11" s="1"/>
  <c r="F292" i="11"/>
  <c r="I292" i="11" s="1"/>
  <c r="K292" i="11" s="1"/>
  <c r="F293" i="11"/>
  <c r="I293" i="11" s="1"/>
  <c r="K293" i="11" s="1"/>
  <c r="F294" i="11"/>
  <c r="I294" i="11" s="1"/>
  <c r="K294" i="11" s="1"/>
  <c r="F295" i="11"/>
  <c r="I295" i="11" s="1"/>
  <c r="K295" i="11" s="1"/>
  <c r="F296" i="11"/>
  <c r="I296" i="11" s="1"/>
  <c r="K296" i="11" s="1"/>
  <c r="F297" i="11"/>
  <c r="I297" i="11" s="1"/>
  <c r="K297" i="11" s="1"/>
  <c r="F298" i="11"/>
  <c r="I298" i="11" s="1"/>
  <c r="K298" i="11" s="1"/>
  <c r="F299" i="11"/>
  <c r="I299" i="11" s="1"/>
  <c r="K299" i="11" s="1"/>
  <c r="F300" i="11"/>
  <c r="I300" i="11" s="1"/>
  <c r="K300" i="11" s="1"/>
  <c r="F301" i="11"/>
  <c r="I301" i="11" s="1"/>
  <c r="K301" i="11" s="1"/>
  <c r="F302" i="11"/>
  <c r="I302" i="11" s="1"/>
  <c r="K302" i="11" s="1"/>
  <c r="F303" i="11"/>
  <c r="I303" i="11" s="1"/>
  <c r="K303" i="11" s="1"/>
  <c r="F304" i="11"/>
  <c r="I304" i="11" s="1"/>
  <c r="K304" i="11" s="1"/>
  <c r="F305" i="11"/>
  <c r="I305" i="11" s="1"/>
  <c r="K305" i="11" s="1"/>
  <c r="F306" i="11"/>
  <c r="I306" i="11" s="1"/>
  <c r="K306" i="11" s="1"/>
  <c r="F307" i="11"/>
  <c r="I307" i="11" s="1"/>
  <c r="K307" i="11" s="1"/>
  <c r="F308" i="11"/>
  <c r="I308" i="11" s="1"/>
  <c r="K308" i="11" s="1"/>
  <c r="F309" i="11"/>
  <c r="I309" i="11" s="1"/>
  <c r="K309" i="11" s="1"/>
  <c r="F310" i="11"/>
  <c r="I310" i="11" s="1"/>
  <c r="K310" i="11" s="1"/>
  <c r="F311" i="11"/>
  <c r="I311" i="11" s="1"/>
  <c r="K311" i="11" s="1"/>
  <c r="F312" i="11"/>
  <c r="I312" i="11" s="1"/>
  <c r="K312" i="11" s="1"/>
  <c r="F313" i="11"/>
  <c r="I313" i="11" s="1"/>
  <c r="K313" i="11" s="1"/>
  <c r="F314" i="11"/>
  <c r="I314" i="11" s="1"/>
  <c r="K314" i="11" s="1"/>
  <c r="F315" i="11"/>
  <c r="I315" i="11" s="1"/>
  <c r="K315" i="11" s="1"/>
  <c r="F316" i="11"/>
  <c r="I316" i="11" s="1"/>
  <c r="K316" i="11" s="1"/>
  <c r="F317" i="11"/>
  <c r="I317" i="11" s="1"/>
  <c r="K317" i="11" s="1"/>
  <c r="F318" i="11"/>
  <c r="I318" i="11" s="1"/>
  <c r="K318" i="11" s="1"/>
  <c r="F319" i="11"/>
  <c r="I319" i="11" s="1"/>
  <c r="K319" i="11" s="1"/>
  <c r="F320" i="11"/>
  <c r="I320" i="11" s="1"/>
  <c r="K320" i="11" s="1"/>
  <c r="F321" i="11"/>
  <c r="I321" i="11" s="1"/>
  <c r="K321" i="11" s="1"/>
  <c r="F322" i="11"/>
  <c r="I322" i="11" s="1"/>
  <c r="K322" i="11" s="1"/>
  <c r="F323" i="11"/>
  <c r="I323" i="11" s="1"/>
  <c r="K323" i="11" s="1"/>
  <c r="F324" i="11"/>
  <c r="I324" i="11" s="1"/>
  <c r="K324" i="11" s="1"/>
  <c r="F325" i="11"/>
  <c r="I325" i="11" s="1"/>
  <c r="K325" i="11" s="1"/>
  <c r="F326" i="11"/>
  <c r="I326" i="11" s="1"/>
  <c r="K326" i="11" s="1"/>
  <c r="F327" i="11"/>
  <c r="I327" i="11" s="1"/>
  <c r="K327" i="11" s="1"/>
  <c r="F328" i="11"/>
  <c r="I328" i="11" s="1"/>
  <c r="K328" i="11" s="1"/>
  <c r="F329" i="11"/>
  <c r="I329" i="11" s="1"/>
  <c r="K329" i="11" s="1"/>
  <c r="F330" i="11"/>
  <c r="I330" i="11" s="1"/>
  <c r="K330" i="11" s="1"/>
  <c r="F331" i="11"/>
  <c r="I331" i="11" s="1"/>
  <c r="K331" i="11" s="1"/>
  <c r="F332" i="11"/>
  <c r="I332" i="11" s="1"/>
  <c r="K332" i="11" s="1"/>
  <c r="F333" i="11"/>
  <c r="I333" i="11" s="1"/>
  <c r="K333" i="11" s="1"/>
  <c r="F334" i="11"/>
  <c r="I334" i="11" s="1"/>
  <c r="K334" i="11" s="1"/>
  <c r="F335" i="11"/>
  <c r="I335" i="11" s="1"/>
  <c r="K335" i="11" s="1"/>
  <c r="F336" i="11"/>
  <c r="I336" i="11" s="1"/>
  <c r="K336" i="11" s="1"/>
  <c r="F337" i="11"/>
  <c r="I337" i="11" s="1"/>
  <c r="K337" i="11" s="1"/>
  <c r="F338" i="11"/>
  <c r="I338" i="11" s="1"/>
  <c r="K338" i="11" s="1"/>
  <c r="F339" i="11"/>
  <c r="I339" i="11" s="1"/>
  <c r="K339" i="11" s="1"/>
  <c r="F340" i="11"/>
  <c r="I340" i="11" s="1"/>
  <c r="K340" i="11" s="1"/>
  <c r="F341" i="11"/>
  <c r="I341" i="11" s="1"/>
  <c r="K341" i="11" s="1"/>
  <c r="F342" i="11"/>
  <c r="I342" i="11" s="1"/>
  <c r="K342" i="11" s="1"/>
  <c r="F343" i="11"/>
  <c r="I343" i="11" s="1"/>
  <c r="K343" i="11" s="1"/>
  <c r="F344" i="11"/>
  <c r="I344" i="11" s="1"/>
  <c r="K344" i="11" s="1"/>
  <c r="F345" i="11"/>
  <c r="I345" i="11" s="1"/>
  <c r="K345" i="11" s="1"/>
  <c r="F346" i="11"/>
  <c r="I346" i="11" s="1"/>
  <c r="K346" i="11" s="1"/>
  <c r="F347" i="11"/>
  <c r="I347" i="11" s="1"/>
  <c r="K347" i="11" s="1"/>
  <c r="F348" i="11"/>
  <c r="I348" i="11" s="1"/>
  <c r="K348" i="11" s="1"/>
  <c r="F349" i="11"/>
  <c r="I349" i="11" s="1"/>
  <c r="K349" i="11" s="1"/>
  <c r="F350" i="11"/>
  <c r="I350" i="11" s="1"/>
  <c r="K350" i="11" s="1"/>
  <c r="F351" i="11"/>
  <c r="I351" i="11" s="1"/>
  <c r="K351" i="11" s="1"/>
  <c r="F352" i="11"/>
  <c r="I352" i="11" s="1"/>
  <c r="K352" i="11" s="1"/>
  <c r="F353" i="11"/>
  <c r="I353" i="11" s="1"/>
  <c r="K353" i="11" s="1"/>
  <c r="F354" i="11"/>
  <c r="I354" i="11" s="1"/>
  <c r="K354" i="11" s="1"/>
  <c r="F355" i="11"/>
  <c r="I355" i="11" s="1"/>
  <c r="K355" i="11" s="1"/>
  <c r="F356" i="11"/>
  <c r="I356" i="11" s="1"/>
  <c r="K356" i="11" s="1"/>
  <c r="F357" i="11"/>
  <c r="I357" i="11" s="1"/>
  <c r="K357" i="11" s="1"/>
  <c r="F358" i="11"/>
  <c r="I358" i="11" s="1"/>
  <c r="K358" i="11" s="1"/>
  <c r="F359" i="11"/>
  <c r="I359" i="11" s="1"/>
  <c r="K359" i="11" s="1"/>
  <c r="F360" i="11"/>
  <c r="I360" i="11" s="1"/>
  <c r="K360" i="11" s="1"/>
  <c r="F361" i="11"/>
  <c r="I361" i="11" s="1"/>
  <c r="K361" i="11" s="1"/>
  <c r="F362" i="11"/>
  <c r="I362" i="11" s="1"/>
  <c r="K362" i="11" s="1"/>
  <c r="F363" i="11"/>
  <c r="I363" i="11" s="1"/>
  <c r="K363" i="11" s="1"/>
  <c r="F364" i="11"/>
  <c r="I364" i="11" s="1"/>
  <c r="K364" i="11" s="1"/>
  <c r="F365" i="11"/>
  <c r="I365" i="11" s="1"/>
  <c r="K365" i="11" s="1"/>
  <c r="F366" i="11"/>
  <c r="I366" i="11" s="1"/>
  <c r="K366" i="11" s="1"/>
  <c r="F367" i="11"/>
  <c r="I367" i="11" s="1"/>
  <c r="K367" i="11" s="1"/>
  <c r="F368" i="11"/>
  <c r="I368" i="11" s="1"/>
  <c r="K368" i="11" s="1"/>
  <c r="F369" i="11"/>
  <c r="I369" i="11" s="1"/>
  <c r="K369" i="11" s="1"/>
  <c r="F370" i="11"/>
  <c r="I370" i="11" s="1"/>
  <c r="K370" i="11" s="1"/>
  <c r="F371" i="11"/>
  <c r="I371" i="11" s="1"/>
  <c r="K371" i="11" s="1"/>
  <c r="F372" i="11"/>
  <c r="I372" i="11" s="1"/>
  <c r="K372" i="11" s="1"/>
  <c r="F373" i="11"/>
  <c r="I373" i="11" s="1"/>
  <c r="K373" i="11" s="1"/>
  <c r="F374" i="11"/>
  <c r="I374" i="11" s="1"/>
  <c r="K374" i="11" s="1"/>
  <c r="F375" i="11"/>
  <c r="I375" i="11" s="1"/>
  <c r="K375" i="11" s="1"/>
  <c r="F376" i="11"/>
  <c r="I376" i="11" s="1"/>
  <c r="K376" i="11" s="1"/>
  <c r="F377" i="11"/>
  <c r="I377" i="11" s="1"/>
  <c r="K377" i="11" s="1"/>
  <c r="F378" i="11"/>
  <c r="I378" i="11" s="1"/>
  <c r="K378" i="11" s="1"/>
  <c r="F379" i="11"/>
  <c r="I379" i="11" s="1"/>
  <c r="K379" i="11" s="1"/>
  <c r="F380" i="11"/>
  <c r="I380" i="11" s="1"/>
  <c r="K380" i="11" s="1"/>
  <c r="F381" i="11"/>
  <c r="I381" i="11" s="1"/>
  <c r="K381" i="11" s="1"/>
  <c r="F382" i="11"/>
  <c r="I382" i="11" s="1"/>
  <c r="K382" i="11" s="1"/>
  <c r="F383" i="11"/>
  <c r="I383" i="11" s="1"/>
  <c r="K383" i="11" s="1"/>
  <c r="F384" i="11"/>
  <c r="I384" i="11" s="1"/>
  <c r="K384" i="11" s="1"/>
  <c r="F385" i="11"/>
  <c r="I385" i="11" s="1"/>
  <c r="K385" i="11" s="1"/>
  <c r="F386" i="11"/>
  <c r="I386" i="11" s="1"/>
  <c r="K386" i="11" s="1"/>
  <c r="F387" i="11"/>
  <c r="I387" i="11" s="1"/>
  <c r="K387" i="11" s="1"/>
  <c r="F388" i="11"/>
  <c r="I388" i="11" s="1"/>
  <c r="K388" i="11" s="1"/>
  <c r="F389" i="11"/>
  <c r="I389" i="11" s="1"/>
  <c r="K389" i="11" s="1"/>
  <c r="F390" i="11"/>
  <c r="I390" i="11" s="1"/>
  <c r="K390" i="11" s="1"/>
  <c r="F391" i="11"/>
  <c r="I391" i="11" s="1"/>
  <c r="K391" i="11" s="1"/>
  <c r="F392" i="11"/>
  <c r="I392" i="11" s="1"/>
  <c r="K392" i="11" s="1"/>
  <c r="F393" i="11"/>
  <c r="I393" i="11" s="1"/>
  <c r="K393" i="11" s="1"/>
  <c r="F394" i="11"/>
  <c r="I394" i="11" s="1"/>
  <c r="K394" i="11" s="1"/>
  <c r="F395" i="11"/>
  <c r="I395" i="11" s="1"/>
  <c r="K395" i="11" s="1"/>
  <c r="F396" i="11"/>
  <c r="I396" i="11" s="1"/>
  <c r="K396" i="11" s="1"/>
  <c r="F397" i="11"/>
  <c r="I397" i="11" s="1"/>
  <c r="K397" i="11" s="1"/>
  <c r="F398" i="11"/>
  <c r="I398" i="11" s="1"/>
  <c r="K398" i="11" s="1"/>
  <c r="F399" i="11"/>
  <c r="I399" i="11" s="1"/>
  <c r="K399" i="11" s="1"/>
  <c r="F400" i="11"/>
  <c r="I400" i="11" s="1"/>
  <c r="K400" i="11" s="1"/>
  <c r="F401" i="11"/>
  <c r="I401" i="11" s="1"/>
  <c r="K401" i="11" s="1"/>
  <c r="F402" i="11"/>
  <c r="I402" i="11" s="1"/>
  <c r="K402" i="11" s="1"/>
  <c r="F403" i="11"/>
  <c r="I403" i="11" s="1"/>
  <c r="K403" i="11" s="1"/>
  <c r="F404" i="11"/>
  <c r="I404" i="11" s="1"/>
  <c r="K404" i="11" s="1"/>
  <c r="F405" i="11"/>
  <c r="I405" i="11" s="1"/>
  <c r="K405" i="11" s="1"/>
  <c r="F406" i="11"/>
  <c r="I406" i="11" s="1"/>
  <c r="K406" i="11" s="1"/>
  <c r="F407" i="11"/>
  <c r="I407" i="11" s="1"/>
  <c r="K407" i="11" s="1"/>
  <c r="F408" i="11"/>
  <c r="I408" i="11" s="1"/>
  <c r="K408" i="11" s="1"/>
  <c r="F409" i="11"/>
  <c r="I409" i="11" s="1"/>
  <c r="K409" i="11" s="1"/>
  <c r="F410" i="11"/>
  <c r="I410" i="11" s="1"/>
  <c r="K410" i="11" s="1"/>
  <c r="F411" i="11"/>
  <c r="I411" i="11" s="1"/>
  <c r="K411" i="11" s="1"/>
  <c r="F412" i="11"/>
  <c r="I412" i="11" s="1"/>
  <c r="K412" i="11" s="1"/>
  <c r="F413" i="11"/>
  <c r="I413" i="11" s="1"/>
  <c r="K413" i="11" s="1"/>
  <c r="F414" i="11"/>
  <c r="I414" i="11" s="1"/>
  <c r="K414" i="11" s="1"/>
  <c r="F415" i="11"/>
  <c r="I415" i="11" s="1"/>
  <c r="K415" i="11" s="1"/>
  <c r="F416" i="11"/>
  <c r="I416" i="11" s="1"/>
  <c r="K416" i="11" s="1"/>
  <c r="F417" i="11"/>
  <c r="I417" i="11" s="1"/>
  <c r="K417" i="11" s="1"/>
  <c r="F418" i="11"/>
  <c r="I418" i="11" s="1"/>
  <c r="K418" i="11" s="1"/>
  <c r="F419" i="11"/>
  <c r="I419" i="11" s="1"/>
  <c r="K419" i="11" s="1"/>
  <c r="F420" i="11"/>
  <c r="I420" i="11" s="1"/>
  <c r="K420" i="11" s="1"/>
  <c r="F421" i="11"/>
  <c r="I421" i="11" s="1"/>
  <c r="K421" i="11" s="1"/>
  <c r="F422" i="11"/>
  <c r="I422" i="11" s="1"/>
  <c r="K422" i="11" s="1"/>
  <c r="F423" i="11"/>
  <c r="I423" i="11" s="1"/>
  <c r="K423" i="11" s="1"/>
  <c r="F424" i="11"/>
  <c r="I424" i="11" s="1"/>
  <c r="K424" i="11" s="1"/>
  <c r="F425" i="11"/>
  <c r="I425" i="11" s="1"/>
  <c r="K425" i="11" s="1"/>
  <c r="F426" i="11"/>
  <c r="I426" i="11" s="1"/>
  <c r="K426" i="11" s="1"/>
  <c r="F427" i="11"/>
  <c r="I427" i="11" s="1"/>
  <c r="K427" i="11" s="1"/>
  <c r="F428" i="11"/>
  <c r="I428" i="11" s="1"/>
  <c r="K428" i="11" s="1"/>
  <c r="F429" i="11"/>
  <c r="I429" i="11" s="1"/>
  <c r="K429" i="11" s="1"/>
  <c r="F430" i="11"/>
  <c r="I430" i="11" s="1"/>
  <c r="K430" i="11" s="1"/>
  <c r="F431" i="11"/>
  <c r="I431" i="11" s="1"/>
  <c r="K431" i="11" s="1"/>
  <c r="F432" i="11"/>
  <c r="I432" i="11" s="1"/>
  <c r="K432" i="11" s="1"/>
  <c r="F433" i="11"/>
  <c r="I433" i="11" s="1"/>
  <c r="K433" i="11" s="1"/>
  <c r="F434" i="11"/>
  <c r="I434" i="11" s="1"/>
  <c r="K434" i="11" s="1"/>
  <c r="F435" i="11"/>
  <c r="I435" i="11" s="1"/>
  <c r="K435" i="11" s="1"/>
  <c r="F436" i="11"/>
  <c r="I436" i="11" s="1"/>
  <c r="K436" i="11" s="1"/>
  <c r="F437" i="11"/>
  <c r="I437" i="11" s="1"/>
  <c r="K437" i="11" s="1"/>
  <c r="F438" i="11"/>
  <c r="I438" i="11" s="1"/>
  <c r="K438" i="11" s="1"/>
  <c r="F439" i="11"/>
  <c r="I439" i="11" s="1"/>
  <c r="K439" i="11" s="1"/>
  <c r="F440" i="11"/>
  <c r="I440" i="11" s="1"/>
  <c r="K440" i="11" s="1"/>
  <c r="F441" i="11"/>
  <c r="I441" i="11" s="1"/>
  <c r="K441" i="11" s="1"/>
  <c r="F442" i="11"/>
  <c r="I442" i="11" s="1"/>
  <c r="K442" i="11" s="1"/>
  <c r="F443" i="11"/>
  <c r="I443" i="11" s="1"/>
  <c r="K443" i="11" s="1"/>
  <c r="F444" i="11"/>
  <c r="I444" i="11" s="1"/>
  <c r="K444" i="11" s="1"/>
  <c r="F445" i="11"/>
  <c r="I445" i="11" s="1"/>
  <c r="K445" i="11" s="1"/>
  <c r="F446" i="11"/>
  <c r="I446" i="11" s="1"/>
  <c r="K446" i="11" s="1"/>
  <c r="F447" i="11"/>
  <c r="I447" i="11" s="1"/>
  <c r="K447" i="11" s="1"/>
  <c r="F448" i="11"/>
  <c r="I448" i="11" s="1"/>
  <c r="K448" i="11" s="1"/>
  <c r="F449" i="11"/>
  <c r="I449" i="11" s="1"/>
  <c r="K449" i="11" s="1"/>
  <c r="F450" i="11"/>
  <c r="I450" i="11" s="1"/>
  <c r="K450" i="11" s="1"/>
  <c r="F451" i="11"/>
  <c r="I451" i="11" s="1"/>
  <c r="K451" i="11" s="1"/>
  <c r="F452" i="11"/>
  <c r="I452" i="11" s="1"/>
  <c r="K452" i="11" s="1"/>
  <c r="F453" i="11"/>
  <c r="I453" i="11" s="1"/>
  <c r="K453" i="11" s="1"/>
  <c r="F454" i="11"/>
  <c r="I454" i="11" s="1"/>
  <c r="K454" i="11" s="1"/>
  <c r="F455" i="11"/>
  <c r="I455" i="11" s="1"/>
  <c r="K455" i="11" s="1"/>
  <c r="F456" i="11"/>
  <c r="I456" i="11" s="1"/>
  <c r="K456" i="11" s="1"/>
  <c r="F457" i="11"/>
  <c r="I457" i="11" s="1"/>
  <c r="K457" i="11" s="1"/>
  <c r="F458" i="11"/>
  <c r="I458" i="11" s="1"/>
  <c r="K458" i="11" s="1"/>
  <c r="F459" i="11"/>
  <c r="I459" i="11" s="1"/>
  <c r="K459" i="11" s="1"/>
  <c r="F460" i="11"/>
  <c r="I460" i="11" s="1"/>
  <c r="K460" i="11" s="1"/>
  <c r="F461" i="11"/>
  <c r="I461" i="11" s="1"/>
  <c r="K461" i="11" s="1"/>
  <c r="F462" i="11"/>
  <c r="I462" i="11" s="1"/>
  <c r="K462" i="11" s="1"/>
  <c r="F463" i="11"/>
  <c r="I463" i="11" s="1"/>
  <c r="K463" i="11" s="1"/>
  <c r="F464" i="11"/>
  <c r="I464" i="11" s="1"/>
  <c r="K464" i="11" s="1"/>
  <c r="F465" i="11"/>
  <c r="I465" i="11" s="1"/>
  <c r="K465" i="11" s="1"/>
  <c r="F466" i="11"/>
  <c r="I466" i="11" s="1"/>
  <c r="K466" i="11" s="1"/>
  <c r="F467" i="11"/>
  <c r="I467" i="11" s="1"/>
  <c r="K467" i="11" s="1"/>
  <c r="F468" i="11"/>
  <c r="I468" i="11" s="1"/>
  <c r="K468" i="11" s="1"/>
  <c r="F469" i="11"/>
  <c r="I469" i="11" s="1"/>
  <c r="K469" i="11" s="1"/>
  <c r="F470" i="11"/>
  <c r="I470" i="11" s="1"/>
  <c r="K470" i="11" s="1"/>
  <c r="F471" i="11"/>
  <c r="I471" i="11" s="1"/>
  <c r="K471" i="11" s="1"/>
  <c r="F472" i="11"/>
  <c r="I472" i="11" s="1"/>
  <c r="K472" i="11" s="1"/>
  <c r="F473" i="11"/>
  <c r="I473" i="11" s="1"/>
  <c r="K473" i="11" s="1"/>
  <c r="F474" i="11"/>
  <c r="I474" i="11" s="1"/>
  <c r="K474" i="11" s="1"/>
  <c r="F475" i="11"/>
  <c r="I475" i="11" s="1"/>
  <c r="K475" i="11" s="1"/>
  <c r="F476" i="11"/>
  <c r="I476" i="11" s="1"/>
  <c r="K476" i="11" s="1"/>
  <c r="F477" i="11"/>
  <c r="I477" i="11" s="1"/>
  <c r="K477" i="11" s="1"/>
  <c r="F478" i="11"/>
  <c r="I478" i="11" s="1"/>
  <c r="K478" i="11" s="1"/>
  <c r="F479" i="11"/>
  <c r="I479" i="11" s="1"/>
  <c r="K479" i="11" s="1"/>
  <c r="F480" i="11"/>
  <c r="I480" i="11" s="1"/>
  <c r="K480" i="11" s="1"/>
  <c r="F481" i="11"/>
  <c r="I481" i="11" s="1"/>
  <c r="K481" i="11" s="1"/>
  <c r="F482" i="11"/>
  <c r="I482" i="11" s="1"/>
  <c r="K482" i="11" s="1"/>
  <c r="F483" i="11"/>
  <c r="I483" i="11" s="1"/>
  <c r="K483" i="11" s="1"/>
  <c r="F484" i="11"/>
  <c r="I484" i="11" s="1"/>
  <c r="K484" i="11" s="1"/>
  <c r="F485" i="11"/>
  <c r="I485" i="11" s="1"/>
  <c r="K485" i="11" s="1"/>
  <c r="F486" i="11"/>
  <c r="I486" i="11" s="1"/>
  <c r="K486" i="11" s="1"/>
  <c r="F487" i="11"/>
  <c r="I487" i="11" s="1"/>
  <c r="K487" i="11" s="1"/>
  <c r="F488" i="11"/>
  <c r="I488" i="11" s="1"/>
  <c r="K488" i="11" s="1"/>
  <c r="F489" i="11"/>
  <c r="I489" i="11" s="1"/>
  <c r="K489" i="11" s="1"/>
  <c r="F490" i="11"/>
  <c r="I490" i="11" s="1"/>
  <c r="K490" i="11" s="1"/>
  <c r="F491" i="11"/>
  <c r="I491" i="11" s="1"/>
  <c r="K491" i="11" s="1"/>
  <c r="F492" i="11"/>
  <c r="I492" i="11" s="1"/>
  <c r="K492" i="11" s="1"/>
  <c r="F493" i="11"/>
  <c r="I493" i="11" s="1"/>
  <c r="K493" i="11" s="1"/>
  <c r="F494" i="11"/>
  <c r="I494" i="11" s="1"/>
  <c r="K494" i="11" s="1"/>
  <c r="F495" i="11"/>
  <c r="I495" i="11" s="1"/>
  <c r="K495" i="11" s="1"/>
  <c r="F496" i="11"/>
  <c r="I496" i="11" s="1"/>
  <c r="K496" i="11" s="1"/>
  <c r="F497" i="11"/>
  <c r="I497" i="11" s="1"/>
  <c r="K497" i="11" s="1"/>
  <c r="F498" i="11"/>
  <c r="I498" i="11" s="1"/>
  <c r="K498" i="11" s="1"/>
  <c r="F499" i="11"/>
  <c r="I499" i="11" s="1"/>
  <c r="K499" i="11" s="1"/>
  <c r="K127" i="11" l="1"/>
  <c r="L127" i="11" s="1"/>
  <c r="K123" i="11"/>
  <c r="L123" i="11" s="1"/>
  <c r="K119" i="11"/>
  <c r="K115" i="11"/>
  <c r="L115" i="11" s="1"/>
  <c r="K111" i="11"/>
  <c r="L111" i="11" s="1"/>
  <c r="K107" i="11"/>
  <c r="L107" i="11" s="1"/>
  <c r="K103" i="11"/>
  <c r="L103" i="11" s="1"/>
  <c r="K99" i="11"/>
  <c r="L99" i="11" s="1"/>
  <c r="K95" i="11"/>
  <c r="L95" i="11" s="1"/>
  <c r="K91" i="11"/>
  <c r="L91" i="11" s="1"/>
  <c r="K87" i="11"/>
  <c r="L87" i="11" s="1"/>
  <c r="K83" i="11"/>
  <c r="L83" i="11" s="1"/>
  <c r="K79" i="11"/>
  <c r="L79" i="11" s="1"/>
  <c r="K75" i="11"/>
  <c r="L75" i="11" s="1"/>
  <c r="K71" i="11"/>
  <c r="L71" i="11" s="1"/>
  <c r="K67" i="11"/>
  <c r="L67" i="11" s="1"/>
  <c r="A21" i="12"/>
  <c r="A31" i="12"/>
  <c r="A33" i="12"/>
  <c r="A29" i="12"/>
  <c r="A7" i="12"/>
  <c r="A18" i="12"/>
  <c r="A38" i="12"/>
  <c r="A34" i="12"/>
  <c r="A27" i="12"/>
  <c r="A23" i="12"/>
  <c r="I59" i="11"/>
  <c r="K59" i="11" s="1"/>
  <c r="J59" i="11"/>
  <c r="I62" i="11"/>
  <c r="K62" i="11" s="1"/>
  <c r="I58" i="11"/>
  <c r="K58" i="11" s="1"/>
  <c r="J65" i="11"/>
  <c r="J61" i="11"/>
  <c r="J57" i="11"/>
  <c r="I63" i="11"/>
  <c r="K63" i="11" s="1"/>
  <c r="I65" i="11"/>
  <c r="K65" i="11" s="1"/>
  <c r="I61" i="11"/>
  <c r="K61" i="11" s="1"/>
  <c r="I57" i="11"/>
  <c r="K57" i="11" s="1"/>
  <c r="I64" i="11"/>
  <c r="K64" i="11" s="1"/>
  <c r="I60" i="11"/>
  <c r="K60" i="11" s="1"/>
  <c r="I56" i="11"/>
  <c r="K56" i="11" s="1"/>
  <c r="J64" i="11"/>
  <c r="J60" i="11"/>
  <c r="J56" i="11"/>
  <c r="L499" i="11"/>
  <c r="L495" i="11"/>
  <c r="L491" i="11"/>
  <c r="L487" i="11"/>
  <c r="L483" i="11"/>
  <c r="L479" i="11"/>
  <c r="L475" i="11"/>
  <c r="L471" i="11"/>
  <c r="L467" i="11"/>
  <c r="L463" i="11"/>
  <c r="L459" i="11"/>
  <c r="L455" i="11"/>
  <c r="L451" i="11"/>
  <c r="L447" i="11"/>
  <c r="L443" i="11"/>
  <c r="L439" i="11"/>
  <c r="L435" i="11"/>
  <c r="L431" i="11"/>
  <c r="L427" i="11"/>
  <c r="L423" i="11"/>
  <c r="L419" i="11"/>
  <c r="L415" i="11"/>
  <c r="L411" i="11"/>
  <c r="L407" i="11"/>
  <c r="L403" i="11"/>
  <c r="L399" i="11"/>
  <c r="L395" i="11"/>
  <c r="L391" i="11"/>
  <c r="L387" i="11"/>
  <c r="L383" i="11"/>
  <c r="L379" i="11"/>
  <c r="L375" i="11"/>
  <c r="L371" i="11"/>
  <c r="L367" i="11"/>
  <c r="L363" i="11"/>
  <c r="L359" i="11"/>
  <c r="L355" i="11"/>
  <c r="L351" i="11"/>
  <c r="L347" i="11"/>
  <c r="L343" i="11"/>
  <c r="L339" i="11"/>
  <c r="L335" i="11"/>
  <c r="L331" i="11"/>
  <c r="L327" i="11"/>
  <c r="L323" i="11"/>
  <c r="L319" i="11"/>
  <c r="L315" i="11"/>
  <c r="L311" i="11"/>
  <c r="L307" i="11"/>
  <c r="L303" i="11"/>
  <c r="L299" i="11"/>
  <c r="L295" i="11"/>
  <c r="L291" i="11"/>
  <c r="L287" i="11"/>
  <c r="L283" i="11"/>
  <c r="L279" i="11"/>
  <c r="L275" i="11"/>
  <c r="L271" i="11"/>
  <c r="L267" i="11"/>
  <c r="L263" i="11"/>
  <c r="L259" i="11"/>
  <c r="L255" i="11"/>
  <c r="L251" i="11"/>
  <c r="L247" i="11"/>
  <c r="L243" i="11"/>
  <c r="L239" i="11"/>
  <c r="L235" i="11"/>
  <c r="L231" i="11"/>
  <c r="L227" i="11"/>
  <c r="L223" i="11"/>
  <c r="L219" i="11"/>
  <c r="L215" i="11"/>
  <c r="L211" i="11"/>
  <c r="L207" i="11"/>
  <c r="L203" i="11"/>
  <c r="L199" i="11"/>
  <c r="L195" i="11"/>
  <c r="L191" i="11"/>
  <c r="L187" i="11"/>
  <c r="L183" i="11"/>
  <c r="L179" i="11"/>
  <c r="L175" i="11"/>
  <c r="L171" i="11"/>
  <c r="L167" i="11"/>
  <c r="L163" i="11"/>
  <c r="L159" i="11"/>
  <c r="L155" i="11"/>
  <c r="L151" i="11"/>
  <c r="L147" i="11"/>
  <c r="L143" i="11"/>
  <c r="L139" i="11"/>
  <c r="L135" i="11"/>
  <c r="L131" i="11"/>
  <c r="L119" i="11"/>
  <c r="L496" i="11"/>
  <c r="L492" i="11"/>
  <c r="L488" i="11"/>
  <c r="L484" i="11"/>
  <c r="L480" i="11"/>
  <c r="L476" i="11"/>
  <c r="L472" i="11"/>
  <c r="L468" i="11"/>
  <c r="L464" i="11"/>
  <c r="L460" i="11"/>
  <c r="L456" i="11"/>
  <c r="L452" i="11"/>
  <c r="L448" i="11"/>
  <c r="L444" i="11"/>
  <c r="L440" i="11"/>
  <c r="L436" i="11"/>
  <c r="L432" i="11"/>
  <c r="L428" i="11"/>
  <c r="L424" i="11"/>
  <c r="L420" i="11"/>
  <c r="L416" i="11"/>
  <c r="L412" i="11"/>
  <c r="L408" i="11"/>
  <c r="L404" i="11"/>
  <c r="L400" i="11"/>
  <c r="L396" i="11"/>
  <c r="L392" i="11"/>
  <c r="L388" i="11"/>
  <c r="L384" i="11"/>
  <c r="L380" i="11"/>
  <c r="L376" i="11"/>
  <c r="L372" i="11"/>
  <c r="L368" i="11"/>
  <c r="L364" i="11"/>
  <c r="L360" i="11"/>
  <c r="L356" i="11"/>
  <c r="L352" i="11"/>
  <c r="L348" i="11"/>
  <c r="L344" i="11"/>
  <c r="L340" i="11"/>
  <c r="L336" i="11"/>
  <c r="L332" i="11"/>
  <c r="L328" i="11"/>
  <c r="L324" i="11"/>
  <c r="L320" i="11"/>
  <c r="L316" i="11"/>
  <c r="L312" i="11"/>
  <c r="L308" i="11"/>
  <c r="L304" i="11"/>
  <c r="L300" i="11"/>
  <c r="L296" i="11"/>
  <c r="L292" i="11"/>
  <c r="L288" i="11"/>
  <c r="L284" i="11"/>
  <c r="L280" i="11"/>
  <c r="L276" i="11"/>
  <c r="L272" i="11"/>
  <c r="L268" i="11"/>
  <c r="L264" i="11"/>
  <c r="L260" i="11"/>
  <c r="L256" i="11"/>
  <c r="L252" i="11"/>
  <c r="L248" i="11"/>
  <c r="L244" i="11"/>
  <c r="L240" i="11"/>
  <c r="L236" i="11"/>
  <c r="L232" i="11"/>
  <c r="L228" i="11"/>
  <c r="L224" i="11"/>
  <c r="L220" i="11"/>
  <c r="L216" i="11"/>
  <c r="L212" i="11"/>
  <c r="L208" i="11"/>
  <c r="L204" i="11"/>
  <c r="L200" i="11"/>
  <c r="L196" i="11"/>
  <c r="L192" i="11"/>
  <c r="L188" i="11"/>
  <c r="L184" i="11"/>
  <c r="L180" i="11"/>
  <c r="L176" i="11"/>
  <c r="L172" i="11"/>
  <c r="L168" i="11"/>
  <c r="L164" i="11"/>
  <c r="L160" i="11"/>
  <c r="L156" i="11"/>
  <c r="L152" i="11"/>
  <c r="L148" i="11"/>
  <c r="L144" i="11"/>
  <c r="L140" i="11"/>
  <c r="L136" i="11"/>
  <c r="L132" i="11"/>
  <c r="L128" i="11"/>
  <c r="L124" i="11"/>
  <c r="L120" i="11"/>
  <c r="L116" i="11"/>
  <c r="L112" i="11"/>
  <c r="L108" i="11"/>
  <c r="L104" i="11"/>
  <c r="L100" i="11"/>
  <c r="L96" i="11"/>
  <c r="L92" i="11"/>
  <c r="L88" i="11"/>
  <c r="L84" i="11"/>
  <c r="L80" i="11"/>
  <c r="L76" i="11"/>
  <c r="L72" i="11"/>
  <c r="L68" i="11"/>
  <c r="L66" i="11"/>
  <c r="L498" i="11"/>
  <c r="L494" i="11"/>
  <c r="L490" i="11"/>
  <c r="L486" i="11"/>
  <c r="L482" i="11"/>
  <c r="L478" i="11"/>
  <c r="L474" i="11"/>
  <c r="L470" i="11"/>
  <c r="L466" i="11"/>
  <c r="L462" i="11"/>
  <c r="L458" i="11"/>
  <c r="L454" i="11"/>
  <c r="L450" i="11"/>
  <c r="L446" i="11"/>
  <c r="L442" i="11"/>
  <c r="L438" i="11"/>
  <c r="L434" i="11"/>
  <c r="L430" i="11"/>
  <c r="L426" i="11"/>
  <c r="L422" i="11"/>
  <c r="L418" i="11"/>
  <c r="L414" i="11"/>
  <c r="L410" i="11"/>
  <c r="L406" i="11"/>
  <c r="L402" i="11"/>
  <c r="L398" i="11"/>
  <c r="L394" i="11"/>
  <c r="L390" i="11"/>
  <c r="L386" i="11"/>
  <c r="L382" i="11"/>
  <c r="L378" i="11"/>
  <c r="L374" i="11"/>
  <c r="L370" i="11"/>
  <c r="L366" i="11"/>
  <c r="L362" i="11"/>
  <c r="L358" i="11"/>
  <c r="L354" i="11"/>
  <c r="L350" i="11"/>
  <c r="L346" i="11"/>
  <c r="L342" i="11"/>
  <c r="L338" i="11"/>
  <c r="L334" i="11"/>
  <c r="L330" i="11"/>
  <c r="L326" i="11"/>
  <c r="L322" i="11"/>
  <c r="L318" i="11"/>
  <c r="L314" i="11"/>
  <c r="L310" i="11"/>
  <c r="L306" i="11"/>
  <c r="L302" i="11"/>
  <c r="L298" i="11"/>
  <c r="L294" i="11"/>
  <c r="L290" i="11"/>
  <c r="L286" i="11"/>
  <c r="L282" i="11"/>
  <c r="L278" i="11"/>
  <c r="L274" i="11"/>
  <c r="L270" i="11"/>
  <c r="L266" i="11"/>
  <c r="L262" i="11"/>
  <c r="L258" i="11"/>
  <c r="L254" i="11"/>
  <c r="L250" i="11"/>
  <c r="L246" i="11"/>
  <c r="L242" i="11"/>
  <c r="L238" i="11"/>
  <c r="L234" i="11"/>
  <c r="L230" i="11"/>
  <c r="L226" i="11"/>
  <c r="L222" i="11"/>
  <c r="L218" i="11"/>
  <c r="L214" i="11"/>
  <c r="L210" i="11"/>
  <c r="L206" i="11"/>
  <c r="L202" i="11"/>
  <c r="L198" i="11"/>
  <c r="L194" i="11"/>
  <c r="L190" i="11"/>
  <c r="L186" i="11"/>
  <c r="L182" i="11"/>
  <c r="L178" i="11"/>
  <c r="L174" i="11"/>
  <c r="L170" i="11"/>
  <c r="L166" i="11"/>
  <c r="L162" i="11"/>
  <c r="L158" i="11"/>
  <c r="L154" i="11"/>
  <c r="L150" i="11"/>
  <c r="L146" i="11"/>
  <c r="L142" i="11"/>
  <c r="L138" i="11"/>
  <c r="L134" i="11"/>
  <c r="L130" i="11"/>
  <c r="L126" i="11"/>
  <c r="L122" i="11"/>
  <c r="L118" i="11"/>
  <c r="L114" i="11"/>
  <c r="L110" i="11"/>
  <c r="L106" i="11"/>
  <c r="L102" i="11"/>
  <c r="L98" i="11"/>
  <c r="L94" i="11"/>
  <c r="L90" i="11"/>
  <c r="L86" i="11"/>
  <c r="L82" i="11"/>
  <c r="L78" i="11"/>
  <c r="L74" i="11"/>
  <c r="L70" i="11"/>
  <c r="L497" i="11"/>
  <c r="L493" i="11"/>
  <c r="L489" i="11"/>
  <c r="L485" i="11"/>
  <c r="L481" i="11"/>
  <c r="L477" i="11"/>
  <c r="L473" i="11"/>
  <c r="L469" i="11"/>
  <c r="L465" i="11"/>
  <c r="L461" i="11"/>
  <c r="L457" i="11"/>
  <c r="L453" i="11"/>
  <c r="L449" i="11"/>
  <c r="L445" i="11"/>
  <c r="L441" i="11"/>
  <c r="L437" i="11"/>
  <c r="L433" i="11"/>
  <c r="L429" i="11"/>
  <c r="L425" i="11"/>
  <c r="L421" i="11"/>
  <c r="L417" i="11"/>
  <c r="L413" i="11"/>
  <c r="L409" i="11"/>
  <c r="L405" i="11"/>
  <c r="L401" i="11"/>
  <c r="L397" i="11"/>
  <c r="L393" i="11"/>
  <c r="L389" i="11"/>
  <c r="L385" i="11"/>
  <c r="L381" i="11"/>
  <c r="L377" i="11"/>
  <c r="L373" i="11"/>
  <c r="L369" i="11"/>
  <c r="L365" i="11"/>
  <c r="L361" i="11"/>
  <c r="L357" i="11"/>
  <c r="L353" i="11"/>
  <c r="L349" i="11"/>
  <c r="L345" i="11"/>
  <c r="L341" i="11"/>
  <c r="L337" i="11"/>
  <c r="L333" i="11"/>
  <c r="L329" i="11"/>
  <c r="L325" i="11"/>
  <c r="L321" i="11"/>
  <c r="L317" i="11"/>
  <c r="L313" i="11"/>
  <c r="L309" i="11"/>
  <c r="L305" i="11"/>
  <c r="L301" i="11"/>
  <c r="L297" i="11"/>
  <c r="L293" i="11"/>
  <c r="L289" i="11"/>
  <c r="L285" i="11"/>
  <c r="L281" i="11"/>
  <c r="L277" i="11"/>
  <c r="L273" i="11"/>
  <c r="L269" i="11"/>
  <c r="L265" i="11"/>
  <c r="L261" i="11"/>
  <c r="L257" i="11"/>
  <c r="L253" i="11"/>
  <c r="L249" i="11"/>
  <c r="L245" i="11"/>
  <c r="L241" i="11"/>
  <c r="L237" i="11"/>
  <c r="L233" i="11"/>
  <c r="L229" i="11"/>
  <c r="L225" i="11"/>
  <c r="L221" i="11"/>
  <c r="L217" i="11"/>
  <c r="L213" i="11"/>
  <c r="L209" i="11"/>
  <c r="L205" i="11"/>
  <c r="L201" i="11"/>
  <c r="L197" i="11"/>
  <c r="L193" i="11"/>
  <c r="L189" i="11"/>
  <c r="L185" i="11"/>
  <c r="L181" i="11"/>
  <c r="L177" i="11"/>
  <c r="L173" i="11"/>
  <c r="L169" i="11"/>
  <c r="L165" i="11"/>
  <c r="L161" i="11"/>
  <c r="L157" i="11"/>
  <c r="L153" i="11"/>
  <c r="L149" i="11"/>
  <c r="L145" i="11"/>
  <c r="L141" i="11"/>
  <c r="L137" i="11"/>
  <c r="L133" i="11"/>
  <c r="L129" i="11"/>
  <c r="L125" i="11"/>
  <c r="L121" i="11"/>
  <c r="L117" i="11"/>
  <c r="L113" i="11"/>
  <c r="L109" i="11"/>
  <c r="L105" i="11"/>
  <c r="L101" i="11"/>
  <c r="L97" i="11"/>
  <c r="L93" i="11"/>
  <c r="L89" i="11"/>
  <c r="L85" i="11"/>
  <c r="L81" i="11"/>
  <c r="L77" i="11"/>
  <c r="L73" i="11"/>
  <c r="L69" i="11"/>
  <c r="L57" i="11" l="1"/>
  <c r="L65" i="11"/>
  <c r="L62" i="11"/>
  <c r="L59" i="11"/>
  <c r="L60" i="11"/>
  <c r="L58" i="11"/>
  <c r="L56" i="11"/>
  <c r="L64" i="11"/>
  <c r="L61" i="11"/>
  <c r="L63" i="11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4" i="5"/>
  <c r="G16" i="5"/>
  <c r="H16" i="5" s="1"/>
  <c r="G17" i="5"/>
  <c r="G18" i="5"/>
  <c r="H18" i="5" s="1"/>
  <c r="G19" i="5"/>
  <c r="H19" i="5" s="1"/>
  <c r="G20" i="5"/>
  <c r="H20" i="5" s="1"/>
  <c r="G21" i="5"/>
  <c r="H21" i="5" s="1"/>
  <c r="G22" i="5"/>
  <c r="H22" i="5" s="1"/>
  <c r="G23" i="5"/>
  <c r="H23" i="5" s="1"/>
  <c r="G24" i="5"/>
  <c r="H24" i="5" s="1"/>
  <c r="G25" i="5"/>
  <c r="G26" i="5"/>
  <c r="H26" i="5" s="1"/>
  <c r="G27" i="5"/>
  <c r="H27" i="5" s="1"/>
  <c r="G28" i="5"/>
  <c r="H28" i="5" s="1"/>
  <c r="G29" i="5"/>
  <c r="G30" i="5"/>
  <c r="H30" i="5" s="1"/>
  <c r="G31" i="5"/>
  <c r="H31" i="5" s="1"/>
  <c r="G32" i="5"/>
  <c r="H32" i="5" s="1"/>
  <c r="G33" i="5"/>
  <c r="H33" i="5" s="1"/>
  <c r="H29" i="5"/>
  <c r="H25" i="5"/>
  <c r="H17" i="5"/>
  <c r="G5" i="5" l="1"/>
  <c r="H5" i="5" s="1"/>
  <c r="G6" i="5"/>
  <c r="H6" i="5" s="1"/>
  <c r="G7" i="5"/>
  <c r="H7" i="5" s="1"/>
  <c r="G8" i="5"/>
  <c r="H8" i="5" s="1"/>
  <c r="G9" i="5"/>
  <c r="H9" i="5" s="1"/>
  <c r="G10" i="5"/>
  <c r="H10" i="5" s="1"/>
  <c r="G11" i="5"/>
  <c r="H11" i="5" s="1"/>
  <c r="G12" i="5"/>
  <c r="H12" i="5" s="1"/>
  <c r="G13" i="5"/>
  <c r="H13" i="5" s="1"/>
  <c r="G14" i="5"/>
  <c r="H14" i="5" s="1"/>
  <c r="G15" i="5"/>
  <c r="H15" i="5" s="1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I46" i="5" l="1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G72" i="5"/>
  <c r="I72" i="5" s="1"/>
  <c r="G73" i="5"/>
  <c r="I73" i="5" s="1"/>
  <c r="G74" i="5"/>
  <c r="I74" i="5" s="1"/>
  <c r="G75" i="5"/>
  <c r="I75" i="5" s="1"/>
  <c r="G76" i="5"/>
  <c r="I76" i="5" s="1"/>
  <c r="G77" i="5"/>
  <c r="I77" i="5" s="1"/>
  <c r="G78" i="5"/>
  <c r="I78" i="5" s="1"/>
  <c r="G79" i="5"/>
  <c r="I79" i="5" s="1"/>
  <c r="G80" i="5"/>
  <c r="I80" i="5" s="1"/>
  <c r="G81" i="5"/>
  <c r="I81" i="5" s="1"/>
  <c r="G82" i="5"/>
  <c r="I82" i="5" s="1"/>
  <c r="G83" i="5"/>
  <c r="I83" i="5" s="1"/>
  <c r="G84" i="5"/>
  <c r="I84" i="5" s="1"/>
  <c r="G85" i="5"/>
  <c r="I85" i="5" s="1"/>
  <c r="G86" i="5"/>
  <c r="I86" i="5" s="1"/>
  <c r="G87" i="5"/>
  <c r="I87" i="5" s="1"/>
  <c r="G88" i="5"/>
  <c r="I88" i="5" s="1"/>
  <c r="G89" i="5"/>
  <c r="I89" i="5" s="1"/>
  <c r="G90" i="5"/>
  <c r="I90" i="5" s="1"/>
  <c r="G91" i="5"/>
  <c r="I91" i="5" s="1"/>
  <c r="G92" i="5"/>
  <c r="I92" i="5" s="1"/>
  <c r="G93" i="5"/>
  <c r="I93" i="5" s="1"/>
  <c r="G94" i="5"/>
  <c r="I94" i="5" s="1"/>
  <c r="G95" i="5"/>
  <c r="I95" i="5" s="1"/>
  <c r="G96" i="5"/>
  <c r="I96" i="5" s="1"/>
  <c r="G97" i="5"/>
  <c r="I97" i="5" s="1"/>
  <c r="G98" i="5"/>
  <c r="I98" i="5" s="1"/>
  <c r="G99" i="5"/>
  <c r="I99" i="5" s="1"/>
  <c r="G100" i="5"/>
  <c r="I100" i="5" s="1"/>
  <c r="G101" i="5"/>
  <c r="I101" i="5" s="1"/>
  <c r="G102" i="5"/>
  <c r="I102" i="5" s="1"/>
  <c r="G103" i="5"/>
  <c r="I103" i="5" s="1"/>
  <c r="G104" i="5"/>
  <c r="I104" i="5" s="1"/>
  <c r="G105" i="5"/>
  <c r="I105" i="5" s="1"/>
  <c r="G106" i="5"/>
  <c r="I106" i="5" s="1"/>
  <c r="G107" i="5"/>
  <c r="I107" i="5" s="1"/>
  <c r="G108" i="5"/>
  <c r="I108" i="5" s="1"/>
  <c r="G109" i="5"/>
  <c r="I109" i="5" s="1"/>
  <c r="G110" i="5"/>
  <c r="I110" i="5" s="1"/>
  <c r="G111" i="5"/>
  <c r="I111" i="5" s="1"/>
  <c r="G112" i="5"/>
  <c r="I112" i="5" s="1"/>
  <c r="G113" i="5"/>
  <c r="I113" i="5" s="1"/>
  <c r="G114" i="5"/>
  <c r="I114" i="5" s="1"/>
  <c r="G115" i="5"/>
  <c r="I115" i="5" s="1"/>
  <c r="G116" i="5"/>
  <c r="I116" i="5" s="1"/>
  <c r="G117" i="5"/>
  <c r="I117" i="5" s="1"/>
  <c r="G118" i="5"/>
  <c r="I118" i="5" s="1"/>
  <c r="G119" i="5"/>
  <c r="I119" i="5" s="1"/>
  <c r="G120" i="5"/>
  <c r="I120" i="5" s="1"/>
  <c r="G121" i="5"/>
  <c r="I121" i="5" s="1"/>
  <c r="G122" i="5"/>
  <c r="I122" i="5" s="1"/>
  <c r="G123" i="5"/>
  <c r="I123" i="5" s="1"/>
  <c r="G124" i="5"/>
  <c r="I124" i="5" s="1"/>
  <c r="G125" i="5"/>
  <c r="I125" i="5" s="1"/>
  <c r="G126" i="5"/>
  <c r="I126" i="5" s="1"/>
  <c r="G127" i="5"/>
  <c r="I127" i="5" s="1"/>
  <c r="G128" i="5"/>
  <c r="I128" i="5" s="1"/>
  <c r="G129" i="5"/>
  <c r="I129" i="5" s="1"/>
  <c r="G130" i="5"/>
  <c r="I130" i="5" s="1"/>
  <c r="G131" i="5"/>
  <c r="I131" i="5" s="1"/>
  <c r="G132" i="5"/>
  <c r="I132" i="5" s="1"/>
  <c r="G133" i="5"/>
  <c r="I133" i="5" s="1"/>
  <c r="G134" i="5"/>
  <c r="I134" i="5" s="1"/>
  <c r="G135" i="5"/>
  <c r="I135" i="5" s="1"/>
  <c r="G136" i="5"/>
  <c r="I136" i="5" s="1"/>
  <c r="G137" i="5"/>
  <c r="I137" i="5" s="1"/>
  <c r="G138" i="5"/>
  <c r="I138" i="5" s="1"/>
  <c r="G139" i="5"/>
  <c r="I139" i="5" s="1"/>
  <c r="G140" i="5"/>
  <c r="I140" i="5" s="1"/>
  <c r="G141" i="5"/>
  <c r="I141" i="5" s="1"/>
  <c r="G142" i="5"/>
  <c r="I142" i="5" s="1"/>
  <c r="G143" i="5"/>
  <c r="I143" i="5" s="1"/>
  <c r="G144" i="5"/>
  <c r="I144" i="5" s="1"/>
  <c r="H34" i="5" l="1"/>
  <c r="H35" i="5"/>
  <c r="H36" i="5"/>
  <c r="H37" i="5"/>
  <c r="H38" i="5"/>
  <c r="H39" i="5"/>
  <c r="H40" i="5"/>
  <c r="H41" i="5"/>
  <c r="H42" i="5"/>
  <c r="H43" i="5"/>
  <c r="H44" i="5"/>
  <c r="G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D30" i="5"/>
  <c r="I30" i="5" s="1"/>
  <c r="D31" i="5"/>
  <c r="I31" i="5" s="1"/>
  <c r="D32" i="5"/>
  <c r="I32" i="5" s="1"/>
  <c r="D33" i="5"/>
  <c r="I33" i="5" s="1"/>
  <c r="D34" i="5"/>
  <c r="I34" i="5" s="1"/>
  <c r="D35" i="5"/>
  <c r="I35" i="5" s="1"/>
  <c r="D36" i="5"/>
  <c r="I36" i="5" s="1"/>
  <c r="D37" i="5"/>
  <c r="I37" i="5" s="1"/>
  <c r="D38" i="5"/>
  <c r="I38" i="5" s="1"/>
  <c r="D39" i="5"/>
  <c r="I39" i="5" s="1"/>
  <c r="D40" i="5"/>
  <c r="I40" i="5" s="1"/>
  <c r="D41" i="5"/>
  <c r="I41" i="5" s="1"/>
  <c r="D42" i="5"/>
  <c r="I42" i="5" s="1"/>
  <c r="D43" i="5"/>
  <c r="I43" i="5" s="1"/>
  <c r="D44" i="5"/>
  <c r="I44" i="5" s="1"/>
  <c r="D45" i="5"/>
  <c r="I45" i="5" s="1"/>
  <c r="G1" i="5" l="1"/>
  <c r="H4" i="5"/>
  <c r="H1" i="5" s="1"/>
  <c r="A68" i="9" l="1"/>
  <c r="A69" i="9"/>
  <c r="A70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D5" i="5"/>
  <c r="I5" i="5" s="1"/>
  <c r="D6" i="5"/>
  <c r="I6" i="5" s="1"/>
  <c r="D7" i="5"/>
  <c r="I7" i="5" s="1"/>
  <c r="D8" i="5"/>
  <c r="I8" i="5" s="1"/>
  <c r="D9" i="5"/>
  <c r="I9" i="5" s="1"/>
  <c r="D10" i="5"/>
  <c r="I10" i="5" s="1"/>
  <c r="D11" i="5"/>
  <c r="I11" i="5" s="1"/>
  <c r="D12" i="5"/>
  <c r="I12" i="5" s="1"/>
  <c r="D13" i="5"/>
  <c r="I13" i="5" s="1"/>
  <c r="D14" i="5"/>
  <c r="I14" i="5" s="1"/>
  <c r="D15" i="5"/>
  <c r="I15" i="5" s="1"/>
  <c r="D16" i="5"/>
  <c r="I16" i="5" s="1"/>
  <c r="D17" i="5"/>
  <c r="I17" i="5" s="1"/>
  <c r="D18" i="5"/>
  <c r="I18" i="5" s="1"/>
  <c r="D19" i="5"/>
  <c r="I19" i="5" s="1"/>
  <c r="D20" i="5"/>
  <c r="I20" i="5" s="1"/>
  <c r="D21" i="5"/>
  <c r="I21" i="5" s="1"/>
  <c r="D22" i="5"/>
  <c r="I22" i="5" s="1"/>
  <c r="D23" i="5"/>
  <c r="I23" i="5" s="1"/>
  <c r="D24" i="5"/>
  <c r="I24" i="5" s="1"/>
  <c r="D25" i="5"/>
  <c r="I25" i="5" s="1"/>
  <c r="D26" i="5"/>
  <c r="I26" i="5" s="1"/>
  <c r="D27" i="5"/>
  <c r="I27" i="5" s="1"/>
  <c r="D28" i="5"/>
  <c r="I28" i="5" s="1"/>
  <c r="D29" i="5"/>
  <c r="I29" i="5" s="1"/>
  <c r="D4" i="5"/>
  <c r="I4" i="5" s="1"/>
  <c r="I1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 France</author>
    <author>Kirk France</author>
    <author>SSA</author>
  </authors>
  <commentList>
    <comment ref="A1" authorId="0" shapeId="0" xr:uid="{96EC9069-8611-4329-AC8A-A6EAA900B564}">
      <text>
        <r>
          <rPr>
            <b/>
            <sz val="8"/>
            <color indexed="81"/>
            <rFont val="Tahoma"/>
            <family val="2"/>
          </rPr>
          <t xml:space="preserve">Do Not Change ROW 1.
</t>
        </r>
        <r>
          <rPr>
            <sz val="8"/>
            <color indexed="81"/>
            <rFont val="Tahoma"/>
            <family val="2"/>
          </rPr>
          <t>These are database column names that must be present for import process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 shapeId="0" xr:uid="{358E86F9-7F69-498D-A6B5-5434BFEBDAA3}">
      <text>
        <r>
          <rPr>
            <sz val="8"/>
            <color indexed="81"/>
            <rFont val="Tahoma"/>
            <family val="2"/>
          </rPr>
          <t xml:space="preserve">Errors encountered during import will be logged in this column
</t>
        </r>
      </text>
    </comment>
    <comment ref="B2" authorId="0" shapeId="0" xr:uid="{BBC5D8A0-C73C-4D31-BFA2-9EA74C6D9438}">
      <text>
        <r>
          <rPr>
            <sz val="8"/>
            <color indexed="81"/>
            <rFont val="Tahoma"/>
            <family val="2"/>
          </rPr>
          <t xml:space="preserve">For New ASNs you can either:
</t>
        </r>
        <r>
          <rPr>
            <b/>
            <sz val="8"/>
            <color indexed="81"/>
            <rFont val="Tahoma"/>
            <family val="2"/>
          </rPr>
          <t>(a)</t>
        </r>
        <r>
          <rPr>
            <sz val="8"/>
            <color indexed="81"/>
            <rFont val="Tahoma"/>
            <family val="2"/>
          </rPr>
          <t xml:space="preserve"> Leave the Receipt Number blank and use the generic key to let the system assign the order number.
</t>
        </r>
        <r>
          <rPr>
            <b/>
            <sz val="8"/>
            <color indexed="81"/>
            <rFont val="Tahoma"/>
            <family val="2"/>
          </rPr>
          <t>(b)</t>
        </r>
        <r>
          <rPr>
            <sz val="8"/>
            <color indexed="81"/>
            <rFont val="Tahoma"/>
            <family val="2"/>
          </rPr>
          <t xml:space="preserve"> leave the Generic Key blank and input desired Receipt Number</t>
        </r>
      </text>
    </comment>
    <comment ref="C2" authorId="0" shapeId="0" xr:uid="{E5A80945-383B-460A-88FE-0B66FD8A757E}">
      <text>
        <r>
          <rPr>
            <sz val="8"/>
            <color indexed="81"/>
            <rFont val="Tahoma"/>
            <family val="2"/>
          </rPr>
          <t xml:space="preserve">For New ASNs you can either:
</t>
        </r>
        <r>
          <rPr>
            <b/>
            <sz val="8"/>
            <color indexed="81"/>
            <rFont val="Tahoma"/>
            <family val="2"/>
          </rPr>
          <t>(a)</t>
        </r>
        <r>
          <rPr>
            <sz val="8"/>
            <color indexed="81"/>
            <rFont val="Tahoma"/>
            <family val="2"/>
          </rPr>
          <t xml:space="preserve"> Leave the Receipt Number blank and use the generic key to let the system assign the order number.
</t>
        </r>
        <r>
          <rPr>
            <b/>
            <sz val="8"/>
            <color indexed="81"/>
            <rFont val="Tahoma"/>
            <family val="2"/>
          </rPr>
          <t>(b)</t>
        </r>
        <r>
          <rPr>
            <sz val="8"/>
            <color indexed="81"/>
            <rFont val="Tahoma"/>
            <family val="2"/>
          </rPr>
          <t xml:space="preserve"> leave the Generic Key blank and input desired Receipt Number</t>
        </r>
      </text>
    </comment>
    <comment ref="H2" authorId="0" shapeId="0" xr:uid="{06BAB8EC-0591-4F24-91A8-3314DA35D2D5}">
      <text>
        <r>
          <rPr>
            <b/>
            <sz val="8"/>
            <color indexed="81"/>
            <rFont val="Tahoma"/>
            <family val="2"/>
          </rPr>
          <t>Can be blank</t>
        </r>
        <r>
          <rPr>
            <sz val="8"/>
            <color indexed="81"/>
            <rFont val="Tahoma"/>
            <family val="2"/>
          </rPr>
          <t xml:space="preserve">
This must be a valid purchase order if used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" authorId="0" shapeId="0" xr:uid="{DE53E469-42D4-4D76-9E90-AF47E277C169}">
      <text>
        <r>
          <rPr>
            <b/>
            <sz val="8"/>
            <color indexed="81"/>
            <rFont val="Tahoma"/>
            <family val="2"/>
          </rPr>
          <t>DO NOT UPDATE:</t>
        </r>
        <r>
          <rPr>
            <sz val="8"/>
            <color indexed="81"/>
            <rFont val="Tahoma"/>
            <family val="2"/>
          </rPr>
          <t xml:space="preserve">
Maintained by system
0 = NEW</t>
        </r>
      </text>
    </comment>
    <comment ref="N2" authorId="0" shapeId="0" xr:uid="{F20D2C05-DA23-48A0-8097-61B6D93ED388}">
      <text>
        <r>
          <rPr>
            <sz val="8"/>
            <color indexed="81"/>
            <rFont val="Tahoma"/>
            <family val="2"/>
          </rPr>
          <t xml:space="preserve">Valid Types defined in Code Configuration for </t>
        </r>
        <r>
          <rPr>
            <b/>
            <sz val="8"/>
            <color indexed="81"/>
            <rFont val="Tahoma"/>
            <family val="2"/>
          </rPr>
          <t>RECEIPTYPE</t>
        </r>
        <r>
          <rPr>
            <sz val="8"/>
            <color indexed="81"/>
            <rFont val="Tahoma"/>
            <family val="2"/>
          </rPr>
          <t xml:space="preserve">:
1 = Normal (default)
2 = Return
3 = Inter-facility Transfer
4 = SSCC
5 = Case Level
</t>
        </r>
      </text>
    </comment>
    <comment ref="O2" authorId="0" shapeId="0" xr:uid="{A86A500D-944A-4F90-821C-076545CBA9A8}">
      <text>
        <r>
          <rPr>
            <b/>
            <sz val="8"/>
            <color indexed="81"/>
            <rFont val="Tahoma"/>
            <family val="2"/>
          </rPr>
          <t>Maintained by System. Do not update</t>
        </r>
      </text>
    </comment>
    <comment ref="P2" authorId="0" shapeId="0" xr:uid="{65BFA7B1-C69E-430D-8EA0-8724470319DE}">
      <text>
        <r>
          <rPr>
            <b/>
            <sz val="8"/>
            <color indexed="81"/>
            <rFont val="Tahoma"/>
            <family val="2"/>
          </rPr>
          <t>Maintained by System. Do not update</t>
        </r>
      </text>
    </comment>
    <comment ref="Z2" authorId="1" shapeId="0" xr:uid="{B8237BEE-AB48-412B-82D1-D13F00AAB57D}">
      <text>
        <r>
          <rPr>
            <b/>
            <sz val="9"/>
            <color indexed="81"/>
            <rFont val="Tahoma"/>
            <family val="2"/>
          </rPr>
          <t xml:space="preserve">Kirk France:
</t>
        </r>
        <r>
          <rPr>
            <sz val="9"/>
            <color indexed="81"/>
            <rFont val="Tahoma"/>
            <family val="2"/>
          </rPr>
          <t>System updated, do not update</t>
        </r>
      </text>
    </comment>
    <comment ref="AA2" authorId="1" shapeId="0" xr:uid="{C044CB21-AE51-4B2E-8E7D-83BF7C20042A}">
      <text>
        <r>
          <rPr>
            <b/>
            <sz val="9"/>
            <color indexed="81"/>
            <rFont val="Tahoma"/>
            <family val="2"/>
          </rPr>
          <t>Kirk France:</t>
        </r>
        <r>
          <rPr>
            <sz val="9"/>
            <color indexed="81"/>
            <rFont val="Tahoma"/>
            <family val="2"/>
          </rPr>
          <t xml:space="preserve">
This field is </t>
        </r>
        <r>
          <rPr>
            <u/>
            <sz val="9"/>
            <color indexed="81"/>
            <rFont val="Tahoma"/>
            <family val="2"/>
          </rPr>
          <t>only</t>
        </r>
        <r>
          <rPr>
            <sz val="9"/>
            <color indexed="81"/>
            <rFont val="Tahoma"/>
            <family val="2"/>
          </rPr>
          <t xml:space="preserve"> used if you need to record a specific transaction date for ALL receipt transactions on this ASN.
This will not change any transactions that were completed prior to recording the receipt.</t>
        </r>
      </text>
    </comment>
    <comment ref="AC2" authorId="0" shapeId="0" xr:uid="{22BE6635-4111-4B3C-AA7F-5E8A885D8764}">
      <text>
        <r>
          <rPr>
            <sz val="8"/>
            <color indexed="81"/>
            <rFont val="Tahoma"/>
            <family val="2"/>
          </rPr>
          <t xml:space="preserve">
Do not update. Calculated by the application</t>
        </r>
      </text>
    </comment>
    <comment ref="AD2" authorId="0" shapeId="0" xr:uid="{8BCD44A7-11E1-46DB-9801-4DF64950EE79}">
      <text>
        <r>
          <rPr>
            <b/>
            <sz val="8"/>
            <color indexed="81"/>
            <rFont val="Tahoma"/>
            <family val="2"/>
          </rPr>
          <t>DO NOT UPDATE:</t>
        </r>
        <r>
          <rPr>
            <sz val="8"/>
            <color indexed="81"/>
            <rFont val="Tahoma"/>
            <family val="2"/>
          </rPr>
          <t xml:space="preserve">
Maintained by system</t>
        </r>
      </text>
    </comment>
    <comment ref="AE2" authorId="1" shapeId="0" xr:uid="{190AE58E-6B7F-4ABD-812D-8F38225871CD}">
      <text>
        <r>
          <rPr>
            <b/>
            <sz val="9"/>
            <color indexed="81"/>
            <rFont val="Tahoma"/>
            <family val="2"/>
          </rPr>
          <t>Kirk France:</t>
        </r>
        <r>
          <rPr>
            <sz val="9"/>
            <color indexed="81"/>
            <rFont val="Tahoma"/>
            <family val="2"/>
          </rPr>
          <t xml:space="preserve">
This field is NOT updated based on Transportation Management. It is updated manually or from an appointment and/or trailer if the ASN is included on them</t>
        </r>
      </text>
    </comment>
    <comment ref="AH2" authorId="0" shapeId="0" xr:uid="{D6FFD235-6A33-4C5D-B0BB-A114CDD866DA}">
      <text>
        <r>
          <rPr>
            <b/>
            <sz val="8"/>
            <color indexed="81"/>
            <rFont val="Tahoma"/>
            <family val="2"/>
          </rPr>
          <t>Only valid for Case Level Receiving</t>
        </r>
        <r>
          <rPr>
            <sz val="8"/>
            <color indexed="81"/>
            <rFont val="Tahoma"/>
            <family val="2"/>
          </rPr>
          <t xml:space="preserve">
0 = No
1 = Yes</t>
        </r>
      </text>
    </comment>
    <comment ref="AP2" authorId="0" shapeId="0" xr:uid="{02AD9D3C-8593-4EA8-8338-2E036F865696}">
      <text>
        <r>
          <rPr>
            <b/>
            <sz val="8"/>
            <color indexed="81"/>
            <rFont val="Tahoma"/>
            <family val="2"/>
          </rPr>
          <t>Only for Case Level Receiving:</t>
        </r>
        <r>
          <rPr>
            <sz val="8"/>
            <color indexed="81"/>
            <rFont val="Tahoma"/>
            <family val="2"/>
          </rPr>
          <t xml:space="preserve">
0 = LPN
1 = Case</t>
        </r>
      </text>
    </comment>
    <comment ref="BD2" authorId="0" shapeId="0" xr:uid="{E42D1483-185C-404D-9AB7-FA91FC8F0EF4}">
      <text>
        <r>
          <rPr>
            <sz val="8"/>
            <color indexed="81"/>
            <rFont val="Tahoma"/>
            <family val="2"/>
          </rPr>
          <t xml:space="preserve">
Must be defined as a valid Supplier</t>
        </r>
      </text>
    </comment>
    <comment ref="BO2" authorId="1" shapeId="0" xr:uid="{C19B09B9-EA03-438F-B525-BFA3336FF69D}">
      <text>
        <r>
          <rPr>
            <b/>
            <sz val="9"/>
            <color indexed="81"/>
            <rFont val="Tahoma"/>
            <family val="2"/>
          </rPr>
          <t>Kirk France:</t>
        </r>
        <r>
          <rPr>
            <sz val="9"/>
            <color indexed="81"/>
            <rFont val="Tahoma"/>
            <family val="2"/>
          </rPr>
          <t xml:space="preserve">
Assigned by the system, </t>
        </r>
        <r>
          <rPr>
            <b/>
            <i/>
            <sz val="9"/>
            <color indexed="81"/>
            <rFont val="Tahoma"/>
            <family val="2"/>
          </rPr>
          <t>do not update</t>
        </r>
      </text>
    </comment>
    <comment ref="BW2" authorId="0" shapeId="0" xr:uid="{EC7F8B08-DFF8-48AD-B58C-79F0F46EB58F}">
      <text>
        <r>
          <rPr>
            <sz val="8"/>
            <color indexed="81"/>
            <rFont val="Tahoma"/>
            <family val="2"/>
          </rPr>
          <t xml:space="preserve">
Valid Container Types defined in System Codes </t>
        </r>
        <r>
          <rPr>
            <b/>
            <sz val="8"/>
            <color indexed="81"/>
            <rFont val="Tahoma"/>
            <family val="2"/>
          </rPr>
          <t>CONTAINERT</t>
        </r>
      </text>
    </comment>
    <comment ref="CF2" authorId="0" shapeId="0" xr:uid="{CFF0D6C9-68BE-4412-B870-D6348F5232CF}">
      <text>
        <r>
          <rPr>
            <sz val="8"/>
            <color indexed="81"/>
            <rFont val="Tahoma"/>
            <family val="2"/>
          </rPr>
          <t xml:space="preserve">
Valid values defined in Code Configuration for </t>
        </r>
        <r>
          <rPr>
            <b/>
            <sz val="8"/>
            <color indexed="81"/>
            <rFont val="Tahoma"/>
            <family val="2"/>
          </rPr>
          <t>PMTTERM</t>
        </r>
      </text>
    </comment>
    <comment ref="CG2" authorId="0" shapeId="0" xr:uid="{93A81594-BF44-4A37-8676-B2BC178FA352}">
      <text>
        <r>
          <rPr>
            <sz val="8"/>
            <color indexed="81"/>
            <rFont val="Tahoma"/>
            <family val="2"/>
          </rPr>
          <t xml:space="preserve">
Valid values defined in Code Configuration for </t>
        </r>
        <r>
          <rPr>
            <b/>
            <sz val="8"/>
            <color indexed="81"/>
            <rFont val="Tahoma"/>
            <family val="2"/>
          </rPr>
          <t>TRANSPMODE</t>
        </r>
      </text>
    </comment>
    <comment ref="CH2" authorId="0" shapeId="0" xr:uid="{64E42AF0-D3AA-4B8F-A621-38C49A1D1131}">
      <text>
        <r>
          <rPr>
            <sz val="8"/>
            <color indexed="81"/>
            <rFont val="Tahoma"/>
            <family val="2"/>
          </rPr>
          <t xml:space="preserve">
Valid values defined in Code Configuration for </t>
        </r>
        <r>
          <rPr>
            <b/>
            <sz val="8"/>
            <color indexed="81"/>
            <rFont val="Tahoma"/>
            <family val="2"/>
          </rPr>
          <t>CARRSERVCE</t>
        </r>
      </text>
    </comment>
    <comment ref="CI2" authorId="1" shapeId="0" xr:uid="{EDEF59D8-859E-4489-902A-13A2B741CAA3}">
      <text>
        <r>
          <rPr>
            <b/>
            <sz val="9"/>
            <color indexed="81"/>
            <rFont val="Tahoma"/>
            <family val="2"/>
          </rPr>
          <t>Kirk France:</t>
        </r>
        <r>
          <rPr>
            <sz val="9"/>
            <color indexed="81"/>
            <rFont val="Tahoma"/>
            <family val="2"/>
          </rPr>
          <t xml:space="preserve">
Do not manually update. This is updated from Transportation Management.</t>
        </r>
      </text>
    </comment>
    <comment ref="CN2" authorId="2" shapeId="0" xr:uid="{6C7911AA-BFB2-422F-9EB5-BB1C6C150C0E}">
      <text>
        <r>
          <rPr>
            <b/>
            <sz val="8"/>
            <color indexed="81"/>
            <rFont val="Tahoma"/>
            <family val="2"/>
          </rPr>
          <t>system controlled, do not edit</t>
        </r>
      </text>
    </comment>
    <comment ref="CO2" authorId="2" shapeId="0" xr:uid="{089567E6-4D18-4DDC-BE1E-8929AE7D25BF}">
      <text>
        <r>
          <rPr>
            <b/>
            <sz val="8"/>
            <color indexed="81"/>
            <rFont val="Tahoma"/>
            <family val="2"/>
          </rPr>
          <t>system controlled, do not edit</t>
        </r>
      </text>
    </comment>
    <comment ref="CP2" authorId="2" shapeId="0" xr:uid="{3668D8DB-2C98-4742-AF4B-B22B22E9102F}">
      <text>
        <r>
          <rPr>
            <b/>
            <sz val="8"/>
            <color indexed="81"/>
            <rFont val="Tahoma"/>
            <family val="2"/>
          </rPr>
          <t>system controlled, do not edit</t>
        </r>
      </text>
    </comment>
    <comment ref="CQ2" authorId="2" shapeId="0" xr:uid="{BAFEA5C6-4A4F-4388-986F-273AE0FF5312}">
      <text>
        <r>
          <rPr>
            <b/>
            <sz val="8"/>
            <color indexed="81"/>
            <rFont val="Tahoma"/>
            <family val="2"/>
          </rPr>
          <t>system controlled, do not edit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<sst xmlns="http://schemas.openxmlformats.org/spreadsheetml/2006/main" count="11712" uniqueCount="4330">
  <si>
    <t>ASN/Receipt</t>
  </si>
  <si>
    <t>Line #</t>
  </si>
  <si>
    <t>Item</t>
  </si>
  <si>
    <t>Hold Code</t>
  </si>
  <si>
    <t>LPN</t>
  </si>
  <si>
    <t>Location</t>
  </si>
  <si>
    <t>Expected Qty</t>
  </si>
  <si>
    <t>Received Qty</t>
  </si>
  <si>
    <t>Lottable02 - Supplier</t>
  </si>
  <si>
    <t>Lottable03 - PoMpe</t>
  </si>
  <si>
    <t>Lottable06</t>
  </si>
  <si>
    <t>Lottable07 - Version</t>
  </si>
  <si>
    <t>Lottable09 - PoSap</t>
  </si>
  <si>
    <t>Lottable10 - MaKiemSoat</t>
  </si>
  <si>
    <t>Gross Weight</t>
  </si>
  <si>
    <t>Net Weight</t>
  </si>
  <si>
    <t>Tare Weight</t>
  </si>
  <si>
    <t>UDF1 - Ref Doc (SAP)</t>
  </si>
  <si>
    <t>Date Updated</t>
  </si>
  <si>
    <t>Notes (SAP)</t>
  </si>
  <si>
    <t>00001</t>
  </si>
  <si>
    <t>SM_MPN2-113_001</t>
  </si>
  <si>
    <t>EA</t>
  </si>
  <si>
    <t>OK</t>
  </si>
  <si>
    <t/>
  </si>
  <si>
    <t>STAGE</t>
  </si>
  <si>
    <t>0</t>
  </si>
  <si>
    <t>SM_MPN2-114_001</t>
  </si>
  <si>
    <t>SM_MPN2-115_001</t>
  </si>
  <si>
    <t>SM_MPN2-123_001</t>
  </si>
  <si>
    <t>SM_MPN2-124_001</t>
  </si>
  <si>
    <t>SM_MPN2-125_001</t>
  </si>
  <si>
    <t>SM_MPN2-1132_001</t>
  </si>
  <si>
    <t>SM_MPN2-1142_001</t>
  </si>
  <si>
    <t>SM_MPN2-1232_001</t>
  </si>
  <si>
    <t>SM_MPN2-1352_001</t>
  </si>
  <si>
    <t>SM_MPN2-313_001</t>
  </si>
  <si>
    <t>SM_MPN2-314_001</t>
  </si>
  <si>
    <t>SM_MPN2-315_001</t>
  </si>
  <si>
    <t>SM_MPN2-323_001</t>
  </si>
  <si>
    <t>SM_MPN2-325_001</t>
  </si>
  <si>
    <t>SM_MPN2-3132_001</t>
  </si>
  <si>
    <t>SM_MPN2-3152_001</t>
  </si>
  <si>
    <t>SM_MPN2-3232_001</t>
  </si>
  <si>
    <t>SM_MPN2-3252_001</t>
  </si>
  <si>
    <t>SM_MPN2-413_001</t>
  </si>
  <si>
    <t>SM_MPN2-423_001</t>
  </si>
  <si>
    <t>SM_MPN2-424_001</t>
  </si>
  <si>
    <t>SM_MPN2-425_001</t>
  </si>
  <si>
    <t>SM_MPN2-4132_001</t>
  </si>
  <si>
    <t>SM_MPN2-4232_001</t>
  </si>
  <si>
    <t>SM_MPN2-4252_001</t>
  </si>
  <si>
    <t>SM_MPN2-4352_001</t>
  </si>
  <si>
    <t>SM_MPN2-1013_001</t>
  </si>
  <si>
    <t>SM_RCBO2-30/216_001</t>
  </si>
  <si>
    <t>SM_RCBO2-30/220_001</t>
  </si>
  <si>
    <t>SM_RCBO2-30/232_001</t>
  </si>
  <si>
    <t>SM_RCBO2-30/240_001</t>
  </si>
  <si>
    <t>PACKKEY</t>
  </si>
  <si>
    <t>PACKUOM3</t>
  </si>
  <si>
    <t>CASECNT</t>
  </si>
  <si>
    <t>PALLET</t>
  </si>
  <si>
    <t>PPL</t>
  </si>
  <si>
    <t>Pack</t>
  </si>
  <si>
    <t>Packuom3</t>
  </si>
  <si>
    <t>Case Quantity</t>
  </si>
  <si>
    <t>Pallet Quantity</t>
  </si>
  <si>
    <t>SM_ A240/25/3_001</t>
  </si>
  <si>
    <t>SM_ LLW-8N_001</t>
  </si>
  <si>
    <t>SM_A1200L_001</t>
  </si>
  <si>
    <t>SM_A157MCB_001</t>
  </si>
  <si>
    <t>SM_A157N2_001</t>
  </si>
  <si>
    <t>SM_A157V2_001</t>
  </si>
  <si>
    <t>SM_A201_001</t>
  </si>
  <si>
    <t>SM_A201_002</t>
  </si>
  <si>
    <t>SM_A201_101</t>
  </si>
  <si>
    <t>SM_A201_501</t>
  </si>
  <si>
    <t>SM_A201_502</t>
  </si>
  <si>
    <t>SM_A201N_001</t>
  </si>
  <si>
    <t>SM_A201N_101</t>
  </si>
  <si>
    <t>SM_A201N_502</t>
  </si>
  <si>
    <t>SM_A201VX_501</t>
  </si>
  <si>
    <t>SM_A201VXN_501</t>
  </si>
  <si>
    <t>SM_A202_001</t>
  </si>
  <si>
    <t>SM_A202_002</t>
  </si>
  <si>
    <t>SM_A202_101</t>
  </si>
  <si>
    <t>SM_A202_501</t>
  </si>
  <si>
    <t>SM_A202_502</t>
  </si>
  <si>
    <t>SM_A202N_001</t>
  </si>
  <si>
    <t>SM_A202N_101</t>
  </si>
  <si>
    <t>SM_A202N_501</t>
  </si>
  <si>
    <t>SM_A202N_502</t>
  </si>
  <si>
    <t>SM_A203_001</t>
  </si>
  <si>
    <t>SM_A203_002</t>
  </si>
  <si>
    <t>SM_A203_101</t>
  </si>
  <si>
    <t>SM_A203_501</t>
  </si>
  <si>
    <t>SM_A203_502</t>
  </si>
  <si>
    <t>SM_A203N_001</t>
  </si>
  <si>
    <t>SM_A203N_101</t>
  </si>
  <si>
    <t>SM_A203N_501</t>
  </si>
  <si>
    <t>SM_A203N_502</t>
  </si>
  <si>
    <t>SM_A204_001</t>
  </si>
  <si>
    <t>SM_A204_002</t>
  </si>
  <si>
    <t>SM_A204_101</t>
  </si>
  <si>
    <t>SM_A204_501</t>
  </si>
  <si>
    <t>SM_A204_502</t>
  </si>
  <si>
    <t>SM_A204N_001</t>
  </si>
  <si>
    <t>SM_A204N_101</t>
  </si>
  <si>
    <t>SM_A204N_501</t>
  </si>
  <si>
    <t>SM_A204N_502</t>
  </si>
  <si>
    <t>SM_A205_001</t>
  </si>
  <si>
    <t>SM_A205_002</t>
  </si>
  <si>
    <t>SM_A205_101</t>
  </si>
  <si>
    <t>SM_A205_501</t>
  </si>
  <si>
    <t>SM_A205_502</t>
  </si>
  <si>
    <t>SM_A205N_001</t>
  </si>
  <si>
    <t>SM_A205N_101</t>
  </si>
  <si>
    <t>SM_A205N_501</t>
  </si>
  <si>
    <t>SM_A205N_502</t>
  </si>
  <si>
    <t>SM_A206_001</t>
  </si>
  <si>
    <t>SM_A206_002</t>
  </si>
  <si>
    <t>SM_A206_101</t>
  </si>
  <si>
    <t>SM_A206_501</t>
  </si>
  <si>
    <t>SM_A206_502</t>
  </si>
  <si>
    <t>SM_A206N_001</t>
  </si>
  <si>
    <t>SM_A206N_101</t>
  </si>
  <si>
    <t>SM_A206N_501</t>
  </si>
  <si>
    <t>SM_A206N_502</t>
  </si>
  <si>
    <t>SM_A20-IP_001</t>
  </si>
  <si>
    <t>SM_A20KT_001</t>
  </si>
  <si>
    <t>SM_A20KT_501</t>
  </si>
  <si>
    <t>SM_A20KTN_001</t>
  </si>
  <si>
    <t>SM_A20UES_001</t>
  </si>
  <si>
    <t>SM_A20UES2_001</t>
  </si>
  <si>
    <t>SM_A20UES2_002</t>
  </si>
  <si>
    <t>SM_A20UESM2_001</t>
  </si>
  <si>
    <t>SM_A20UESMX_001</t>
  </si>
  <si>
    <t>SM_A20UESMXX_001</t>
  </si>
  <si>
    <t>SM_A20UESMXX_002</t>
  </si>
  <si>
    <t>SM_A20UESX_001</t>
  </si>
  <si>
    <t>SM_A20UESXX_001</t>
  </si>
  <si>
    <t>SM_A20US_001</t>
  </si>
  <si>
    <t>SM_A20US2_001</t>
  </si>
  <si>
    <t>SM_A20US2_002</t>
  </si>
  <si>
    <t>SM_A20US2M_001</t>
  </si>
  <si>
    <t>SM_A20US2X_001</t>
  </si>
  <si>
    <t>SM_A20US2X_002</t>
  </si>
  <si>
    <t>SM_A20US2XX_001</t>
  </si>
  <si>
    <t>SM_A20US2XX_002</t>
  </si>
  <si>
    <t>SM_A20US3_001</t>
  </si>
  <si>
    <t>SM_A20US3_002</t>
  </si>
  <si>
    <t>SM_A20USM_001</t>
  </si>
  <si>
    <t>SM_A20USMX_001</t>
  </si>
  <si>
    <t>SM_A20USMXX_001</t>
  </si>
  <si>
    <t>SM_A20USX_001</t>
  </si>
  <si>
    <t>SM_A20USXX_001</t>
  </si>
  <si>
    <t>SM_A20-WE_001</t>
  </si>
  <si>
    <t>SM_A20-WN_001</t>
  </si>
  <si>
    <t>SM_A20-WN_101</t>
  </si>
  <si>
    <t>SM_A20-WN_501</t>
  </si>
  <si>
    <t>SM_A20-WND_001</t>
  </si>
  <si>
    <t>SM_A20-WND_101</t>
  </si>
  <si>
    <t>SM_A20-WND_501</t>
  </si>
  <si>
    <t>SM_A223_001</t>
  </si>
  <si>
    <t>SM_A223S_001</t>
  </si>
  <si>
    <t>SM_A223V_001</t>
  </si>
  <si>
    <t>SM_A240/25/1_001</t>
  </si>
  <si>
    <t>SM_A240/25/2_001</t>
  </si>
  <si>
    <t>SM_A240/25/2A_001</t>
  </si>
  <si>
    <t>SM_A240/25/3_001</t>
  </si>
  <si>
    <t>SM_A240/25/4_001</t>
  </si>
  <si>
    <t>SM_A240L_501</t>
  </si>
  <si>
    <t>SM_A240L-20_501</t>
  </si>
  <si>
    <t>SM_A240L-25_501</t>
  </si>
  <si>
    <t>SM_A242/16_501</t>
  </si>
  <si>
    <t>SM_A242/20_501</t>
  </si>
  <si>
    <t>SM_A242/20-16_001</t>
  </si>
  <si>
    <t>SM_A242/25_501</t>
  </si>
  <si>
    <t>SM_A242/25-20_501</t>
  </si>
  <si>
    <t>SM_A242/32_001</t>
  </si>
  <si>
    <t>SM_A242/32_501</t>
  </si>
  <si>
    <t>SM_A242/32-16_501</t>
  </si>
  <si>
    <t>SM_A242/32-20_501</t>
  </si>
  <si>
    <t>SM_A242/32-25_501</t>
  </si>
  <si>
    <t>SM_A244/16_501</t>
  </si>
  <si>
    <t>SM_A244/20_501</t>
  </si>
  <si>
    <t>SM_A244/25_501</t>
  </si>
  <si>
    <t>SM_A244/32_501</t>
  </si>
  <si>
    <t>SM_A246/16_501</t>
  </si>
  <si>
    <t>SM_A246/20_501</t>
  </si>
  <si>
    <t>SM_A246/25_501</t>
  </si>
  <si>
    <t>SM_A246/25_502</t>
  </si>
  <si>
    <t>SM_A246/32_501</t>
  </si>
  <si>
    <t>SM_A258/16_001</t>
  </si>
  <si>
    <t>SM_A258/16_501</t>
  </si>
  <si>
    <t>SM_A258/16-RN_501</t>
  </si>
  <si>
    <t>SM_A258/16-RT_501</t>
  </si>
  <si>
    <t>SM_A258/20_501</t>
  </si>
  <si>
    <t>SM_A258/20-RN_501</t>
  </si>
  <si>
    <t>SM_A258/20-RT_501</t>
  </si>
  <si>
    <t>SM_A258/25_001</t>
  </si>
  <si>
    <t>SM_A258/25_501</t>
  </si>
  <si>
    <t>SM_A258/25-RN_501</t>
  </si>
  <si>
    <t>SM_A258/25-RT_501</t>
  </si>
  <si>
    <t>SM_A258/32_001</t>
  </si>
  <si>
    <t>SM_A258/32_501</t>
  </si>
  <si>
    <t>SM_A258/32-RN_501</t>
  </si>
  <si>
    <t>SM_A258/32-RT_501</t>
  </si>
  <si>
    <t>SM_A267BP_001</t>
  </si>
  <si>
    <t>SM_A280/16_001</t>
  </si>
  <si>
    <t>SM_A280/16_501</t>
  </si>
  <si>
    <t>SM_A280/20_501</t>
  </si>
  <si>
    <t>SM_A280/20-3_501</t>
  </si>
  <si>
    <t>SM_A280/20-5_501</t>
  </si>
  <si>
    <t>SM_A280/25_001</t>
  </si>
  <si>
    <t>SM_A280/25_501</t>
  </si>
  <si>
    <t>SM_A280/25-3_501</t>
  </si>
  <si>
    <t>SM_A280/25-5_501</t>
  </si>
  <si>
    <t>SM_A280/32_001</t>
  </si>
  <si>
    <t>SM_A280/32_501</t>
  </si>
  <si>
    <t>SM_A30/1/2M1D_001</t>
  </si>
  <si>
    <t>SM_A30/1_001</t>
  </si>
  <si>
    <t>SM_A30M_001</t>
  </si>
  <si>
    <t>SM_A30MBP_001</t>
  </si>
  <si>
    <t>SM_A30MD20_001</t>
  </si>
  <si>
    <t>SM_A30NGN_001</t>
  </si>
  <si>
    <t>SM_A30NRD_001</t>
  </si>
  <si>
    <t>SM_A30P_001</t>
  </si>
  <si>
    <t>SM_A30P_501</t>
  </si>
  <si>
    <t>SM_A30RJ64_001</t>
  </si>
  <si>
    <t>SM_A30RJ88_001</t>
  </si>
  <si>
    <t>SM_A30TV75_001</t>
  </si>
  <si>
    <t>SM_A30USB_001</t>
  </si>
  <si>
    <t>SM_A332_001</t>
  </si>
  <si>
    <t>SM_A442_001</t>
  </si>
  <si>
    <t>SM_A501V_001</t>
  </si>
  <si>
    <t>SM_A502V_001</t>
  </si>
  <si>
    <t>SM_A503V_001</t>
  </si>
  <si>
    <t>SM_A50MCB2_001</t>
  </si>
  <si>
    <t>SM_A601_501</t>
  </si>
  <si>
    <t>SM_A601GV_001</t>
  </si>
  <si>
    <t>SM_A601SV_001</t>
  </si>
  <si>
    <t>SM_A601V/GS_501</t>
  </si>
  <si>
    <t>SM_A601V_001</t>
  </si>
  <si>
    <t>SM_A601V_501</t>
  </si>
  <si>
    <t>SM_A602_501</t>
  </si>
  <si>
    <t>SM_A602GV_001</t>
  </si>
  <si>
    <t>SM_A602SV_001</t>
  </si>
  <si>
    <t>SM_A602V/GS_501</t>
  </si>
  <si>
    <t>SM_A602V_101</t>
  </si>
  <si>
    <t>SM_A602V_501</t>
  </si>
  <si>
    <t>SM_A603_501</t>
  </si>
  <si>
    <t>SM_A603GV_001</t>
  </si>
  <si>
    <t>SM_A603SV_001</t>
  </si>
  <si>
    <t>SM_A603V/GS_501</t>
  </si>
  <si>
    <t>SM_A603V_001</t>
  </si>
  <si>
    <t>SM_A603V_501</t>
  </si>
  <si>
    <t>SM_A60456_001</t>
  </si>
  <si>
    <t>SM_A60456_501</t>
  </si>
  <si>
    <t>SM_A60456GV_001</t>
  </si>
  <si>
    <t>SM_A60456SV_001</t>
  </si>
  <si>
    <t>SM_A60456V_501</t>
  </si>
  <si>
    <t>SM_A60MCB1_001</t>
  </si>
  <si>
    <t>SM_A60MCB1V_001</t>
  </si>
  <si>
    <t>SM_A60MCB2_001</t>
  </si>
  <si>
    <t>SM_A60MCB2_501</t>
  </si>
  <si>
    <t>SM_A60SB_501</t>
  </si>
  <si>
    <t>SM_A620_501</t>
  </si>
  <si>
    <t>SM_A620V_501</t>
  </si>
  <si>
    <t>SM_A662_001</t>
  </si>
  <si>
    <t>SM_A6CLNV_001</t>
  </si>
  <si>
    <t>SM_A6CLR_001</t>
  </si>
  <si>
    <t>SM_A6DDI_001</t>
  </si>
  <si>
    <t>SM_A6DDIV_001</t>
  </si>
  <si>
    <t>SM_A6F_001</t>
  </si>
  <si>
    <t>SM_A6HDMI_001</t>
  </si>
  <si>
    <t>SM_A6K01_001</t>
  </si>
  <si>
    <t>SM_A6K01_501</t>
  </si>
  <si>
    <t>SM_A6K02_001</t>
  </si>
  <si>
    <t>SM_A6M/1_001</t>
  </si>
  <si>
    <t>SM_A6M/1L_001</t>
  </si>
  <si>
    <t>SM_A6M/1M_001</t>
  </si>
  <si>
    <t>SM_A6M/1V_001</t>
  </si>
  <si>
    <t>SM_A6M/2_001</t>
  </si>
  <si>
    <t>SM_A6M/2L_001</t>
  </si>
  <si>
    <t>SM_A6M/2M_001</t>
  </si>
  <si>
    <t>SM_A6M/2V_001</t>
  </si>
  <si>
    <t>SM_A6MBP_001</t>
  </si>
  <si>
    <t>SM_A6MD20_001</t>
  </si>
  <si>
    <t>SM_A6NGN_001</t>
  </si>
  <si>
    <t>SM_A6NGNV_001</t>
  </si>
  <si>
    <t>SM_A6NRD_001</t>
  </si>
  <si>
    <t>SM_A6NRDV_001</t>
  </si>
  <si>
    <t>SM_A6P_001</t>
  </si>
  <si>
    <t>SM_A6P_501</t>
  </si>
  <si>
    <t>SM_A6P2_001</t>
  </si>
  <si>
    <t>SM_A6P2_501</t>
  </si>
  <si>
    <t>SM_A6RJ64_001</t>
  </si>
  <si>
    <t>SM_A6RJ88_001</t>
  </si>
  <si>
    <t>SM_A6RJ88_002</t>
  </si>
  <si>
    <t>SM_A6SB_001</t>
  </si>
  <si>
    <t>SM_A6SB_501</t>
  </si>
  <si>
    <t>SM_A6TV75_001</t>
  </si>
  <si>
    <t>SM_A6UES2_001</t>
  </si>
  <si>
    <t>SM_A6UESM/2_001</t>
  </si>
  <si>
    <t>SM_A6UESM_001</t>
  </si>
  <si>
    <t>SM_A6UESM-2_001</t>
  </si>
  <si>
    <t>SM_A6UESMV_001</t>
  </si>
  <si>
    <t>SM_A6US_001</t>
  </si>
  <si>
    <t>SM_A6US_002</t>
  </si>
  <si>
    <t>SM_A6USB_001</t>
  </si>
  <si>
    <t>SM_A6USB_002</t>
  </si>
  <si>
    <t>SM_A6USB-A/C_001</t>
  </si>
  <si>
    <t>SM_A6USV_001</t>
  </si>
  <si>
    <t>SM_A6USV_002</t>
  </si>
  <si>
    <t>SM_A6USV_003</t>
  </si>
  <si>
    <t>SM_A6V1200L_001</t>
  </si>
  <si>
    <t>SM_A6V200-LED_001</t>
  </si>
  <si>
    <t>SM_A6V800F_001</t>
  </si>
  <si>
    <t>SM_A6V800L_001</t>
  </si>
  <si>
    <t>SM_A701N_001</t>
  </si>
  <si>
    <t>SM_A702N_001</t>
  </si>
  <si>
    <t>SM_A703N_001</t>
  </si>
  <si>
    <t>SM_A70456N_001</t>
  </si>
  <si>
    <t>SM_A70KT_001</t>
  </si>
  <si>
    <t>SM_A70MCB1_001</t>
  </si>
  <si>
    <t>SM_A70MCB2_001</t>
  </si>
  <si>
    <t>SM_A70SB_001</t>
  </si>
  <si>
    <t>SM_A78F_001</t>
  </si>
  <si>
    <t>SM_A7CLR_001</t>
  </si>
  <si>
    <t>SM_A7DDI_001</t>
  </si>
  <si>
    <t>SM_A7HDMI_001</t>
  </si>
  <si>
    <t>SM_A7M/1_001</t>
  </si>
  <si>
    <t>SM_A7M/2_001</t>
  </si>
  <si>
    <t>SM_A7MBP_001</t>
  </si>
  <si>
    <t>SM_A7MD20_001</t>
  </si>
  <si>
    <t>SM_A7NGN_001</t>
  </si>
  <si>
    <t>SM_A7NRD_001</t>
  </si>
  <si>
    <t>SM_A7RJ64_001</t>
  </si>
  <si>
    <t>SM_A7RJ88_001</t>
  </si>
  <si>
    <t>SM_A7SB_501</t>
  </si>
  <si>
    <t>SM_A7TV75_001</t>
  </si>
  <si>
    <t>SM_A7UES_001</t>
  </si>
  <si>
    <t>SM_A7UES2_001</t>
  </si>
  <si>
    <t>SM_A7UESM_001</t>
  </si>
  <si>
    <t>SM_A7US_001</t>
  </si>
  <si>
    <t>SM_A7USB_001</t>
  </si>
  <si>
    <t>SM_A7USB-A/C_001</t>
  </si>
  <si>
    <t>SM_A800F_001</t>
  </si>
  <si>
    <t>SM_A800L_001</t>
  </si>
  <si>
    <t>SM_A801V_001</t>
  </si>
  <si>
    <t>SM_A802V_001</t>
  </si>
  <si>
    <t>SM_A803V_001</t>
  </si>
  <si>
    <t>SM_A80MCB2_001</t>
  </si>
  <si>
    <t>SM_A80MCB2V_001</t>
  </si>
  <si>
    <t>SM_A882N_501</t>
  </si>
  <si>
    <t>SM_A901V_001</t>
  </si>
  <si>
    <t>SM_A902V_001</t>
  </si>
  <si>
    <t>SM_A903V_001</t>
  </si>
  <si>
    <t>SM_AD/USB1_001</t>
  </si>
  <si>
    <t>SM_AD1_001</t>
  </si>
  <si>
    <t>SM_AD2_001</t>
  </si>
  <si>
    <t>SM_AF-150_001</t>
  </si>
  <si>
    <t>SM_AF-200_001</t>
  </si>
  <si>
    <t>SM_AF2-150_001</t>
  </si>
  <si>
    <t>SM_AF2-200_001</t>
  </si>
  <si>
    <t>SM_AF2-250_001</t>
  </si>
  <si>
    <t>SM_AF-250_001</t>
  </si>
  <si>
    <t>SM_AFC-130_001</t>
  </si>
  <si>
    <t>SM_AFC2-130_001</t>
  </si>
  <si>
    <t>SM_AFC2-250_001</t>
  </si>
  <si>
    <t>SM_AFC2-300_001</t>
  </si>
  <si>
    <t>SM_AFC-250_001</t>
  </si>
  <si>
    <t>SM_AFC2-600_001</t>
  </si>
  <si>
    <t>SM_AFC-300_001</t>
  </si>
  <si>
    <t>SM_AFCL-130R_001</t>
  </si>
  <si>
    <t>SM_AFCL-130S_001</t>
  </si>
  <si>
    <t>SM_AFM-150_001</t>
  </si>
  <si>
    <t>SM_AJ64_001</t>
  </si>
  <si>
    <t>SM_AK02_001</t>
  </si>
  <si>
    <t>SM_AK2237N_001</t>
  </si>
  <si>
    <t>SM_AK2237N_501</t>
  </si>
  <si>
    <t>SM_AK2237ND_001</t>
  </si>
  <si>
    <t>SM_AKD1_001</t>
  </si>
  <si>
    <t>SM_AKSB_001</t>
  </si>
  <si>
    <t>SM_AKT_001</t>
  </si>
  <si>
    <t>SM_AM/1_001</t>
  </si>
  <si>
    <t>SM_AM/1L_001</t>
  </si>
  <si>
    <t>SM_AM/1M_001</t>
  </si>
  <si>
    <t>SM_AM/2_001</t>
  </si>
  <si>
    <t>SM_AM/2L_001</t>
  </si>
  <si>
    <t>SM_AM/2M_001</t>
  </si>
  <si>
    <t>SM_AM2S-3USB_001</t>
  </si>
  <si>
    <t>SM_AM3S_001</t>
  </si>
  <si>
    <t>SM_AM3S-2USB_001</t>
  </si>
  <si>
    <t>SM_AM-3UES2_001</t>
  </si>
  <si>
    <t>SM_AM4S-2USB_001</t>
  </si>
  <si>
    <t>SM_AM5S_001</t>
  </si>
  <si>
    <t>SM_AM5S_101</t>
  </si>
  <si>
    <t>SM_AM5S-2USB_001</t>
  </si>
  <si>
    <t>SM_AM5SB_001</t>
  </si>
  <si>
    <t>SM_AMBP_001</t>
  </si>
  <si>
    <t>SM_AMCB1_001</t>
  </si>
  <si>
    <t>SM_AMCB2_001</t>
  </si>
  <si>
    <t>SM_AMD20_001</t>
  </si>
  <si>
    <t>SM_AMRL-10_001</t>
  </si>
  <si>
    <t>SM_AMRL-15_001</t>
  </si>
  <si>
    <t>SM_ANGN_001</t>
  </si>
  <si>
    <t>SM_ANRD_001</t>
  </si>
  <si>
    <t>SM_AP_001</t>
  </si>
  <si>
    <t>SM_ARJ64_001</t>
  </si>
  <si>
    <t>SM_ARJ88_001</t>
  </si>
  <si>
    <t>SM_ARP1/SC_001</t>
  </si>
  <si>
    <t>SM_ASB_501</t>
  </si>
  <si>
    <t>SM_ASBN_001</t>
  </si>
  <si>
    <t>SM_ASBN_501</t>
  </si>
  <si>
    <t>SM_ASV200-LED_001</t>
  </si>
  <si>
    <t>SM_ATV75_001</t>
  </si>
  <si>
    <t>SM_AUES_001</t>
  </si>
  <si>
    <t>SM_AUES2_001</t>
  </si>
  <si>
    <t>SM_AUS_001</t>
  </si>
  <si>
    <t>SM_AUSB_001</t>
  </si>
  <si>
    <t>SM_AV1200_001</t>
  </si>
  <si>
    <t>SM_AV200LED_001</t>
  </si>
  <si>
    <t>SM_AV200-LED_001</t>
  </si>
  <si>
    <t>SM_AV200LED-2_001</t>
  </si>
  <si>
    <t>SM_AV600_001</t>
  </si>
  <si>
    <t>SM_AV600_002</t>
  </si>
  <si>
    <t>SM_AV800_001</t>
  </si>
  <si>
    <t>SM_AVH_001</t>
  </si>
  <si>
    <t>SM_AWH_001</t>
  </si>
  <si>
    <t>SM_B202_001</t>
  </si>
  <si>
    <t>SM_B203_001</t>
  </si>
  <si>
    <t>SM_B204_001</t>
  </si>
  <si>
    <t>SM_B2DDI_001</t>
  </si>
  <si>
    <t>SM_B2TDS_001</t>
  </si>
  <si>
    <t>SM_B2UESM_001</t>
  </si>
  <si>
    <t>SM_B2US_001</t>
  </si>
  <si>
    <t>SM_B2USX_001</t>
  </si>
  <si>
    <t>SM_B60456_001</t>
  </si>
  <si>
    <t>SM_B60456_501</t>
  </si>
  <si>
    <t>SM_B6123_101</t>
  </si>
  <si>
    <t>SM_B6123_501</t>
  </si>
  <si>
    <t>SM_B620_501</t>
  </si>
  <si>
    <t>SM_B81_001</t>
  </si>
  <si>
    <t>SM_B8123_001</t>
  </si>
  <si>
    <t>SM_BA20KT_001</t>
  </si>
  <si>
    <t>SM_BA20KT_501</t>
  </si>
  <si>
    <t>SM_BCL22835-AC_001</t>
  </si>
  <si>
    <t>SM_BCL2-5050-AC_001</t>
  </si>
  <si>
    <t>SM_BCL25050-AC_001</t>
  </si>
  <si>
    <t>SM_BCL2835-AC_001</t>
  </si>
  <si>
    <t>SM_BCL5050-AC_001</t>
  </si>
  <si>
    <t>SM_BC-NEP-CT09_501</t>
  </si>
  <si>
    <t>KG</t>
  </si>
  <si>
    <t>SM_BC-NEP-CT09_502</t>
  </si>
  <si>
    <t>SM_BC-NEP-CT09_503</t>
  </si>
  <si>
    <t>SM_BC-NEP-CT09_504</t>
  </si>
  <si>
    <t>SM_BC-NEP-CT13_501</t>
  </si>
  <si>
    <t>SM_BC-NEP-CT13_502</t>
  </si>
  <si>
    <t>SM_BC-NEP-CT13_503</t>
  </si>
  <si>
    <t>SM_BC-NEP-CT13_504</t>
  </si>
  <si>
    <t>SM_BC-ONG-CT01_501</t>
  </si>
  <si>
    <t>SM_BC-ONG-CT01_502</t>
  </si>
  <si>
    <t>SM_BC-ONG-CT01_503</t>
  </si>
  <si>
    <t>SM_BC-ONG-CT01_504</t>
  </si>
  <si>
    <t>SM_BC-ONG-CT01_505</t>
  </si>
  <si>
    <t>SM_BC-ONG-CT01_506</t>
  </si>
  <si>
    <t>SM_BC-ONG-CT01_507</t>
  </si>
  <si>
    <t>SM_BC-ONG-CT01_508</t>
  </si>
  <si>
    <t>SM_BC-PKL2-CTL2_501</t>
  </si>
  <si>
    <t>SM_BC-PKL2-CTL2_502</t>
  </si>
  <si>
    <t>SM_BD-12/NL_001</t>
  </si>
  <si>
    <t>SM_BD-12/RG_001</t>
  </si>
  <si>
    <t>SM_BD-18/NL_001</t>
  </si>
  <si>
    <t>SM_BD-18/RG_001</t>
  </si>
  <si>
    <t>SM_BD-18/SL_001</t>
  </si>
  <si>
    <t>SM_BD-24/BL_001</t>
  </si>
  <si>
    <t>SM_BD-24/BR_001</t>
  </si>
  <si>
    <t>SM_BD-24/NL_001</t>
  </si>
  <si>
    <t>SM_BD-24/RG_001</t>
  </si>
  <si>
    <t>SM_BD-24/SL_001</t>
  </si>
  <si>
    <t>SM_BD30-C_001</t>
  </si>
  <si>
    <t>SM_BD30-G_001</t>
  </si>
  <si>
    <t>SM_BD30-R_001</t>
  </si>
  <si>
    <t>SM_BD30-S_001</t>
  </si>
  <si>
    <t>SM_BD-30W_001</t>
  </si>
  <si>
    <t>SM_BD35-C_001</t>
  </si>
  <si>
    <t>SM_BD35-G_001</t>
  </si>
  <si>
    <t>SM_BD35-R_001</t>
  </si>
  <si>
    <t>SM_BD35-S_001</t>
  </si>
  <si>
    <t>SM_BD35-W_001</t>
  </si>
  <si>
    <t>SM_BD-6/BL_001</t>
  </si>
  <si>
    <t>SM_BD-6/BR_001</t>
  </si>
  <si>
    <t>SM_BD-6/NL_001</t>
  </si>
  <si>
    <t>SM_BD-6/RG_001</t>
  </si>
  <si>
    <t>SM_BD-6/SL_001</t>
  </si>
  <si>
    <t>SM_BELT4.2_001</t>
  </si>
  <si>
    <t>SM_BHS2/SC_001</t>
  </si>
  <si>
    <t>SM_BKD-20_001</t>
  </si>
  <si>
    <t>SM_BKD-20_002</t>
  </si>
  <si>
    <t>SM_BKD-20_003</t>
  </si>
  <si>
    <t>RL</t>
  </si>
  <si>
    <t>SM_BKG-20_001</t>
  </si>
  <si>
    <t>SM_BKG-20_002</t>
  </si>
  <si>
    <t>SM_BKG-20_003</t>
  </si>
  <si>
    <t>SM_BKR-20_001</t>
  </si>
  <si>
    <t>SM_BKR-20_002</t>
  </si>
  <si>
    <t>SM_BKR-20_003</t>
  </si>
  <si>
    <t>SM_BKT_001</t>
  </si>
  <si>
    <t>SM_BKW-20_001</t>
  </si>
  <si>
    <t>SM_BKW-20_002</t>
  </si>
  <si>
    <t>SM_BKW-20_003</t>
  </si>
  <si>
    <t>SM_BKY-20_001</t>
  </si>
  <si>
    <t>SM_BKY-20_002</t>
  </si>
  <si>
    <t>SM_BKY-20_003</t>
  </si>
  <si>
    <t>SM_BL-18_001</t>
  </si>
  <si>
    <t>SM_BL-36_001</t>
  </si>
  <si>
    <t>SM_BLD-18_001</t>
  </si>
  <si>
    <t>SM_BLD-36_001</t>
  </si>
  <si>
    <t>SM_BM1020_001</t>
  </si>
  <si>
    <t>SM_BN-18/3C_001</t>
  </si>
  <si>
    <t>SM_BN-18/SC_001</t>
  </si>
  <si>
    <t>SM_BN-18N_001</t>
  </si>
  <si>
    <t>SM_BN-18N_002</t>
  </si>
  <si>
    <t>SM_BN-18T/MS_001</t>
  </si>
  <si>
    <t>SM_BN-18T_001</t>
  </si>
  <si>
    <t>SM_BN-18T_002</t>
  </si>
  <si>
    <t>SM_BN-18T_101</t>
  </si>
  <si>
    <t>SM_BN-18V_001</t>
  </si>
  <si>
    <t>SM_BN-18V_002</t>
  </si>
  <si>
    <t>SM_BN2-18T_001</t>
  </si>
  <si>
    <t>SM_BN2-18T_002</t>
  </si>
  <si>
    <t>SM_BN2-18V_001</t>
  </si>
  <si>
    <t>SM_BN2-18V_002</t>
  </si>
  <si>
    <t>SM_BN2-36T_001</t>
  </si>
  <si>
    <t>SM_BN2-36T_002</t>
  </si>
  <si>
    <t>SM_BN2-36V_001</t>
  </si>
  <si>
    <t>SM_BN2-36V_002</t>
  </si>
  <si>
    <t>SM_BN2-48T_001</t>
  </si>
  <si>
    <t>SM_BN2-48T_002</t>
  </si>
  <si>
    <t>SM_BN3-18T_001</t>
  </si>
  <si>
    <t>SM_BN3-18V_001</t>
  </si>
  <si>
    <t>SM_BN3-36T_001</t>
  </si>
  <si>
    <t>SM_BN3-36V_001</t>
  </si>
  <si>
    <t>SM_BN-36/3C_001</t>
  </si>
  <si>
    <t>SM_BN-36/SC_001</t>
  </si>
  <si>
    <t>SM_BN-36N_001</t>
  </si>
  <si>
    <t>SM_BN-36N_002</t>
  </si>
  <si>
    <t>SM_BN-36T/MS_001</t>
  </si>
  <si>
    <t>SM_BN-36T_001</t>
  </si>
  <si>
    <t>SM_BN-36T_002</t>
  </si>
  <si>
    <t>SM_BN-36T_101</t>
  </si>
  <si>
    <t>SM_BN-36V_001</t>
  </si>
  <si>
    <t>SM_BN-36V_002</t>
  </si>
  <si>
    <t>SM_BN-40T_001</t>
  </si>
  <si>
    <t>SM_BN-48T_001</t>
  </si>
  <si>
    <t>SM_BN-60T_001</t>
  </si>
  <si>
    <t>SM_BN-9/3C_001</t>
  </si>
  <si>
    <t>SM_BN-9N_001</t>
  </si>
  <si>
    <t>SM_BN-9T/MS_001</t>
  </si>
  <si>
    <t>SM_BN-9T_001</t>
  </si>
  <si>
    <t>SM_BN-9V_001</t>
  </si>
  <si>
    <t>SM_BS-16_001</t>
  </si>
  <si>
    <t>SM_BS-20_001</t>
  </si>
  <si>
    <t>SM_BS-25_001</t>
  </si>
  <si>
    <t>SM_BS-32/320_001</t>
  </si>
  <si>
    <t>SM_BS-32/750_001</t>
  </si>
  <si>
    <t>SM_BS6123_501</t>
  </si>
  <si>
    <t>SM_BS615_501</t>
  </si>
  <si>
    <t>SM_BT8-120T_001</t>
  </si>
  <si>
    <t>SM_BT8-120V_001</t>
  </si>
  <si>
    <t>SM_BT8-60T_001</t>
  </si>
  <si>
    <t>SM_BT8-60V_001</t>
  </si>
  <si>
    <t>SM_BTD-01_001</t>
  </si>
  <si>
    <t>SM_BTD-02_001</t>
  </si>
  <si>
    <t>SM_BTD-03_001</t>
  </si>
  <si>
    <t>SM_CA157N_501</t>
  </si>
  <si>
    <t>SM_CANH-AFC2-130_001</t>
  </si>
  <si>
    <t>SM_CANH-AFC2-250_001</t>
  </si>
  <si>
    <t>SM_CANH-AFC2-300_001</t>
  </si>
  <si>
    <t>SM_CANH-AFC2-600_001</t>
  </si>
  <si>
    <t>SM_CAPA-0.82_001</t>
  </si>
  <si>
    <t>SM_CAPA-1.0_001</t>
  </si>
  <si>
    <t>SM_CAPA-2.0_001</t>
  </si>
  <si>
    <t>SM_CAT5E-4P_001</t>
  </si>
  <si>
    <t>M</t>
  </si>
  <si>
    <t>SM_CAT5E-4P_101</t>
  </si>
  <si>
    <t>SM_CAT6E-4P_001</t>
  </si>
  <si>
    <t>SM_CAT6E-4P_101</t>
  </si>
  <si>
    <t>SM_CCH48-SEAM_001</t>
  </si>
  <si>
    <t>SM_CCN-120K_001</t>
  </si>
  <si>
    <t>SM_CCN-220K_001</t>
  </si>
  <si>
    <t>SM_CD210_001</t>
  </si>
  <si>
    <t>SM_CD61/BL_001</t>
  </si>
  <si>
    <t>SET</t>
  </si>
  <si>
    <t>SM_CD61_001</t>
  </si>
  <si>
    <t>SM_CDC-PV4_001</t>
  </si>
  <si>
    <t>SM_CDC-PV6_001</t>
  </si>
  <si>
    <t>SM_CDD_001</t>
  </si>
  <si>
    <t>SM_CDJ26B_001</t>
  </si>
  <si>
    <t>SM_CDJ29B_001</t>
  </si>
  <si>
    <t>SM_CFDC-20_001</t>
  </si>
  <si>
    <t>SM_CFDC-32_001</t>
  </si>
  <si>
    <t>SM_CHIPLED-T-GT-120_001</t>
  </si>
  <si>
    <t>SM_CI1/SC_001</t>
  </si>
  <si>
    <t>SM_CKPD-120_001</t>
  </si>
  <si>
    <t>SM_CKPD-60_001</t>
  </si>
  <si>
    <t>SM_CKPL-120_001</t>
  </si>
  <si>
    <t>SM_CKPL-60_001</t>
  </si>
  <si>
    <t>SM_CL-15_001</t>
  </si>
  <si>
    <t>SM_CL-16/3C_001</t>
  </si>
  <si>
    <t>SM_CL-16N_001</t>
  </si>
  <si>
    <t>SM_CL-16T_001</t>
  </si>
  <si>
    <t>SM_CL-16V_001</t>
  </si>
  <si>
    <t>SM_CL-20/SC_001</t>
  </si>
  <si>
    <t>SM_CL-20/SC-PK_001</t>
  </si>
  <si>
    <t>SM_CL-20/SM_001</t>
  </si>
  <si>
    <t>SM_CL20/SM-PK_001</t>
  </si>
  <si>
    <t>SM_CL-20_001</t>
  </si>
  <si>
    <t>SM_CL-22/3C_001</t>
  </si>
  <si>
    <t>SM_CL-22N_001</t>
  </si>
  <si>
    <t>SM_CL-22T_001</t>
  </si>
  <si>
    <t>SM_CL-22V_001</t>
  </si>
  <si>
    <t>SM_CL30/SM-PK_001</t>
  </si>
  <si>
    <t>SM_CLS/SC_001</t>
  </si>
  <si>
    <t>SM_CLSN2_001</t>
  </si>
  <si>
    <t>SM_CM1/SC_001</t>
  </si>
  <si>
    <t>SM_CM4.2/SC_001</t>
  </si>
  <si>
    <t>SM_CMMB_001</t>
  </si>
  <si>
    <t>SM_CO1/SC_001</t>
  </si>
  <si>
    <t>SM_CR1.5/SC_001</t>
  </si>
  <si>
    <t>SM_CR1/SC_001</t>
  </si>
  <si>
    <t>SM_CR2/SC_001</t>
  </si>
  <si>
    <t>SM_CSW/SC_001</t>
  </si>
  <si>
    <t>SM_DB_001</t>
  </si>
  <si>
    <t>SM_DB2_001</t>
  </si>
  <si>
    <t>SM_DBM-01_001</t>
  </si>
  <si>
    <t>SM_DBM-02_001</t>
  </si>
  <si>
    <t>SM_DBP_001</t>
  </si>
  <si>
    <t>SM_DCC-14_001</t>
  </si>
  <si>
    <t>SM_DCW2150-10_001</t>
  </si>
  <si>
    <t>SM_DCW2150-5_001</t>
  </si>
  <si>
    <t>SM_DCW250-5_001</t>
  </si>
  <si>
    <t>SM_DCW275-10_001</t>
  </si>
  <si>
    <t>SM_DCW275-5_001</t>
  </si>
  <si>
    <t>SM_DCWIREPL1C_001</t>
  </si>
  <si>
    <t>SM_DD-BN3_001</t>
  </si>
  <si>
    <t>SM_DD-BN3_002</t>
  </si>
  <si>
    <t>SM_DDCT10-15_001</t>
  </si>
  <si>
    <t>SM_DDCT10-20_001</t>
  </si>
  <si>
    <t>SM_DDCT5-10_001</t>
  </si>
  <si>
    <t>SM_DFL-60T_001</t>
  </si>
  <si>
    <t>SM_DL1-D/SC_001</t>
  </si>
  <si>
    <t>SM_DL2-D/SC_001</t>
  </si>
  <si>
    <t>SM_DL2-D/ZB_001</t>
  </si>
  <si>
    <t>SM_DL2-V/SC_001</t>
  </si>
  <si>
    <t>SM_DL-3(W3.0)_001</t>
  </si>
  <si>
    <t>SM_DL-3.5(W3.5)_001</t>
  </si>
  <si>
    <t>SM_DL-4(W4.0)_001</t>
  </si>
  <si>
    <t>SM_DL65-12V_001</t>
  </si>
  <si>
    <t>SM_DL65-20V_001</t>
  </si>
  <si>
    <t>SM_DL65-30V_001</t>
  </si>
  <si>
    <t>SM_DLA-12N_001</t>
  </si>
  <si>
    <t>SM_DLA-12T_001</t>
  </si>
  <si>
    <t>SM_DLA-12V_001</t>
  </si>
  <si>
    <t>SM_DLA-20N_001</t>
  </si>
  <si>
    <t>SM_DLA-20T_001</t>
  </si>
  <si>
    <t>SM_DLA-20V_001</t>
  </si>
  <si>
    <t>SM_DLA2-7(3IN1)_001</t>
  </si>
  <si>
    <t>SM_DLA2-7-3IN1_001</t>
  </si>
  <si>
    <t>SM_DLA2R-3T_001</t>
  </si>
  <si>
    <t>SM_DLA2R-3V_001</t>
  </si>
  <si>
    <t>SM_DLA2R-5T_001</t>
  </si>
  <si>
    <t>SM_DLA2R-5V_001</t>
  </si>
  <si>
    <t>SM_DLA2R-7T_001</t>
  </si>
  <si>
    <t>SM_DLA2R-7V_001</t>
  </si>
  <si>
    <t>SM_DLA2R-9T_001</t>
  </si>
  <si>
    <t>SM_DLA2R-9V_001</t>
  </si>
  <si>
    <t>SM_DLA2S-3T_001</t>
  </si>
  <si>
    <t>SM_DLA2S-3V_001</t>
  </si>
  <si>
    <t>SM_DLA2S-5T_001</t>
  </si>
  <si>
    <t>SM_DLA2S-5V_001</t>
  </si>
  <si>
    <t>SM_DLA2S-7T_001</t>
  </si>
  <si>
    <t>SM_DLA2S-7V_001</t>
  </si>
  <si>
    <t>SM_DLA-35N_001</t>
  </si>
  <si>
    <t>SM_DLA-35T_001</t>
  </si>
  <si>
    <t>SM_DLA-35V_001</t>
  </si>
  <si>
    <t>SM_DLA-50N_001</t>
  </si>
  <si>
    <t>SM_DLA-50T_001</t>
  </si>
  <si>
    <t>SM_DLA-50V_001</t>
  </si>
  <si>
    <t>SM_DLB-12/3C_001</t>
  </si>
  <si>
    <t>SM_DLB-12/3C_003</t>
  </si>
  <si>
    <t>SM_DLB-12/3C_004</t>
  </si>
  <si>
    <t>SM_DLB-12/3C-BD_001</t>
  </si>
  <si>
    <t>SM_DLB-12N_001</t>
  </si>
  <si>
    <t>SM_DLB-12N_003</t>
  </si>
  <si>
    <t>SM_DLB-12N_004</t>
  </si>
  <si>
    <t>SM_DLB-12N-BD_001</t>
  </si>
  <si>
    <t>SM_DLB-12T_001</t>
  </si>
  <si>
    <t>SM_DLB-12T_003</t>
  </si>
  <si>
    <t>SM_DLB-12T_004</t>
  </si>
  <si>
    <t>SM_DLB-12T-BD_001</t>
  </si>
  <si>
    <t>SM_DLB-12V_001</t>
  </si>
  <si>
    <t>SM_DLB-12V_003</t>
  </si>
  <si>
    <t>SM_DLB-12V-BD_001</t>
  </si>
  <si>
    <t>SM_DLB2-12/3C_002</t>
  </si>
  <si>
    <t>SM_DLB2-12N_001</t>
  </si>
  <si>
    <t>SM_DLB2-12N_002</t>
  </si>
  <si>
    <t>SM_DLB2-12T_001</t>
  </si>
  <si>
    <t>SM_DLB2-12T_002</t>
  </si>
  <si>
    <t>SM_DLB2-12V_001</t>
  </si>
  <si>
    <t>SM_DLB2-12V_002</t>
  </si>
  <si>
    <t>SM_DLB2-5/3C_002</t>
  </si>
  <si>
    <t>SM_DLB2-5N_001</t>
  </si>
  <si>
    <t>SM_DLB2-5N_002</t>
  </si>
  <si>
    <t>SM_DLB2-5T_001</t>
  </si>
  <si>
    <t>SM_DLB2-5T_002</t>
  </si>
  <si>
    <t>SM_DLB2-5V_001</t>
  </si>
  <si>
    <t>SM_DLB2-5V_002</t>
  </si>
  <si>
    <t>SM_DLB2-7/3C_002</t>
  </si>
  <si>
    <t>SM_DLB2-7N_001</t>
  </si>
  <si>
    <t>SM_DLB2-7N_002</t>
  </si>
  <si>
    <t>SM_DLB2-7T_001</t>
  </si>
  <si>
    <t>SM_DLB2-7T_002</t>
  </si>
  <si>
    <t>SM_DLB2-7V_001</t>
  </si>
  <si>
    <t>SM_DLB2-7V_002</t>
  </si>
  <si>
    <t>SM_DLB2-9/3C_002</t>
  </si>
  <si>
    <t>SM_DLB2-9N_001</t>
  </si>
  <si>
    <t>SM_DLB2-9N_002</t>
  </si>
  <si>
    <t>SM_DLB2-9T_001</t>
  </si>
  <si>
    <t>SM_DLB2-9T_002</t>
  </si>
  <si>
    <t>SM_DLB2-9V_001</t>
  </si>
  <si>
    <t>SM_DLB2-9V_002</t>
  </si>
  <si>
    <t>SM_DLB2L-9N_001</t>
  </si>
  <si>
    <t>SM_DLB2L-9T_001</t>
  </si>
  <si>
    <t>SM_DLB2L-9V_001</t>
  </si>
  <si>
    <t>SM_DLB-5/3C_001</t>
  </si>
  <si>
    <t>SM_DLB-5/3C_003</t>
  </si>
  <si>
    <t>SM_DLB-5/3C_004</t>
  </si>
  <si>
    <t>SM_DLB-5/3C-BD_001</t>
  </si>
  <si>
    <t>SM_DLB-5N_001</t>
  </si>
  <si>
    <t>SM_DLB-5N_003</t>
  </si>
  <si>
    <t>SM_DLB-5N-BD_001</t>
  </si>
  <si>
    <t>SM_DLB-5T_001</t>
  </si>
  <si>
    <t>SM_DLB-5T_003</t>
  </si>
  <si>
    <t>SM_DLB-5T-BD_001</t>
  </si>
  <si>
    <t>SM_DLB-5V_001</t>
  </si>
  <si>
    <t>SM_DLB-5V_003</t>
  </si>
  <si>
    <t>SM_DLB-5V-BD_001</t>
  </si>
  <si>
    <t>SM_DLB-7/3C_001</t>
  </si>
  <si>
    <t>SM_DLB-7/3C_003</t>
  </si>
  <si>
    <t>SM_DLB-7/3C_004</t>
  </si>
  <si>
    <t>SM_DLB-7/3C-BD_001</t>
  </si>
  <si>
    <t>SM_DLB-7N_001</t>
  </si>
  <si>
    <t>SM_DLB-7N_003</t>
  </si>
  <si>
    <t>SM_DLB-7N-BD_001</t>
  </si>
  <si>
    <t>SM_DLB-7T_001</t>
  </si>
  <si>
    <t>SM_DLB-7T_003</t>
  </si>
  <si>
    <t>SM_DLB-7T_004</t>
  </si>
  <si>
    <t>SM_DLB-7T-BD_001</t>
  </si>
  <si>
    <t>SM_DLB-7V_001</t>
  </si>
  <si>
    <t>SM_DLB-7V_003</t>
  </si>
  <si>
    <t>SM_DLB-7V-BD_001</t>
  </si>
  <si>
    <t>SM_DLB-9/3C_001</t>
  </si>
  <si>
    <t>SM_DLB-9/3C_003</t>
  </si>
  <si>
    <t>SM_DLB-9/3C_004</t>
  </si>
  <si>
    <t>SM_DLB-9/3C-BD_001</t>
  </si>
  <si>
    <t>SM_DLB-9N_001</t>
  </si>
  <si>
    <t>SM_DLB-9N_003</t>
  </si>
  <si>
    <t>SM_DLB-9N_004</t>
  </si>
  <si>
    <t>SM_DLB-9N-BD_001</t>
  </si>
  <si>
    <t>SM_DLB-9T_001</t>
  </si>
  <si>
    <t>SM_DLB-9T_003</t>
  </si>
  <si>
    <t>SM_DLB-9T_004</t>
  </si>
  <si>
    <t>SM_DLB-9T-BD_001</t>
  </si>
  <si>
    <t>SM_DLB-9V_001</t>
  </si>
  <si>
    <t>SM_DLB-9V_003</t>
  </si>
  <si>
    <t>SM_DLB-9V-BD_001</t>
  </si>
  <si>
    <t>SM_DLBL2-9/3C_002</t>
  </si>
  <si>
    <t>SM_DLBL2-9N_001</t>
  </si>
  <si>
    <t>SM_DLBL2-9N_002</t>
  </si>
  <si>
    <t>SM_DLBL2-9T_001</t>
  </si>
  <si>
    <t>SM_DLBL2-9T_002</t>
  </si>
  <si>
    <t>SM_DLBL2-9V_001</t>
  </si>
  <si>
    <t>SM_DLBL2-9V_002</t>
  </si>
  <si>
    <t>SM_DLBL-9/3C_001</t>
  </si>
  <si>
    <t>SM_DLBL-9/3C_003</t>
  </si>
  <si>
    <t>SM_DLBL-9/3C_004</t>
  </si>
  <si>
    <t>SM_DLBL-9/3C-BD_001</t>
  </si>
  <si>
    <t>SM_DLBL-9N_001</t>
  </si>
  <si>
    <t>SM_DLBL-9N_003</t>
  </si>
  <si>
    <t>SM_DLBL-9T_001</t>
  </si>
  <si>
    <t>SM_DLBL-9T_003</t>
  </si>
  <si>
    <t>SM_DLBL-9V_001</t>
  </si>
  <si>
    <t>SM_DLBL-9V_003</t>
  </si>
  <si>
    <t>SM_DLC-12/3C_001</t>
  </si>
  <si>
    <t>SM_DLC-18/3C_001</t>
  </si>
  <si>
    <t>SM_DLC-18T_001</t>
  </si>
  <si>
    <t>SM_DLC-24/3C)001</t>
  </si>
  <si>
    <t>SM_DLC-24/3C_001</t>
  </si>
  <si>
    <t>SM_DLC-24T_001</t>
  </si>
  <si>
    <t>SM_DLC-6/3C_001</t>
  </si>
  <si>
    <t>SM_DLC-9/3C_001</t>
  </si>
  <si>
    <t>SM_DLE-12/3C_001</t>
  </si>
  <si>
    <t>SM_DLE-12N_001</t>
  </si>
  <si>
    <t>SM_DLE-12T_001</t>
  </si>
  <si>
    <t>SM_DLE-12V_001</t>
  </si>
  <si>
    <t>SM_DLE-18/3C_001</t>
  </si>
  <si>
    <t>SM_DLE-18N_001</t>
  </si>
  <si>
    <t>SM_DLE-18T_001</t>
  </si>
  <si>
    <t>SM_DLE-18V_001</t>
  </si>
  <si>
    <t>SM_DLE-6/3C_001</t>
  </si>
  <si>
    <t>SM_DLE-6T_001</t>
  </si>
  <si>
    <t>SM_DLE-7/3C_001</t>
  </si>
  <si>
    <t>SM_DLE-7N_001</t>
  </si>
  <si>
    <t>SM_DLE-7T_001</t>
  </si>
  <si>
    <t>SM_DLE-7V_001</t>
  </si>
  <si>
    <t>SM_DLE-9/3C_001</t>
  </si>
  <si>
    <t>SM_DLE-9/3C_002</t>
  </si>
  <si>
    <t>SM_DLE-9N_002</t>
  </si>
  <si>
    <t>SM_DLE-9T_001</t>
  </si>
  <si>
    <t>SM_DLE-9T_002</t>
  </si>
  <si>
    <t>SM_DLE-9V_001</t>
  </si>
  <si>
    <t>SM_DLE-9V_002</t>
  </si>
  <si>
    <t>SM_DLEL-6/3C_001</t>
  </si>
  <si>
    <t>SM_DLEL-6T_001</t>
  </si>
  <si>
    <t>SM_DLEL-6V_001</t>
  </si>
  <si>
    <t>SM_DLEL-9/3C_001</t>
  </si>
  <si>
    <t>SM_DLEL-9N_001</t>
  </si>
  <si>
    <t>SM_DLEL-9T_001</t>
  </si>
  <si>
    <t>SM_DLEL-9V_001</t>
  </si>
  <si>
    <t>SM_DLF-12T_001</t>
  </si>
  <si>
    <t>SM_DLF-12V_001</t>
  </si>
  <si>
    <t>SM_DLF-20T_001</t>
  </si>
  <si>
    <t>SM_DLF-20V_001</t>
  </si>
  <si>
    <t>SM_DLF2-12N_001</t>
  </si>
  <si>
    <t>SM_DLF2-12T_001</t>
  </si>
  <si>
    <t>SM_DLF2-20N_001</t>
  </si>
  <si>
    <t>SM_DLF2-20T_001</t>
  </si>
  <si>
    <t>SM_DLF2-20V_002</t>
  </si>
  <si>
    <t>SM_DLF2-30N_001</t>
  </si>
  <si>
    <t>SM_DLF2-30T_001</t>
  </si>
  <si>
    <t>SM_DLF2-30V_001</t>
  </si>
  <si>
    <t>SM_DLF2-40N_001</t>
  </si>
  <si>
    <t>SM_DLF2-40N_002</t>
  </si>
  <si>
    <t>SM_DLF2-40N_003</t>
  </si>
  <si>
    <t>SM_DLF2-40T_001</t>
  </si>
  <si>
    <t>SM_DLF-25T_001</t>
  </si>
  <si>
    <t>SM_DLF-25V_001</t>
  </si>
  <si>
    <t>SM_DLF2-7N_001</t>
  </si>
  <si>
    <t>SM_DLF2-7T_001</t>
  </si>
  <si>
    <t>SM_DLF-30T_001</t>
  </si>
  <si>
    <t>SM_DLF-30V_001</t>
  </si>
  <si>
    <t>SM_DLF-7T_001</t>
  </si>
  <si>
    <t>SM_DLF-7V_001</t>
  </si>
  <si>
    <t>SM_DLR-75W_001</t>
  </si>
  <si>
    <t>SM_DLS-107N_001</t>
  </si>
  <si>
    <t>SM_DLS-107T_001</t>
  </si>
  <si>
    <t>SM_DLS-107V_001</t>
  </si>
  <si>
    <t>SM_DLS-112N_001</t>
  </si>
  <si>
    <t>SM_DLS-112T_001</t>
  </si>
  <si>
    <t>SM_DLS-112V_001</t>
  </si>
  <si>
    <t>SM_DLS-120N_001</t>
  </si>
  <si>
    <t>SM_DLS-120N_002</t>
  </si>
  <si>
    <t>SM_DLS-120T_001</t>
  </si>
  <si>
    <t>SM_DLS-120V_001</t>
  </si>
  <si>
    <t>SM_DLS-120V_002</t>
  </si>
  <si>
    <t>SM_DLS-207N_001</t>
  </si>
  <si>
    <t>SM_DLS-207T_001</t>
  </si>
  <si>
    <t>SM_DLS-207V_001</t>
  </si>
  <si>
    <t>SM_DLS-212N_001</t>
  </si>
  <si>
    <t>SM_DLS-212T_001</t>
  </si>
  <si>
    <t>SM_DLS-212V_001</t>
  </si>
  <si>
    <t>SM_DLS-220N_001</t>
  </si>
  <si>
    <t>SM_DLS-220N_002</t>
  </si>
  <si>
    <t>SM_DLS-220T_001</t>
  </si>
  <si>
    <t>SM_DLS-220T_002</t>
  </si>
  <si>
    <t>SM_DLS-220V_001</t>
  </si>
  <si>
    <t>SM_DLS-220V_002</t>
  </si>
  <si>
    <t>SM_DLS-312N_001</t>
  </si>
  <si>
    <t>SM_DLS-312T_001</t>
  </si>
  <si>
    <t>SM_DLS-312V_001</t>
  </si>
  <si>
    <t>SM_DLS-320N_001</t>
  </si>
  <si>
    <t>SM_DLS-320T_001</t>
  </si>
  <si>
    <t>SM_DLS-320T_101</t>
  </si>
  <si>
    <t>SM_DLS-320V_001</t>
  </si>
  <si>
    <t>SM_DLS-60_001</t>
  </si>
  <si>
    <t>SM_DLT-12/3C_001</t>
  </si>
  <si>
    <t>SM_DLT-12/3C_003</t>
  </si>
  <si>
    <t>SM_DLT-12/3C_004</t>
  </si>
  <si>
    <t>SM_DLT-12/3C-BD_001</t>
  </si>
  <si>
    <t>SM_DLT-12N_001</t>
  </si>
  <si>
    <t>SM_DLT-12N_003</t>
  </si>
  <si>
    <t>SM_DLT-12N_004</t>
  </si>
  <si>
    <t>SM_DLT-12N-BD_001</t>
  </si>
  <si>
    <t>SM_DLT-12T_001</t>
  </si>
  <si>
    <t>SM_DLT-12T_003</t>
  </si>
  <si>
    <t>SM_DLT-12T_004</t>
  </si>
  <si>
    <t>SM_DLT-12T-BD_001</t>
  </si>
  <si>
    <t>SM_DLT-12V_001</t>
  </si>
  <si>
    <t>SM_DLT-12V_003</t>
  </si>
  <si>
    <t>SM_DLT-12V-BD_001</t>
  </si>
  <si>
    <t>SM_DLT2-12/3C_002</t>
  </si>
  <si>
    <t>SM_DLT2-12N_001</t>
  </si>
  <si>
    <t>SM_DLT2-12N_002</t>
  </si>
  <si>
    <t>SM_DLT2-12T_001</t>
  </si>
  <si>
    <t>SM_DLT2-12T_002</t>
  </si>
  <si>
    <t>SM_DLT2-12V_001</t>
  </si>
  <si>
    <t>SM_DLT2-12V_002</t>
  </si>
  <si>
    <t>SM_DLT2-5/3C_002</t>
  </si>
  <si>
    <t>SM_DLT2-5N_001</t>
  </si>
  <si>
    <t>SM_DLT2-5N_002</t>
  </si>
  <si>
    <t>SM_DLT2-5T_001</t>
  </si>
  <si>
    <t>SM_DLT2-5T_002</t>
  </si>
  <si>
    <t>SM_DLT2-5V_001</t>
  </si>
  <si>
    <t>SM_DLT2-5V_002</t>
  </si>
  <si>
    <t>SM_DLT2-7/3C_001</t>
  </si>
  <si>
    <t>SM_DLT2-7/3C_002</t>
  </si>
  <si>
    <t>SM_DLT2-7N_001</t>
  </si>
  <si>
    <t>SM_DLT2-7N_002</t>
  </si>
  <si>
    <t>SM_DLT2-7T_001</t>
  </si>
  <si>
    <t>SM_DLT2-7T_002</t>
  </si>
  <si>
    <t>SM_DLT2-7V_001</t>
  </si>
  <si>
    <t>SM_DLT2-7V_002</t>
  </si>
  <si>
    <t>SM_DLT2-9/3C_002</t>
  </si>
  <si>
    <t>SM_DLT2-9N_001</t>
  </si>
  <si>
    <t>SM_DLT2-9N_002</t>
  </si>
  <si>
    <t>SM_DLT2-9T_001</t>
  </si>
  <si>
    <t>SM_DLT2-9T_002</t>
  </si>
  <si>
    <t>SM_DLT2-9V_001</t>
  </si>
  <si>
    <t>SM_DLT2-9V_002</t>
  </si>
  <si>
    <t>SM_DLT2L-9N_001</t>
  </si>
  <si>
    <t>SM_DLT2L-9T_001</t>
  </si>
  <si>
    <t>SM_DLT2L-9V_001</t>
  </si>
  <si>
    <t>SM_DLT-5/3C_001</t>
  </si>
  <si>
    <t>SM_DLT-5/3C_003</t>
  </si>
  <si>
    <t>SM_DLT-5/3C-BD_001</t>
  </si>
  <si>
    <t>SM_DLT-5N_001</t>
  </si>
  <si>
    <t>SM_DLT-5N_003</t>
  </si>
  <si>
    <t>SM_DLT-5N-BD_001</t>
  </si>
  <si>
    <t>SM_DLT-5T_001</t>
  </si>
  <si>
    <t>SM_DLT-5T_004</t>
  </si>
  <si>
    <t>SM_DLT-5T-BD_001</t>
  </si>
  <si>
    <t>SM_DLT-5V_001</t>
  </si>
  <si>
    <t>SM_DLT-5V_003</t>
  </si>
  <si>
    <t>SM_DLT-5V-BD_001</t>
  </si>
  <si>
    <t>SM_DLT-7/3C_001</t>
  </si>
  <si>
    <t>SM_DLT-7/3C_003</t>
  </si>
  <si>
    <t>SM_DLT-7/3C_004</t>
  </si>
  <si>
    <t>SM_DLT-7/3C-BD_001</t>
  </si>
  <si>
    <t>SM_DLT-7N_001</t>
  </si>
  <si>
    <t>SM_DLT-7N_003</t>
  </si>
  <si>
    <t>SM_DLT-7N_004</t>
  </si>
  <si>
    <t>SM_DLT-7N-BD_001</t>
  </si>
  <si>
    <t>SM_DLT-7T_001</t>
  </si>
  <si>
    <t>SM_DLT-7T_003</t>
  </si>
  <si>
    <t>SM_DLT-7T_004</t>
  </si>
  <si>
    <t>SM_DLT-7T-BD_001</t>
  </si>
  <si>
    <t>SM_DLT-7V_001</t>
  </si>
  <si>
    <t>SM_DLT-7V_003</t>
  </si>
  <si>
    <t>SM_DLT-7V_004</t>
  </si>
  <si>
    <t>SM_DLT-7V-BD_001</t>
  </si>
  <si>
    <t>SM_DLT-9/3C_001</t>
  </si>
  <si>
    <t>SM_DLT-9/3C_003</t>
  </si>
  <si>
    <t>SM_DLT-9/3C_004</t>
  </si>
  <si>
    <t>SM_DLT-9/3C-BD_001</t>
  </si>
  <si>
    <t>SM_DLT-9N_001</t>
  </si>
  <si>
    <t>SM_DLT-9N_003</t>
  </si>
  <si>
    <t>SM_DLT-9N_004</t>
  </si>
  <si>
    <t>SM_DLT-9N-BD_001</t>
  </si>
  <si>
    <t>SM_DLT-9T_001</t>
  </si>
  <si>
    <t>SM_DLT-9T_003</t>
  </si>
  <si>
    <t>SM_DLT-9T_004</t>
  </si>
  <si>
    <t>SM_DLT-9T-BD_001</t>
  </si>
  <si>
    <t>SM_DLT-9V_001</t>
  </si>
  <si>
    <t>SM_DLT-9V_003</t>
  </si>
  <si>
    <t>SM_DLT-9V_004</t>
  </si>
  <si>
    <t>SM_DLT-9V-BD_001</t>
  </si>
  <si>
    <t>SM_DLTL2-9/3C_002</t>
  </si>
  <si>
    <t>SM_DLTL2-9N_001</t>
  </si>
  <si>
    <t>SM_DLTL2-9N_002</t>
  </si>
  <si>
    <t>SM_DLTL2-9T_001</t>
  </si>
  <si>
    <t>SM_DLTL2-9T_002</t>
  </si>
  <si>
    <t>SM_DLTL2-9V_001</t>
  </si>
  <si>
    <t>SM_DLTL2-9V_002</t>
  </si>
  <si>
    <t>SM_DLTL-9/3C_001</t>
  </si>
  <si>
    <t>SM_DLTL-9/3C_003</t>
  </si>
  <si>
    <t>SM_DLTL-9/3C_004</t>
  </si>
  <si>
    <t>SM_DLTL-9N_001</t>
  </si>
  <si>
    <t>SM_DLTL-9N_003</t>
  </si>
  <si>
    <t>SM_DLTL-9N_004</t>
  </si>
  <si>
    <t>SM_DLTL-9T_001</t>
  </si>
  <si>
    <t>SM_DLTL-9T_003</t>
  </si>
  <si>
    <t>SM_DLTL-9V_001</t>
  </si>
  <si>
    <t>SM_DLTL-9V_003</t>
  </si>
  <si>
    <t>SM_DLV-12/3C_001</t>
  </si>
  <si>
    <t>SM_DLV-12/3C_003</t>
  </si>
  <si>
    <t>SM_DLV-12/3C_004</t>
  </si>
  <si>
    <t>SM_DLV-12/3C-BD_001</t>
  </si>
  <si>
    <t>SM_DLV-12N_001</t>
  </si>
  <si>
    <t>SM_DLV-12N_003</t>
  </si>
  <si>
    <t>SM_DLV-12N-BD_001</t>
  </si>
  <si>
    <t>SM_DLV-12T_001</t>
  </si>
  <si>
    <t>SM_DLV-12T_003</t>
  </si>
  <si>
    <t>SM_DLV-12T_004</t>
  </si>
  <si>
    <t>SM_DLV-12T-BD_001</t>
  </si>
  <si>
    <t>SM_DLV-12V_001</t>
  </si>
  <si>
    <t>SM_DLV-12V_003</t>
  </si>
  <si>
    <t>SM_DLV-12V-BD_001</t>
  </si>
  <si>
    <t>SM_DLV2-12/3C_001</t>
  </si>
  <si>
    <t>SM_DLV2-12/3C_002</t>
  </si>
  <si>
    <t>SM_DLV2-12N_001</t>
  </si>
  <si>
    <t>SM_DLV2-12N_002</t>
  </si>
  <si>
    <t>SM_DLV2-12T_001</t>
  </si>
  <si>
    <t>SM_DLV2-12T_002</t>
  </si>
  <si>
    <t>SM_DLV2-12T-BD_001</t>
  </si>
  <si>
    <t>SM_DLV2-12V_001</t>
  </si>
  <si>
    <t>SM_DLV2-12V_002</t>
  </si>
  <si>
    <t>SM_DLV2-5/3C_001</t>
  </si>
  <si>
    <t>SM_DLV2-5/3C_002</t>
  </si>
  <si>
    <t>SM_DLV2-5N_001</t>
  </si>
  <si>
    <t>SM_DLV2-5N_002</t>
  </si>
  <si>
    <t>SM_DLV2-5T_001</t>
  </si>
  <si>
    <t>SM_DLV2-5T_002</t>
  </si>
  <si>
    <t>SM_DLV2-5T-BD_001</t>
  </si>
  <si>
    <t>SM_DLV2-5V_001</t>
  </si>
  <si>
    <t>SM_DLV2-5V_002</t>
  </si>
  <si>
    <t>SM_DLV2-7/3C_002</t>
  </si>
  <si>
    <t>SM_DLV2-7N_001</t>
  </si>
  <si>
    <t>SM_DLV2-7N_002</t>
  </si>
  <si>
    <t>SM_DLV2-7T_001</t>
  </si>
  <si>
    <t>SM_DLV2-7T_002</t>
  </si>
  <si>
    <t>SM_DLV2-7V_001</t>
  </si>
  <si>
    <t>SM_DLV2-7V_002</t>
  </si>
  <si>
    <t>SM_DLV2-9/3C_001</t>
  </si>
  <si>
    <t>SM_DLV2-9/3C_002</t>
  </si>
  <si>
    <t>SM_DLV2-9/3C-BD_001</t>
  </si>
  <si>
    <t>SM_DLV2-9N_001</t>
  </si>
  <si>
    <t>SM_DLV2-9N_002</t>
  </si>
  <si>
    <t>SM_DLV2-9T_001</t>
  </si>
  <si>
    <t>SM_DLV2-9T_002</t>
  </si>
  <si>
    <t>SM_DLV2-9T-BD_001</t>
  </si>
  <si>
    <t>SM_DLV2-9V_001</t>
  </si>
  <si>
    <t>SM_DLV2-9V_002</t>
  </si>
  <si>
    <t>SM_DLV2L-9/3C-BD_001</t>
  </si>
  <si>
    <t>SM_DLV2L-9N_001</t>
  </si>
  <si>
    <t>SM_DLV2L-9T_001</t>
  </si>
  <si>
    <t>SM_DLV2L-9T-BD_001</t>
  </si>
  <si>
    <t>SM_DLV2L-9V_001</t>
  </si>
  <si>
    <t>SM_DLV-5/3C_001</t>
  </si>
  <si>
    <t>SM_DLV-5/3C_003</t>
  </si>
  <si>
    <t>SM_DLV-5/3C_004</t>
  </si>
  <si>
    <t>SM_DLV-5/3C-BD_001</t>
  </si>
  <si>
    <t>SM_DLV-5N_001</t>
  </si>
  <si>
    <t>SM_DLV-5N_003</t>
  </si>
  <si>
    <t>SM_DLV-5N-BD_001</t>
  </si>
  <si>
    <t>SM_DLV-5T_001</t>
  </si>
  <si>
    <t>SM_DLV-5T_003</t>
  </si>
  <si>
    <t>SM_DLV-5T-BD_001</t>
  </si>
  <si>
    <t>SM_DLV-5V_001</t>
  </si>
  <si>
    <t>SM_DLV-5V_003</t>
  </si>
  <si>
    <t>SM_DLV-5V-BD_001</t>
  </si>
  <si>
    <t>SM_DLV-7/3C_001</t>
  </si>
  <si>
    <t>SM_DLV-7/3C_003</t>
  </si>
  <si>
    <t>SM_DLV-7/3C-BD_001</t>
  </si>
  <si>
    <t>SM_DLV-7N_001</t>
  </si>
  <si>
    <t>SM_DLV-7N_003</t>
  </si>
  <si>
    <t>SM_DLV-7N_004</t>
  </si>
  <si>
    <t>SM_DLV-7N-BD_001</t>
  </si>
  <si>
    <t>SM_DLV-7T_001</t>
  </si>
  <si>
    <t>SM_DLV-7T_003</t>
  </si>
  <si>
    <t>SM_DLV-7T_004</t>
  </si>
  <si>
    <t>SM_DLV-7T-BD_001</t>
  </si>
  <si>
    <t>SM_DLV-7V_001</t>
  </si>
  <si>
    <t>SM_DLV-7V_003</t>
  </si>
  <si>
    <t>SM_DLV-7V-BD_001</t>
  </si>
  <si>
    <t>SM_DLV-9/3C_001</t>
  </si>
  <si>
    <t>SM_DLV-9/3C_003</t>
  </si>
  <si>
    <t>SM_DLV-9/3C_004</t>
  </si>
  <si>
    <t>SM_DLV-9/3C-BD_001</t>
  </si>
  <si>
    <t>SM_DLV-9N_001</t>
  </si>
  <si>
    <t>SM_DLV-9N_003</t>
  </si>
  <si>
    <t>SM_DLV-9N_004</t>
  </si>
  <si>
    <t>SM_DLV-9N-BD_001</t>
  </si>
  <si>
    <t>SM_DLV-9T_001</t>
  </si>
  <si>
    <t>SM_DLV-9T_003</t>
  </si>
  <si>
    <t>SM_DLV-9T_004</t>
  </si>
  <si>
    <t>SM_DLV-9T-BD_001</t>
  </si>
  <si>
    <t>SM_DLV-9V_001</t>
  </si>
  <si>
    <t>SM_DLV-9V_003</t>
  </si>
  <si>
    <t>SM_DLV-9V_004</t>
  </si>
  <si>
    <t>SM_DLV-9V-BD_001</t>
  </si>
  <si>
    <t>SM_DLVL2-9/3C_002</t>
  </si>
  <si>
    <t>SM_DLVL2-9N_001</t>
  </si>
  <si>
    <t>SM_DLVL2-9N_002</t>
  </si>
  <si>
    <t>SM_DLVL2-9T_001</t>
  </si>
  <si>
    <t>SM_DLVL2-9T_002</t>
  </si>
  <si>
    <t>SM_DLVL2-9V_001</t>
  </si>
  <si>
    <t>SM_DLVL2-9V_002</t>
  </si>
  <si>
    <t>SM_DLVL-9/3C_001</t>
  </si>
  <si>
    <t>SM_DLVL-9/3C_003</t>
  </si>
  <si>
    <t>SM_DLVL-9/3C_004</t>
  </si>
  <si>
    <t>SM_DLVL-9/3C-BD_001</t>
  </si>
  <si>
    <t>SM_DLVL-9N_001</t>
  </si>
  <si>
    <t>SM_DLVL-9N_003</t>
  </si>
  <si>
    <t>SM_DLVL-9T_001</t>
  </si>
  <si>
    <t>SM_DLVL-9T_003</t>
  </si>
  <si>
    <t>SM_DLVL-9T-BD_001</t>
  </si>
  <si>
    <t>SM_DLVL-9V_001</t>
  </si>
  <si>
    <t>SM_DLVL-9V_003</t>
  </si>
  <si>
    <t>SM_DMN/3C_001</t>
  </si>
  <si>
    <t>SM_DMN_001</t>
  </si>
  <si>
    <t>SM_DMN_101</t>
  </si>
  <si>
    <t>SM_DMN_201</t>
  </si>
  <si>
    <t>SM_DPL-12V_001</t>
  </si>
  <si>
    <t>SM_DPL-20V_001</t>
  </si>
  <si>
    <t>SM_DPL-30V_001</t>
  </si>
  <si>
    <t>SM_DPL-7V_001</t>
  </si>
  <si>
    <t>SM_DPM1_001</t>
  </si>
  <si>
    <t>SM_DPM2_001</t>
  </si>
  <si>
    <t>SM_DPM3_001</t>
  </si>
  <si>
    <t>SM_DR/FPD-40_001</t>
  </si>
  <si>
    <t>SM_DR-12/3C_001</t>
  </si>
  <si>
    <t>SM_DR-12/3C_101</t>
  </si>
  <si>
    <t>SM_DR-12/3C-RC_001</t>
  </si>
  <si>
    <t>SM_DR-12/DIM_001</t>
  </si>
  <si>
    <t>SM_DR-12/E_001</t>
  </si>
  <si>
    <t>SM_DR-12_001</t>
  </si>
  <si>
    <t>SM_DR-12_101</t>
  </si>
  <si>
    <t>SM_DR-15/3C_001</t>
  </si>
  <si>
    <t>SM_DR-15/3C-RC_001</t>
  </si>
  <si>
    <t>SM_DR-15/DIM_001</t>
  </si>
  <si>
    <t>SM_DR-15_001</t>
  </si>
  <si>
    <t>SM_DR-18/3C_001</t>
  </si>
  <si>
    <t>SM_DR-18/3C-RC_001</t>
  </si>
  <si>
    <t>SM_DR-18/DIM_001</t>
  </si>
  <si>
    <t>SM_DR-18_001</t>
  </si>
  <si>
    <t>SM_DR-18_101</t>
  </si>
  <si>
    <t>SM_DR-20/DIM_001</t>
  </si>
  <si>
    <t>SM_DR-20_001</t>
  </si>
  <si>
    <t>SM_DR-24/3C_001</t>
  </si>
  <si>
    <t>SM_DR-24/3C-RC_001</t>
  </si>
  <si>
    <t>SM_DR-24/DIM_001</t>
  </si>
  <si>
    <t>SM_DR-24_001</t>
  </si>
  <si>
    <t>SM_DR-24_101</t>
  </si>
  <si>
    <t>SM_DR-25/DIM_001</t>
  </si>
  <si>
    <t>SM_DR-25_001</t>
  </si>
  <si>
    <t>SM_DR-40/DIM_001</t>
  </si>
  <si>
    <t>SM_DR-40_001</t>
  </si>
  <si>
    <t>SM_DR-6/3C_001</t>
  </si>
  <si>
    <t>SM_DR-6/3C_101</t>
  </si>
  <si>
    <t>SM_DR-6/3C-RC_001</t>
  </si>
  <si>
    <t>SM_DR-6/DIM_001</t>
  </si>
  <si>
    <t>SM_DR-6_001</t>
  </si>
  <si>
    <t>SM_DR-6_101</t>
  </si>
  <si>
    <t>SM_DR-9/3C_001</t>
  </si>
  <si>
    <t>SM_DR-9/3C_101</t>
  </si>
  <si>
    <t>SM_DR-9/3C-RC_001</t>
  </si>
  <si>
    <t>SM_DR-9/DIM_001</t>
  </si>
  <si>
    <t>SM_DR-9/E_001</t>
  </si>
  <si>
    <t>SM_DR-9_001</t>
  </si>
  <si>
    <t>SM_DR-9_002</t>
  </si>
  <si>
    <t>SM_DR-9_101</t>
  </si>
  <si>
    <t>SM_DRDL-12/3C_001</t>
  </si>
  <si>
    <t>SM_DRDL-12/E_001</t>
  </si>
  <si>
    <t>SM_DRDL-12_001</t>
  </si>
  <si>
    <t>SM_DRDL-5/3C_001</t>
  </si>
  <si>
    <t>SM_DRDL-5_001</t>
  </si>
  <si>
    <t>SM_DRDL-7/3C_001</t>
  </si>
  <si>
    <t>SM_DRDL-7/E_001</t>
  </si>
  <si>
    <t>SM_DRDL-7_001</t>
  </si>
  <si>
    <t>SM_DRDL-9/3C_001</t>
  </si>
  <si>
    <t>SM_DRDL-9/E_001</t>
  </si>
  <si>
    <t>SM_DRDL-9_001</t>
  </si>
  <si>
    <t>SM_DRDL-9L/3C_001</t>
  </si>
  <si>
    <t>SM_DRDL-9L/E_001</t>
  </si>
  <si>
    <t>SM_DRDL-9L_001</t>
  </si>
  <si>
    <t>SM_DR-FPD-6060-40_001</t>
  </si>
  <si>
    <t>SM_DR-GT-120_001</t>
  </si>
  <si>
    <t>SM_DRSF-16/3C_001</t>
  </si>
  <si>
    <t>SM_DRSF-16_001</t>
  </si>
  <si>
    <t>SM_DRSF-24/3C_001</t>
  </si>
  <si>
    <t>SM_DRSF-24_001</t>
  </si>
  <si>
    <t>SM_DRSF-32/3C_001</t>
  </si>
  <si>
    <t>SM_DRSF-32_001</t>
  </si>
  <si>
    <t>SM_DRSF-48/3C_001</t>
  </si>
  <si>
    <t>SM_DRSF-48_001</t>
  </si>
  <si>
    <t>SM_DS1/SC_001</t>
  </si>
  <si>
    <t>SM_DS1/ZB_001</t>
  </si>
  <si>
    <t>SM_E27/WR_001</t>
  </si>
  <si>
    <t>SM_E27-40_001</t>
  </si>
  <si>
    <t>SM_E4027_001</t>
  </si>
  <si>
    <t>SM_EBL-18_001</t>
  </si>
  <si>
    <t>SM_EBL-36_001</t>
  </si>
  <si>
    <t>SM_EM-AT_001</t>
  </si>
  <si>
    <t>SM_EMD-18_001</t>
  </si>
  <si>
    <t>SM_EMD-36_001</t>
  </si>
  <si>
    <t>SM_EML_001</t>
  </si>
  <si>
    <t>SM_EML2_001</t>
  </si>
  <si>
    <t>SM_EML2_002</t>
  </si>
  <si>
    <t>SM_EM-LT_001</t>
  </si>
  <si>
    <t>SM_EM-NT_001</t>
  </si>
  <si>
    <t>SM_ENDCAP-GT-120_001</t>
  </si>
  <si>
    <t>SM_ENDCAP-N-GT-120_001</t>
  </si>
  <si>
    <t>SM_EP/T_001</t>
  </si>
  <si>
    <t>SM_EX/2_001</t>
  </si>
  <si>
    <t>SM_EX_001</t>
  </si>
  <si>
    <t>SM_EX2_001</t>
  </si>
  <si>
    <t>SM_EX2LR_001</t>
  </si>
  <si>
    <t>SM_EXL_001</t>
  </si>
  <si>
    <t>SM_EXLR_001</t>
  </si>
  <si>
    <t>SM_EX-P/M_001</t>
  </si>
  <si>
    <t>SM_EX-P_001</t>
  </si>
  <si>
    <t>SM_EXR_001</t>
  </si>
  <si>
    <t>SM_F115_001</t>
  </si>
  <si>
    <t>SM_F2A-60_001</t>
  </si>
  <si>
    <t>SM_F2Y-60_001</t>
  </si>
  <si>
    <t>SM_FA_001</t>
  </si>
  <si>
    <t>SM_FA-60_001</t>
  </si>
  <si>
    <t>SM_FCA_001</t>
  </si>
  <si>
    <t>SM_FCA-60_001</t>
  </si>
  <si>
    <t>SM_FCY_001</t>
  </si>
  <si>
    <t>SM_FCY-60_001</t>
  </si>
  <si>
    <t>SM_FDC-20_001</t>
  </si>
  <si>
    <t>SM_FDC-32_001</t>
  </si>
  <si>
    <t>SM_FGP_001</t>
  </si>
  <si>
    <t>SM_FLD-100/SC_001</t>
  </si>
  <si>
    <t>SM_FLD-100T_001</t>
  </si>
  <si>
    <t>SM_FLD-100V_001</t>
  </si>
  <si>
    <t>SM_FLD-10RGB_001</t>
  </si>
  <si>
    <t>SM_FLD-10T_001</t>
  </si>
  <si>
    <t>SM_FLD-10V_001</t>
  </si>
  <si>
    <t>SM_FLD-150/SC_001</t>
  </si>
  <si>
    <t>SM_FLD-150T_001</t>
  </si>
  <si>
    <t>SM_FLD-150V_001</t>
  </si>
  <si>
    <t>SM_FLD-200T_001</t>
  </si>
  <si>
    <t>SM_FLD-200V_001</t>
  </si>
  <si>
    <t>SM_FLD-20RGB_001</t>
  </si>
  <si>
    <t>SM_FLD-20T_001</t>
  </si>
  <si>
    <t>SM_FLD-20V_001</t>
  </si>
  <si>
    <t>SM_FLD2-100T_001</t>
  </si>
  <si>
    <t>SM_FLD2-100V_001</t>
  </si>
  <si>
    <t>SM_FLD2-10T_001</t>
  </si>
  <si>
    <t>SM_FLD2-10V_001</t>
  </si>
  <si>
    <t>SM_FLD2-150T_001</t>
  </si>
  <si>
    <t>SM_FLD2-150V_001</t>
  </si>
  <si>
    <t>SM_FLD2-200T_001</t>
  </si>
  <si>
    <t>SM_FLD2-200V_001</t>
  </si>
  <si>
    <t>SM_FLD2-20T_001</t>
  </si>
  <si>
    <t>SM_FLD2-20V_001</t>
  </si>
  <si>
    <t>SM_FLD2-30T_001</t>
  </si>
  <si>
    <t>SM_FLD2-30V_001</t>
  </si>
  <si>
    <t>SM_FLD2-50T_001</t>
  </si>
  <si>
    <t>SM_FLD2-50V_001</t>
  </si>
  <si>
    <t>SM_FLD-30T_001</t>
  </si>
  <si>
    <t>SM_FLD-30V_001</t>
  </si>
  <si>
    <t>SM_FLD3-1000T_001</t>
  </si>
  <si>
    <t>SM_FLD3-1000V_001</t>
  </si>
  <si>
    <t>SM_FLD3-100T_001</t>
  </si>
  <si>
    <t>SM_FLD3-100T_101</t>
  </si>
  <si>
    <t>SM_FLD3-100V_001</t>
  </si>
  <si>
    <t>SM_FLD3-100V_101</t>
  </si>
  <si>
    <t>SM_FLD3-10T_001</t>
  </si>
  <si>
    <t>SM_FLD3-10T_101</t>
  </si>
  <si>
    <t>SM_FLD3-10V_001</t>
  </si>
  <si>
    <t>SM_FLD3-10V_101</t>
  </si>
  <si>
    <t>SM_FLD3-150T_001</t>
  </si>
  <si>
    <t>SM_FLD3-150T_101</t>
  </si>
  <si>
    <t>SM_FLD3-150V_001</t>
  </si>
  <si>
    <t>SM_FLD3-150V_101</t>
  </si>
  <si>
    <t>SM_FLD3-200T_001</t>
  </si>
  <si>
    <t>SM_FLD3-200T_101</t>
  </si>
  <si>
    <t>SM_FLD3-200V_001</t>
  </si>
  <si>
    <t>SM_FLD3-200V_101</t>
  </si>
  <si>
    <t>SM_FLD3-20T_001</t>
  </si>
  <si>
    <t>SM_FLD3-20T_101</t>
  </si>
  <si>
    <t>SM_FLD3-20V_001</t>
  </si>
  <si>
    <t>SM_FLD3-20V_101</t>
  </si>
  <si>
    <t>SM_FLD3-300T_001</t>
  </si>
  <si>
    <t>SM_FLD3-300V_001</t>
  </si>
  <si>
    <t>SM_FLD3-30T_001</t>
  </si>
  <si>
    <t>SM_FLD3-30T_101</t>
  </si>
  <si>
    <t>SM_FLD3-30V_001</t>
  </si>
  <si>
    <t>SM_FLD3-30V_101</t>
  </si>
  <si>
    <t>SM_FLD3-400T_001</t>
  </si>
  <si>
    <t>SM_FLD3-400V_001</t>
  </si>
  <si>
    <t>SM_FLD3-500T_001</t>
  </si>
  <si>
    <t>SM_FLD3-500V_001</t>
  </si>
  <si>
    <t>SM_FLD3-50T_001</t>
  </si>
  <si>
    <t>SM_FLD3-50T_101</t>
  </si>
  <si>
    <t>SM_FLD3-50V_001</t>
  </si>
  <si>
    <t>SM_FLD3-50V_101</t>
  </si>
  <si>
    <t>SM_FLD3-600T_001</t>
  </si>
  <si>
    <t>SM_FLD3-600V_001</t>
  </si>
  <si>
    <t>SM_FLD3-800T_001</t>
  </si>
  <si>
    <t>SM_FLD3-800V_001</t>
  </si>
  <si>
    <t>SM_FLD-50/SC_001</t>
  </si>
  <si>
    <t>SM_FLD-50T_001</t>
  </si>
  <si>
    <t>SM_FLD-50V_001</t>
  </si>
  <si>
    <t>SM_FLD5-100T_001</t>
  </si>
  <si>
    <t>SM_FLD5-100V_001</t>
  </si>
  <si>
    <t>SM_FLD5-10RGB_001</t>
  </si>
  <si>
    <t>SM_FLD5-10T_001</t>
  </si>
  <si>
    <t>SM_FLD5-10V_001</t>
  </si>
  <si>
    <t>SM_FLD5-150T_001</t>
  </si>
  <si>
    <t>SM_FLD5-150V_001</t>
  </si>
  <si>
    <t>SM_FLD5-200T_001</t>
  </si>
  <si>
    <t>SM_FLD5-200V_001</t>
  </si>
  <si>
    <t>SM_FLD5-20RGB_001</t>
  </si>
  <si>
    <t>SM_FLD5-20T_001</t>
  </si>
  <si>
    <t>SM_FLD5-20V_001</t>
  </si>
  <si>
    <t>SM_FLD5-300T_001</t>
  </si>
  <si>
    <t>SM_FLD5-300V_001</t>
  </si>
  <si>
    <t>SM_FLD5-30T_001</t>
  </si>
  <si>
    <t>SM_FLD5-30V_001</t>
  </si>
  <si>
    <t>SM_FLD5-400T_001</t>
  </si>
  <si>
    <t>SM_FLD5-400V_001</t>
  </si>
  <si>
    <t>SM_FLD5-50T_001</t>
  </si>
  <si>
    <t>SM_FLD5-50V_001</t>
  </si>
  <si>
    <t>SM_FLD-80T_001</t>
  </si>
  <si>
    <t>SM_FLD-80V_001</t>
  </si>
  <si>
    <t>SM_FLM-2/B35_001</t>
  </si>
  <si>
    <t>SM_FLM-2/P45_001</t>
  </si>
  <si>
    <t>SM_FLM-3GR_001</t>
  </si>
  <si>
    <t>SM_FLM-3OR_001</t>
  </si>
  <si>
    <t>SM_FLM-3PK_001</t>
  </si>
  <si>
    <t>SM_FLM-3PU_001</t>
  </si>
  <si>
    <t>SM_FLM-3RD_001</t>
  </si>
  <si>
    <t>SM_FLM-3YL_001</t>
  </si>
  <si>
    <t>SM_FLM-4/A60_001</t>
  </si>
  <si>
    <t>SM_FLM-4/G95_001</t>
  </si>
  <si>
    <t>SM_FLM-4/G95_101</t>
  </si>
  <si>
    <t>SM_FLM-4/ST64_001</t>
  </si>
  <si>
    <t>SM_FLM-4/ST64_101</t>
  </si>
  <si>
    <t>SM_FLM-5/FB_001</t>
  </si>
  <si>
    <t>SM_FLM-6/A60_001</t>
  </si>
  <si>
    <t>SM_FLM-6/A60SC_001</t>
  </si>
  <si>
    <t>SM_FLM-6/G95_001</t>
  </si>
  <si>
    <t>SM_FLM-6/G95SC_001</t>
  </si>
  <si>
    <t>SM_FLM-6/SM_001</t>
  </si>
  <si>
    <t>SM_FLM-6/ST64_001</t>
  </si>
  <si>
    <t>SM_FLM-6/ST64_002</t>
  </si>
  <si>
    <t>SM_FLM-8/FB_001</t>
  </si>
  <si>
    <t>SM_FLM-MPE_001</t>
  </si>
  <si>
    <t>SM_FP_001</t>
  </si>
  <si>
    <t>SM_FPC-LED-GT-120_001</t>
  </si>
  <si>
    <t>SM_FPC-LED-GT-120_002</t>
  </si>
  <si>
    <t>SM_FPC-LED-GT-120_003</t>
  </si>
  <si>
    <t>SM_FPC-LED-GT-120_004</t>
  </si>
  <si>
    <t>SM_FPC-LED-GT-120_005</t>
  </si>
  <si>
    <t>SM_FPC-LED-GT-120_006</t>
  </si>
  <si>
    <t>SM_FPC-LED-GT-120_007</t>
  </si>
  <si>
    <t>SM_FPC-LED-GT-120_008</t>
  </si>
  <si>
    <t>SM_FPC-LED-GT-120_009</t>
  </si>
  <si>
    <t>SM_FPD-12030N_001</t>
  </si>
  <si>
    <t>SM_FPD-12030N_002</t>
  </si>
  <si>
    <t>SM_FPD-12030N_101</t>
  </si>
  <si>
    <t>SM_FPD-12030T_001</t>
  </si>
  <si>
    <t>SM_FPD-12030T_002</t>
  </si>
  <si>
    <t>SM_FPD-12030T_101</t>
  </si>
  <si>
    <t>SM_FPD2-6060/3C_001</t>
  </si>
  <si>
    <t>SM_FPD2-6060N_001</t>
  </si>
  <si>
    <t>SM_FPD2-6060T_001</t>
  </si>
  <si>
    <t>SM_FPD-3030N_001</t>
  </si>
  <si>
    <t>SM_FPD-3030N_002</t>
  </si>
  <si>
    <t>SM_FPD-3030N_003</t>
  </si>
  <si>
    <t>SM_FPD-3030N_101</t>
  </si>
  <si>
    <t>SM_FPD-3030T_001</t>
  </si>
  <si>
    <t>SM_FPD-3030T_002</t>
  </si>
  <si>
    <t>SM_FPD-3030T_003</t>
  </si>
  <si>
    <t>SM_FPD-3030T_101</t>
  </si>
  <si>
    <t>SM_FPD-3030V_101</t>
  </si>
  <si>
    <t>SM_FPD3-12030N_001</t>
  </si>
  <si>
    <t>SM_FPD3-12030N_002</t>
  </si>
  <si>
    <t>SM_FPD3-12030T_001</t>
  </si>
  <si>
    <t>SM_FPD3-12030T_002</t>
  </si>
  <si>
    <t>SM_FPD3-3030N_001</t>
  </si>
  <si>
    <t>SM_FPD3-3030T_001</t>
  </si>
  <si>
    <t>SM_FPD3-3030T_002</t>
  </si>
  <si>
    <t>SM_FPD3-6060/3C_001</t>
  </si>
  <si>
    <t>SM_FPD3-6060N_001</t>
  </si>
  <si>
    <t>SM_FPD3-6060N_002</t>
  </si>
  <si>
    <t>SM_FPD3-6060T_001</t>
  </si>
  <si>
    <t>SM_FPD3-6060T_002</t>
  </si>
  <si>
    <t>SM_FPD-6060/3C_001</t>
  </si>
  <si>
    <t>SM_FPD-6060/3C_002</t>
  </si>
  <si>
    <t>SM_FPD-6060N_001</t>
  </si>
  <si>
    <t>SM_FPD-6060N_002</t>
  </si>
  <si>
    <t>SM_FPD-6060N_101</t>
  </si>
  <si>
    <t>SM_FPD-6060T_001</t>
  </si>
  <si>
    <t>SM_FPD-6060T_002</t>
  </si>
  <si>
    <t>SM_FPD-6060T_004</t>
  </si>
  <si>
    <t>SM_FPD-6060T_101</t>
  </si>
  <si>
    <t>SM_FPD-6060T_201</t>
  </si>
  <si>
    <t>SM_FPD-6060V_101</t>
  </si>
  <si>
    <t>SM_FPL-12030/3C-RC_001</t>
  </si>
  <si>
    <t>SM_FPL-12030/SC_001</t>
  </si>
  <si>
    <t>SM_FPL-12030/SM_001</t>
  </si>
  <si>
    <t>SM_FPL-12030/ZB_001</t>
  </si>
  <si>
    <t>SM_FPL-12030N_001</t>
  </si>
  <si>
    <t>SM_FPL-12030N_101</t>
  </si>
  <si>
    <t>SM_FPL-12030T_001</t>
  </si>
  <si>
    <t>SM_FPL-12030T_101</t>
  </si>
  <si>
    <t>SM_FPL-12030V_001</t>
  </si>
  <si>
    <t>SM_FPL-12030V_101</t>
  </si>
  <si>
    <t>SM_FPL-12060N_001</t>
  </si>
  <si>
    <t>SM_FPL-12060T_001</t>
  </si>
  <si>
    <t>SM_FPL-12060V_001</t>
  </si>
  <si>
    <t>SM_FPL2-6060/3C_001</t>
  </si>
  <si>
    <t>SM_FPL2-6060N_001</t>
  </si>
  <si>
    <t>SM_FPL2-6060T_001</t>
  </si>
  <si>
    <t>SM_FPL-3030/3C-RC_001</t>
  </si>
  <si>
    <t>SM_FPL-3030/SC_001</t>
  </si>
  <si>
    <t>SM_FPL-3030/SM_001</t>
  </si>
  <si>
    <t>SM_FPL-3030N_001</t>
  </si>
  <si>
    <t>SM_FPL-3030T_001</t>
  </si>
  <si>
    <t>SM_FPL-3030T_101</t>
  </si>
  <si>
    <t>SM_FPL-3030V_001</t>
  </si>
  <si>
    <t>SM_FPL-6030/3C-RC_001</t>
  </si>
  <si>
    <t>SM_FPL-6030/SC_001</t>
  </si>
  <si>
    <t>SM_FPL-6030/ZB_001</t>
  </si>
  <si>
    <t>SM_FPL-6030N_001</t>
  </si>
  <si>
    <t>SM_FPL-6030T_001</t>
  </si>
  <si>
    <t>SM_FPL-6030V_001</t>
  </si>
  <si>
    <t>SM_FPL-6030V_101</t>
  </si>
  <si>
    <t>SM_FPL-6060/3C_001</t>
  </si>
  <si>
    <t>SM_FPL-6060/3C-RC_001</t>
  </si>
  <si>
    <t>SM_FPL-6060/SC_001</t>
  </si>
  <si>
    <t>SM_FPL-6060/SM_001</t>
  </si>
  <si>
    <t>SM_FPL-6060/ZB_001</t>
  </si>
  <si>
    <t>SM_FPL-6060N_001</t>
  </si>
  <si>
    <t>SM_FPL-6060N_101</t>
  </si>
  <si>
    <t>SM_FPL-6060T_001</t>
  </si>
  <si>
    <t>SM_FPL-6060T_101</t>
  </si>
  <si>
    <t>SM_FPL-6060V_001</t>
  </si>
  <si>
    <t>SM_FPL-6060V_101</t>
  </si>
  <si>
    <t>SM_FRJ64_001</t>
  </si>
  <si>
    <t>SM_FRJ88_001</t>
  </si>
  <si>
    <t>SM_FS_001</t>
  </si>
  <si>
    <t>SM_FTV75_001</t>
  </si>
  <si>
    <t>SM_FUES2_001</t>
  </si>
  <si>
    <t>SM_FUS_001</t>
  </si>
  <si>
    <t>SM_FUSB_001</t>
  </si>
  <si>
    <t>SM_FUSM_001</t>
  </si>
  <si>
    <t>SM_FY_001</t>
  </si>
  <si>
    <t>SM_FY-60_001</t>
  </si>
  <si>
    <t>SM_G-12_001</t>
  </si>
  <si>
    <t>SM_G-16_001</t>
  </si>
  <si>
    <t>SM_G-20_001</t>
  </si>
  <si>
    <t>SM_G-24_001</t>
  </si>
  <si>
    <t>SM_G-8_001</t>
  </si>
  <si>
    <t>SM_GAS1/ZB_001</t>
  </si>
  <si>
    <t>SM_GLUE-CAP-GT-120_001</t>
  </si>
  <si>
    <t>SM_GLUE-FPC-GT-120_001</t>
  </si>
  <si>
    <t>SM_GRAFCL-130R_001</t>
  </si>
  <si>
    <t>SM_GRAFCL-130S_001</t>
  </si>
  <si>
    <t>SM_GT01-W/BL_001</t>
  </si>
  <si>
    <t>SM_GT02-W/BT_001</t>
  </si>
  <si>
    <t>SM_GT02-W/IR_001</t>
  </si>
  <si>
    <t>SM_GT02-W/ZB_001</t>
  </si>
  <si>
    <t>SM_GT-120T_001</t>
  </si>
  <si>
    <t>SM_GT-120T_101</t>
  </si>
  <si>
    <t>SM_GT-120V_001</t>
  </si>
  <si>
    <t>SM_GT2-120T_001</t>
  </si>
  <si>
    <t>SM_GT2-120V_001</t>
  </si>
  <si>
    <t>SM_GT3-120T_001</t>
  </si>
  <si>
    <t>SM_GT3-120T_002</t>
  </si>
  <si>
    <t>SM_GT3-120V_001</t>
  </si>
  <si>
    <t>SM_GT5-120T_001</t>
  </si>
  <si>
    <t>SM_GT5-120V_001</t>
  </si>
  <si>
    <t>SM_GT-60T_001</t>
  </si>
  <si>
    <t>SM_GT-60V_001</t>
  </si>
  <si>
    <t>SM_GT8-120N_001</t>
  </si>
  <si>
    <t>SM_GT8-120T_001</t>
  </si>
  <si>
    <t>SM_GT8-120T_002</t>
  </si>
  <si>
    <t>SM_GT8-120V_001</t>
  </si>
  <si>
    <t>SM_GT8-120V_002</t>
  </si>
  <si>
    <t>SM_GT8-60N_001</t>
  </si>
  <si>
    <t>SM_GT8-60T_001</t>
  </si>
  <si>
    <t>SM_GT8-60T_002</t>
  </si>
  <si>
    <t>SM_GT8-60V_001</t>
  </si>
  <si>
    <t>SM_GT8-60V_002</t>
  </si>
  <si>
    <t>SM_HBE-100T_001</t>
  </si>
  <si>
    <t>SM_HBE-100T_002</t>
  </si>
  <si>
    <t>SM_HBE-150T_001</t>
  </si>
  <si>
    <t>SM_HBE-150T_002</t>
  </si>
  <si>
    <t>SM_HBE-200T_001</t>
  </si>
  <si>
    <t>SM_HBE-200T_002</t>
  </si>
  <si>
    <t>SM_HBE2-100T_001</t>
  </si>
  <si>
    <t>SM_HBE2-150T_001</t>
  </si>
  <si>
    <t>SM_HBE2-200T_001</t>
  </si>
  <si>
    <t>SM_HBE-240T_001</t>
  </si>
  <si>
    <t>SM_HBE-240T_002</t>
  </si>
  <si>
    <t>SM_HBL-100T_001</t>
  </si>
  <si>
    <t>SM_HBL-150T_001</t>
  </si>
  <si>
    <t>SM_HBL-200T_001</t>
  </si>
  <si>
    <t>SM_HBL-240T_001</t>
  </si>
  <si>
    <t>SM_HBU-100T_001</t>
  </si>
  <si>
    <t>SM_HBU-150T_001</t>
  </si>
  <si>
    <t>SM_HBU-200T_001</t>
  </si>
  <si>
    <t>SM_HBU-240T_001</t>
  </si>
  <si>
    <t>SM_HBV-100T_001</t>
  </si>
  <si>
    <t>SM_HBV-120T_001</t>
  </si>
  <si>
    <t>SM_HBV2-100T_001</t>
  </si>
  <si>
    <t>SM_HBV2-150T_001</t>
  </si>
  <si>
    <t>SM_HBV2-80T_001</t>
  </si>
  <si>
    <t>SM_HBV-65T_001</t>
  </si>
  <si>
    <t>SM_HBV-80T_001</t>
  </si>
  <si>
    <t>SM_HC-PKL2-CTL2_501</t>
  </si>
  <si>
    <t>SM_HC-PKL2-CTL2_502</t>
  </si>
  <si>
    <t>SM_HFIXZ-7_001</t>
  </si>
  <si>
    <t>SM_HOOK1_001</t>
  </si>
  <si>
    <t>SM_HOP-FPD-6060_001</t>
  </si>
  <si>
    <t>SM_HS1_001</t>
  </si>
  <si>
    <t>SM_I_001</t>
  </si>
  <si>
    <t>SM_IB_001</t>
  </si>
  <si>
    <t>SM_IM-20_001</t>
  </si>
  <si>
    <t>SM_IRHD1_001</t>
  </si>
  <si>
    <t>SM_IRHD2_001</t>
  </si>
  <si>
    <t>SM_IRHD2_002</t>
  </si>
  <si>
    <t>SM_IRS1-H_001</t>
  </si>
  <si>
    <t>SM_IRS1-V_001</t>
  </si>
  <si>
    <t>SM_IRS2-V_001</t>
  </si>
  <si>
    <t>SM_JKM460M-7RL3-TV_001</t>
  </si>
  <si>
    <t>SM_KB50_001</t>
  </si>
  <si>
    <t>SM_KG50_001</t>
  </si>
  <si>
    <t>SM_KKL540_001</t>
  </si>
  <si>
    <t>SM_KLS2AC2835_001</t>
  </si>
  <si>
    <t>SM_KLS2AC-2835_001</t>
  </si>
  <si>
    <t>SM_KLS2AC5050_001</t>
  </si>
  <si>
    <t>SM_KLS2AC-5050_001</t>
  </si>
  <si>
    <t>SM_KLSAC-2835_001</t>
  </si>
  <si>
    <t>SM_KLSAC-5050_001</t>
  </si>
  <si>
    <t>SM_KLSN2_001</t>
  </si>
  <si>
    <t>SM_KPK60_001</t>
  </si>
  <si>
    <t>SM_KSL503_001</t>
  </si>
  <si>
    <t>SM_KT_001</t>
  </si>
  <si>
    <t>SM_L_001</t>
  </si>
  <si>
    <t>SM_LA_001</t>
  </si>
  <si>
    <t>SM_LAO1/SC_001</t>
  </si>
  <si>
    <t>SM_LB_001</t>
  </si>
  <si>
    <t>SM_LB-100T_001</t>
  </si>
  <si>
    <t>SM_LB10T/E_001</t>
  </si>
  <si>
    <t>SM_LB12T/E_001</t>
  </si>
  <si>
    <t>SM_LB-12V_001</t>
  </si>
  <si>
    <t>SM_LB-13/SC_001</t>
  </si>
  <si>
    <t>SM_LB-13/SM_001</t>
  </si>
  <si>
    <t>SM_LB-20N_001</t>
  </si>
  <si>
    <t>SM_LB-20T_001</t>
  </si>
  <si>
    <t>SM_LB-20V_001</t>
  </si>
  <si>
    <t>SM_LB-30N_001</t>
  </si>
  <si>
    <t>SM_LB-30T_001</t>
  </si>
  <si>
    <t>SM_LB-30V_001</t>
  </si>
  <si>
    <t>SM_LB-40N_001</t>
  </si>
  <si>
    <t>SM_LB-40T_001</t>
  </si>
  <si>
    <t>SM_LB-40V_001</t>
  </si>
  <si>
    <t>SM_LB-50T_001</t>
  </si>
  <si>
    <t>SM_LB-60T_001</t>
  </si>
  <si>
    <t>SM_LB-80T_001</t>
  </si>
  <si>
    <t>SM_LB-9/3C_001</t>
  </si>
  <si>
    <t>SM_LB-9/SC_001</t>
  </si>
  <si>
    <t>SM_LB-9/SM_001</t>
  </si>
  <si>
    <t>SM_LB-9T/3DIM_001</t>
  </si>
  <si>
    <t>SM_LB-9T/AM_001</t>
  </si>
  <si>
    <t>SM_LB-9T/DC_001</t>
  </si>
  <si>
    <t>SM_LB-9T/MS_001</t>
  </si>
  <si>
    <t>SM_LB-9V/3DIM_001</t>
  </si>
  <si>
    <t>SM_LB-9V/MS_001</t>
  </si>
  <si>
    <t>SM_LBA-12T_001</t>
  </si>
  <si>
    <t>SM_LBA-12T_101</t>
  </si>
  <si>
    <t>SM_LBA-12V_001</t>
  </si>
  <si>
    <t>SM_LBA-15T_001</t>
  </si>
  <si>
    <t>SM_LBA-15V_001</t>
  </si>
  <si>
    <t>SM_LBA-60T_001</t>
  </si>
  <si>
    <t>SM_LBA-80T_001</t>
  </si>
  <si>
    <t>SM_LBA-9T_001</t>
  </si>
  <si>
    <t>SM_LBD-12T_001</t>
  </si>
  <si>
    <t>SM_LBD-12V_001</t>
  </si>
  <si>
    <t>SM_LBD-15T_001</t>
  </si>
  <si>
    <t>SM_LBD-15V_001</t>
  </si>
  <si>
    <t>SM_LBD-20T_001</t>
  </si>
  <si>
    <t>SM_LBD-20V_001</t>
  </si>
  <si>
    <t>SM_LBD2-12T_001</t>
  </si>
  <si>
    <t>SM_LBD2-12T_003</t>
  </si>
  <si>
    <t>SM_LBD2-12V_001</t>
  </si>
  <si>
    <t>SM_LBD2-12V_003</t>
  </si>
  <si>
    <t>SM_LBD2-15T_001</t>
  </si>
  <si>
    <t>SM_LBD2-15T_002</t>
  </si>
  <si>
    <t>SM_LBD2-15T_003</t>
  </si>
  <si>
    <t>SM_LBD2-15V_001</t>
  </si>
  <si>
    <t>SM_LBD2-15V_003</t>
  </si>
  <si>
    <t>SM_LBD2-20T_001</t>
  </si>
  <si>
    <t>SM_LBD2-20T_002</t>
  </si>
  <si>
    <t>SM_LBD2-20T_003</t>
  </si>
  <si>
    <t>SM_LBD2-20V_001</t>
  </si>
  <si>
    <t>SM_LBD2-20V_002</t>
  </si>
  <si>
    <t>SM_LBD2-20V_003</t>
  </si>
  <si>
    <t>SM_LBD2-30T_001</t>
  </si>
  <si>
    <t>SM_LBD2-30T_002</t>
  </si>
  <si>
    <t>SM_LBD2-30T_003</t>
  </si>
  <si>
    <t>SM_LBD2-30V_001</t>
  </si>
  <si>
    <t>SM_LBD2-30V_002</t>
  </si>
  <si>
    <t>SM_LBD2-30V_003</t>
  </si>
  <si>
    <t>SM_LBD2-40T_001</t>
  </si>
  <si>
    <t>SM_LBD2-40T_002</t>
  </si>
  <si>
    <t>SM_LBD2-40T_003</t>
  </si>
  <si>
    <t>SM_LBD2-40V_001</t>
  </si>
  <si>
    <t>SM_LBD2-40V_002</t>
  </si>
  <si>
    <t>SM_LBD2-40V_003</t>
  </si>
  <si>
    <t>SM_LBD2-50T_001</t>
  </si>
  <si>
    <t>SM_LBD2-50T_002</t>
  </si>
  <si>
    <t>SM_LBD2-50T_003</t>
  </si>
  <si>
    <t>SM_LBD2-50V_001</t>
  </si>
  <si>
    <t>SM_LBD-30T_001</t>
  </si>
  <si>
    <t>SM_LBD-30V_001</t>
  </si>
  <si>
    <t>SM_LBD3-12T_001</t>
  </si>
  <si>
    <t>SM_LBD3-12V_001</t>
  </si>
  <si>
    <t>SM_LBD3-15T_001</t>
  </si>
  <si>
    <t>SM_LBD3-15V_001</t>
  </si>
  <si>
    <t>SM_LBD3-20T_001</t>
  </si>
  <si>
    <t>SM_LBD3-20T_002</t>
  </si>
  <si>
    <t>SM_LBD3-20T_003</t>
  </si>
  <si>
    <t>SM_LBD3-20V_001</t>
  </si>
  <si>
    <t>SM_LBD3-20V_002</t>
  </si>
  <si>
    <t>SM_LBD3-20V_003</t>
  </si>
  <si>
    <t>SM_LBD3-30T_001</t>
  </si>
  <si>
    <t>SM_LBD3-30T_002</t>
  </si>
  <si>
    <t>SM_LBD3-30T_003</t>
  </si>
  <si>
    <t>SM_LBD3-30V_001</t>
  </si>
  <si>
    <t>SM_LBD3-30V_002</t>
  </si>
  <si>
    <t>SM_LBD3-30V_003</t>
  </si>
  <si>
    <t>SM_LBD3-3T_001</t>
  </si>
  <si>
    <t>SM_LBD3-3V_001</t>
  </si>
  <si>
    <t>SM_LBD3-40T_001</t>
  </si>
  <si>
    <t>SM_LBD3-40T_002</t>
  </si>
  <si>
    <t>SM_LBD3-40T_003</t>
  </si>
  <si>
    <t>SM_LBD3-40V_001</t>
  </si>
  <si>
    <t>SM_LBD3-40V_002</t>
  </si>
  <si>
    <t>SM_LBD3-40V_003</t>
  </si>
  <si>
    <t>SM_LBD3-50T_001</t>
  </si>
  <si>
    <t>SM_LBD3-50T_002</t>
  </si>
  <si>
    <t>SM_LBD3-50T_003</t>
  </si>
  <si>
    <t>SM_LBD3-5T_001</t>
  </si>
  <si>
    <t>SM_LBD3-5V_001</t>
  </si>
  <si>
    <t>SM_LBD3-7T_001</t>
  </si>
  <si>
    <t>SM_LBD3-7V_001</t>
  </si>
  <si>
    <t>SM_LBD3-9T_001</t>
  </si>
  <si>
    <t>SM_LBD3-9V_001</t>
  </si>
  <si>
    <t>SM_LBD-3BL_001</t>
  </si>
  <si>
    <t>SM_LBD-3GR_001</t>
  </si>
  <si>
    <t>SM_LBD-3MK_001</t>
  </si>
  <si>
    <t>SM_LBD-3OR_001</t>
  </si>
  <si>
    <t>SM_LBD-3PK_001</t>
  </si>
  <si>
    <t>SM_LBD-3R_001</t>
  </si>
  <si>
    <t>SM_LBD-3T_001</t>
  </si>
  <si>
    <t>SM_LBD-3V_001</t>
  </si>
  <si>
    <t>SM_LBD-3YL_001</t>
  </si>
  <si>
    <t>SM_LBD-40T_001</t>
  </si>
  <si>
    <t>SM_LBD-40V_001</t>
  </si>
  <si>
    <t>SM_LBD-50T_001</t>
  </si>
  <si>
    <t>SM_LBD-50V_001</t>
  </si>
  <si>
    <t>SM_LBD-5T_001</t>
  </si>
  <si>
    <t>SM_LBD-5V_001</t>
  </si>
  <si>
    <t>SM_LBD-60T_001</t>
  </si>
  <si>
    <t>SM_LBD-60V_001</t>
  </si>
  <si>
    <t>SM_LBD-7T_001</t>
  </si>
  <si>
    <t>SM_LBD-7V_001</t>
  </si>
  <si>
    <t>SM_LBD-9T_001</t>
  </si>
  <si>
    <t>SM_LBD-9V_001</t>
  </si>
  <si>
    <t>SM_LBF-12_001</t>
  </si>
  <si>
    <t>SM_LBF-9_001</t>
  </si>
  <si>
    <t>SM_LBL2-9T_001</t>
  </si>
  <si>
    <t>SM_LBL2-9V_001</t>
  </si>
  <si>
    <t>SM_LBL-3T_001</t>
  </si>
  <si>
    <t>SM_LBL-7T_001</t>
  </si>
  <si>
    <t>SM_LBL-9T_001</t>
  </si>
  <si>
    <t>SM_LBL-9V_001</t>
  </si>
  <si>
    <t>SM_LCP-100T_001</t>
  </si>
  <si>
    <t>SM_LCP-80T_001</t>
  </si>
  <si>
    <t>SM_LCR-12030T_001</t>
  </si>
  <si>
    <t>SM_LCR-6060T_001</t>
  </si>
  <si>
    <t>SM_LDL1_001</t>
  </si>
  <si>
    <t>SM_LE-120T_001</t>
  </si>
  <si>
    <t>SM_LEB-H_001</t>
  </si>
  <si>
    <t>SM_LEB-L_001</t>
  </si>
  <si>
    <t>SM_LEB-T_001</t>
  </si>
  <si>
    <t>SM_LEB-V_001</t>
  </si>
  <si>
    <t>SM_LEB-X_001</t>
  </si>
  <si>
    <t>SM_LEB-Y_001</t>
  </si>
  <si>
    <t>SM_LEPL-120N_001</t>
  </si>
  <si>
    <t>SM_LEPL-120T_001</t>
  </si>
  <si>
    <t>SM_LEPL-120V_001</t>
  </si>
  <si>
    <t>SM_LEPL-40N_001</t>
  </si>
  <si>
    <t>SM_LEPL-40T_001</t>
  </si>
  <si>
    <t>SM_LEPL-40V_001</t>
  </si>
  <si>
    <t>SM_LEPL-80N_001</t>
  </si>
  <si>
    <t>SM_LEPL-80T_001</t>
  </si>
  <si>
    <t>SM_LEPL-80V_001</t>
  </si>
  <si>
    <t>SM_LEPR-100N_001</t>
  </si>
  <si>
    <t>SM_LEPR-100T_001</t>
  </si>
  <si>
    <t>SM_LEPR-100V_001</t>
  </si>
  <si>
    <t>SM_LEPR-150N_001</t>
  </si>
  <si>
    <t>SM_LEPR-150T_001</t>
  </si>
  <si>
    <t>SM_LEPR-150V_001</t>
  </si>
  <si>
    <t>SM_LEPR-60T_001</t>
  </si>
  <si>
    <t>SM_LEW-H_001</t>
  </si>
  <si>
    <t>SM_LEW-L_001</t>
  </si>
  <si>
    <t>SM_LEW-T_001</t>
  </si>
  <si>
    <t>SM_LEW-V_001</t>
  </si>
  <si>
    <t>SM_LEW-X_001</t>
  </si>
  <si>
    <t>SM_LEW-Y_001</t>
  </si>
  <si>
    <t>SM_LFIXZ-7_001</t>
  </si>
  <si>
    <t>SM_LGL-100N_001</t>
  </si>
  <si>
    <t>SM_LGL-100T_001</t>
  </si>
  <si>
    <t>SM_LGL-100V_001</t>
  </si>
  <si>
    <t>SM_LGL-150N_001</t>
  </si>
  <si>
    <t>SM_LGL-150T_001</t>
  </si>
  <si>
    <t>SM_LGL-150V_001</t>
  </si>
  <si>
    <t>SM_LGL2-30N_001</t>
  </si>
  <si>
    <t>SM_LGL2-30T_001</t>
  </si>
  <si>
    <t>SM_LGL2-30V_001</t>
  </si>
  <si>
    <t>SM_LGL2-40N_001</t>
  </si>
  <si>
    <t>SM_LGL2-40T_001</t>
  </si>
  <si>
    <t>SM_LGL2-40V_001</t>
  </si>
  <si>
    <t>SM_LGL2-50N_001</t>
  </si>
  <si>
    <t>SM_LGL2-50T_001</t>
  </si>
  <si>
    <t>SM_LGL2-50V_001</t>
  </si>
  <si>
    <t>SM_LGL2-60N_001</t>
  </si>
  <si>
    <t>SM_LGL2-60T_001</t>
  </si>
  <si>
    <t>SM_LGL2-60V_001</t>
  </si>
  <si>
    <t>SM_LGL2-80N_001</t>
  </si>
  <si>
    <t>SM_LGL2-80T_001</t>
  </si>
  <si>
    <t>SM_LGL2-80V_001</t>
  </si>
  <si>
    <t>SM_LGL-35N_001</t>
  </si>
  <si>
    <t>SM_LGL-35T_001</t>
  </si>
  <si>
    <t>SM_LGL-35V_001</t>
  </si>
  <si>
    <t>SM_LGL-55N_001</t>
  </si>
  <si>
    <t>SM_LGL-55T_001</t>
  </si>
  <si>
    <t>SM_LGL-55V_001</t>
  </si>
  <si>
    <t>SM_LGL-75N_001</t>
  </si>
  <si>
    <t>SM_LGL-75T_001</t>
  </si>
  <si>
    <t>SM_LGL-75V_001</t>
  </si>
  <si>
    <t>SM_LH_001</t>
  </si>
  <si>
    <t>SM_LHB-100N_001</t>
  </si>
  <si>
    <t>SM_LHB-100T_001</t>
  </si>
  <si>
    <t>SM_LHB-100T_101</t>
  </si>
  <si>
    <t>SM_LHB-100V_001</t>
  </si>
  <si>
    <t>SM_LHB-150N_001</t>
  </si>
  <si>
    <t>SM_LHB-150T_001</t>
  </si>
  <si>
    <t>SM_LHB-150T_101</t>
  </si>
  <si>
    <t>SM_LHB-150V_001</t>
  </si>
  <si>
    <t>SM_LHB-200N_001</t>
  </si>
  <si>
    <t>SM_LHB-200T_001</t>
  </si>
  <si>
    <t>SM_LHB-200T_101</t>
  </si>
  <si>
    <t>SM_LHB-200V_001</t>
  </si>
  <si>
    <t>SM_LHB-240T_001</t>
  </si>
  <si>
    <t>SM_LHB-250T_101</t>
  </si>
  <si>
    <t>SM_LHB-300N_001</t>
  </si>
  <si>
    <t>SM_LHB-300T_001</t>
  </si>
  <si>
    <t>SM_LHB-300V_001</t>
  </si>
  <si>
    <t>SM_LHB-400N_001</t>
  </si>
  <si>
    <t>SM_LHB-400T_001</t>
  </si>
  <si>
    <t>SM_LHB-400V_001</t>
  </si>
  <si>
    <t>SM_LHD62_001</t>
  </si>
  <si>
    <t>SM_LHE22_001</t>
  </si>
  <si>
    <t>SM_LHE27/BM_001</t>
  </si>
  <si>
    <t>SM_LHK23_001</t>
  </si>
  <si>
    <t>SM_LLB-8N_001</t>
  </si>
  <si>
    <t>SM_LLB-8T_001</t>
  </si>
  <si>
    <t>SM_LLW-8N_001</t>
  </si>
  <si>
    <t>SM_LLW-8T_001</t>
  </si>
  <si>
    <t>SM_LNCB-19N_001</t>
  </si>
  <si>
    <t>SM_LNCB-19T_001</t>
  </si>
  <si>
    <t>SM_LNCB-38N_001</t>
  </si>
  <si>
    <t>SM_LNCB-38T_001</t>
  </si>
  <si>
    <t>SM_LNCW-19N_001</t>
  </si>
  <si>
    <t>SM_LNCW-19T_001</t>
  </si>
  <si>
    <t>SM_LNCW-38N_001</t>
  </si>
  <si>
    <t>SM_LNCW-38T_001</t>
  </si>
  <si>
    <t>SM_LNEB-36N_001</t>
  </si>
  <si>
    <t>SM_LNEB-36N_002</t>
  </si>
  <si>
    <t>SM_LNEB-36T_001</t>
  </si>
  <si>
    <t>SM_LNEB-36T_002</t>
  </si>
  <si>
    <t>SM_LNEW-36N_001</t>
  </si>
  <si>
    <t>SM_LNEW-36N_002</t>
  </si>
  <si>
    <t>SM_LNEW-36T_001</t>
  </si>
  <si>
    <t>SM_LNEW-36T_002</t>
  </si>
  <si>
    <t>SM_LS/SC_001</t>
  </si>
  <si>
    <t>SM_LS/SM_001</t>
  </si>
  <si>
    <t>SM_LS_001</t>
  </si>
  <si>
    <t>SM_LS22835AC-T_001</t>
  </si>
  <si>
    <t>SM_LS22835AC-V_001</t>
  </si>
  <si>
    <t>SM_LS25050AC-T_001</t>
  </si>
  <si>
    <t>SM_LS25050AC-V_001</t>
  </si>
  <si>
    <t>SM_LS2835/90-RGB/AC_001</t>
  </si>
  <si>
    <t>SM_LS2835AC-T_001</t>
  </si>
  <si>
    <t>SM_LS2835AC-V_001</t>
  </si>
  <si>
    <t>SM_LS2835DC-T_001</t>
  </si>
  <si>
    <t>SM_LS2835DC-V_001</t>
  </si>
  <si>
    <t>SM_LS5050AC-T_001</t>
  </si>
  <si>
    <t>SM_LS5050AC-V_001</t>
  </si>
  <si>
    <t>SM_LSAC/SC_001</t>
  </si>
  <si>
    <t>SM_LSEB-40N_001</t>
  </si>
  <si>
    <t>SM_LSEB-40T_001</t>
  </si>
  <si>
    <t>SM_LSEB-40V_001</t>
  </si>
  <si>
    <t>SM_LSEW-40N_001</t>
  </si>
  <si>
    <t>SM_LSEW-40T_001</t>
  </si>
  <si>
    <t>SM_LSEW-40V_001</t>
  </si>
  <si>
    <t>SM_LSGR60-5050_001</t>
  </si>
  <si>
    <t>SM_LSL-1000N_001</t>
  </si>
  <si>
    <t>SM_LSL-1000T_001</t>
  </si>
  <si>
    <t>SM_LSL-1000V_001</t>
  </si>
  <si>
    <t>SM_LSL-1200N_001</t>
  </si>
  <si>
    <t>SM_LSL-1200T_001</t>
  </si>
  <si>
    <t>SM_LSL-1200V_001</t>
  </si>
  <si>
    <t>SM_LSL-400N_001</t>
  </si>
  <si>
    <t>SM_LSL-400T_001</t>
  </si>
  <si>
    <t>SM_LSL-400V_001</t>
  </si>
  <si>
    <t>SM_LSL-500N_001</t>
  </si>
  <si>
    <t>SM_LSL-500T_001</t>
  </si>
  <si>
    <t>SM_LSL-500V_001</t>
  </si>
  <si>
    <t>SM_LSL-600N_001</t>
  </si>
  <si>
    <t>SM_LSL-600T_001</t>
  </si>
  <si>
    <t>SM_LSL-600V_001</t>
  </si>
  <si>
    <t>SM_LSL-750N_001</t>
  </si>
  <si>
    <t>SM_LSL-750T_001</t>
  </si>
  <si>
    <t>SM_LSL-750V_001</t>
  </si>
  <si>
    <t>SM_LSN2-RGB_001</t>
  </si>
  <si>
    <t>SM_LSRB-40N_001</t>
  </si>
  <si>
    <t>SM_LSRB-40T_001</t>
  </si>
  <si>
    <t>SM_LSRB-40V_001</t>
  </si>
  <si>
    <t>SM_LSRW-40N_001</t>
  </si>
  <si>
    <t>SM_LSRW-40T_001</t>
  </si>
  <si>
    <t>SM_LSRW-40V_001</t>
  </si>
  <si>
    <t>SM_LSS-12N_001</t>
  </si>
  <si>
    <t>SM_LSS-12T_001</t>
  </si>
  <si>
    <t>SM_LSS-12V_001</t>
  </si>
  <si>
    <t>SM_LSS-18N_001</t>
  </si>
  <si>
    <t>SM_LSS-18T_001</t>
  </si>
  <si>
    <t>SM_LSS-18V_001</t>
  </si>
  <si>
    <t>SM_LSS2-10N_001</t>
  </si>
  <si>
    <t>SM_LSS2-10T_001</t>
  </si>
  <si>
    <t>SM_LSS2-10V_001</t>
  </si>
  <si>
    <t>SM_LSS2-20N_001</t>
  </si>
  <si>
    <t>SM_LSS2-20T_001</t>
  </si>
  <si>
    <t>SM_LSS2-20V_001</t>
  </si>
  <si>
    <t>SM_LSS2-30N_001</t>
  </si>
  <si>
    <t>SM_LSS2-30T_001</t>
  </si>
  <si>
    <t>SM_LSS2-30V_001</t>
  </si>
  <si>
    <t>SM_LSS2-40N_001</t>
  </si>
  <si>
    <t>SM_LSS2-40T_001</t>
  </si>
  <si>
    <t>SM_LSS2-40V_001</t>
  </si>
  <si>
    <t>SM_LSS-24N_001</t>
  </si>
  <si>
    <t>SM_LSS-24T_001</t>
  </si>
  <si>
    <t>SM_LSS-24V_001</t>
  </si>
  <si>
    <t>SM_LSS2-50N_001</t>
  </si>
  <si>
    <t>SM_LSS2-50T_001</t>
  </si>
  <si>
    <t>SM_LSS2-50V_001</t>
  </si>
  <si>
    <t>SM_LSS3-60T_001</t>
  </si>
  <si>
    <t>SM_LST_001</t>
  </si>
  <si>
    <t>SM_LST-120N_001</t>
  </si>
  <si>
    <t>SM_LST-120T_001</t>
  </si>
  <si>
    <t>SM_LST-120V_001</t>
  </si>
  <si>
    <t>SM_LST-150N_001</t>
  </si>
  <si>
    <t>SM_LST-150T_001</t>
  </si>
  <si>
    <t>SM_LST-150V_001</t>
  </si>
  <si>
    <t>SM_LST2-100N_001</t>
  </si>
  <si>
    <t>SM_LST2-100T_001</t>
  </si>
  <si>
    <t>SM_LST2-100V_001</t>
  </si>
  <si>
    <t>SM_LST2-150N_001</t>
  </si>
  <si>
    <t>SM_LST2-150T_001</t>
  </si>
  <si>
    <t>SM_LST2-150V_001</t>
  </si>
  <si>
    <t>SM_LST2-200N_001</t>
  </si>
  <si>
    <t>SM_LST2-200T_001</t>
  </si>
  <si>
    <t>SM_LST2-200V_001</t>
  </si>
  <si>
    <t>SM_LST2-240N_001</t>
  </si>
  <si>
    <t>SM_LST2-240T_001</t>
  </si>
  <si>
    <t>SM_LST2-240V_001</t>
  </si>
  <si>
    <t>SM_LST2-300N_001</t>
  </si>
  <si>
    <t>SM_LST2-300T_001</t>
  </si>
  <si>
    <t>SM_LST2-300V_001</t>
  </si>
  <si>
    <t>SM_LST-30N_001</t>
  </si>
  <si>
    <t>SM_LST-30T_001</t>
  </si>
  <si>
    <t>SM_LST-30V_001</t>
  </si>
  <si>
    <t>SM_LST3-100T_001</t>
  </si>
  <si>
    <t>SM_LST3-100V_001</t>
  </si>
  <si>
    <t>SM_LST3-30T_001</t>
  </si>
  <si>
    <t>SM_LST3-30V_001</t>
  </si>
  <si>
    <t>SM_LST3-50T_001</t>
  </si>
  <si>
    <t>SM_LST3-50V_001</t>
  </si>
  <si>
    <t>SM_LST-60N_001</t>
  </si>
  <si>
    <t>SM_LST-60T_001</t>
  </si>
  <si>
    <t>SM_LST-60V_001</t>
  </si>
  <si>
    <t>SM_LST-90N_001</t>
  </si>
  <si>
    <t>SM_LST-90T_001</t>
  </si>
  <si>
    <t>SM_LST-90V_001</t>
  </si>
  <si>
    <t>SM_LSWH_001</t>
  </si>
  <si>
    <t>SM_LSWH603528_001</t>
  </si>
  <si>
    <t>SM_LSWW60-3528_001</t>
  </si>
  <si>
    <t>SM_LT8-120/3C-RC_001</t>
  </si>
  <si>
    <t>SM_LT8-120T/MS_001</t>
  </si>
  <si>
    <t>SM_LT8-120T/MS_002</t>
  </si>
  <si>
    <t>SM_LT8-120T_001</t>
  </si>
  <si>
    <t>SM_LT8-120V_001</t>
  </si>
  <si>
    <t>SM_LT8-60/3C-RC_001</t>
  </si>
  <si>
    <t>SM_LT8-60T/MS_001</t>
  </si>
  <si>
    <t>SM_LT8-60T/MS_002</t>
  </si>
  <si>
    <t>SM_LT8-60T_001</t>
  </si>
  <si>
    <t>SM_LT8-60V_001</t>
  </si>
  <si>
    <t>SM_LTB-12N_001</t>
  </si>
  <si>
    <t>SM_LTB-12T_001</t>
  </si>
  <si>
    <t>SM_LTW-12N_001</t>
  </si>
  <si>
    <t>SM_LTW-12T_001</t>
  </si>
  <si>
    <t>SM_LUG-12T_001</t>
  </si>
  <si>
    <t>SM_LUG-12V_001</t>
  </si>
  <si>
    <t>SM_LUG-18T_001</t>
  </si>
  <si>
    <t>SM_LUG-18V_001</t>
  </si>
  <si>
    <t>SM_LUG-24T_001</t>
  </si>
  <si>
    <t>SM_LUG-24V_001</t>
  </si>
  <si>
    <t>SM_LUG-32T_001</t>
  </si>
  <si>
    <t>SM_LUG-32V_001</t>
  </si>
  <si>
    <t>SM_LUG-9T_001</t>
  </si>
  <si>
    <t>SM_LUG-9V_001</t>
  </si>
  <si>
    <t>SM_LUNGDEN-FPD-6060_001</t>
  </si>
  <si>
    <t>SM_LWP2-20T_001</t>
  </si>
  <si>
    <t>SM_LWP2-20V_001</t>
  </si>
  <si>
    <t>SM_LWP2-40T_001</t>
  </si>
  <si>
    <t>SM_LWP2-40V_001</t>
  </si>
  <si>
    <t>SM_LXB-16N_001</t>
  </si>
  <si>
    <t>SM_LXB-16T_001</t>
  </si>
  <si>
    <t>SM_LXW-16N_001</t>
  </si>
  <si>
    <t>SM_LXW-16T_001</t>
  </si>
  <si>
    <t>SM_MAF_001</t>
  </si>
  <si>
    <t>SM_MAF2_001</t>
  </si>
  <si>
    <t>SM_MAF2-24_001</t>
  </si>
  <si>
    <t>SM_MAF2-28_001</t>
  </si>
  <si>
    <t>SM_MAF2-32_001</t>
  </si>
  <si>
    <t>SM_MAFC2-22_001</t>
  </si>
  <si>
    <t>SM_MAFC2-25_001</t>
  </si>
  <si>
    <t>SM_MAFC2-27_001</t>
  </si>
  <si>
    <t>SM_MAFC2-600_001</t>
  </si>
  <si>
    <t>SM_MAFM-150_001</t>
  </si>
  <si>
    <t>SM_MAT1/SC_001</t>
  </si>
  <si>
    <t>SM_MAT2/SC_001</t>
  </si>
  <si>
    <t>SM_MAT218_001</t>
  </si>
  <si>
    <t>SM_MAT236_001</t>
  </si>
  <si>
    <t>SM_MAT3/SC_001</t>
  </si>
  <si>
    <t>SM_MAT318_001</t>
  </si>
  <si>
    <t>SM_MAT336_001</t>
  </si>
  <si>
    <t>SM_MC2-LS2835AC_001</t>
  </si>
  <si>
    <t>SM_MC2-LS5050AC_001</t>
  </si>
  <si>
    <t>SM_MCBS-120_001</t>
  </si>
  <si>
    <t>SM_MCBS-132_001</t>
  </si>
  <si>
    <t>SM_MCBS-163_001</t>
  </si>
  <si>
    <t>SM_MCBS-232_001</t>
  </si>
  <si>
    <t>SM_MCBS-263_001</t>
  </si>
  <si>
    <t>SM_MCBS-280_001</t>
  </si>
  <si>
    <t>SM_MCBS-332_001</t>
  </si>
  <si>
    <t>SM_MCBS-363_001</t>
  </si>
  <si>
    <t>SM_MCBS-380_001</t>
  </si>
  <si>
    <t>SM_MCBS-432_001</t>
  </si>
  <si>
    <t>SM_MCBS-463_001</t>
  </si>
  <si>
    <t>SM_MCBS-480_001</t>
  </si>
  <si>
    <t>SM_MCL-10/3C_001</t>
  </si>
  <si>
    <t>SM_MCL-15/3C_001</t>
  </si>
  <si>
    <t>SM_MCL-20/3C_001</t>
  </si>
  <si>
    <t>SM_MC-LS2835AC_001</t>
  </si>
  <si>
    <t>SM_MC-LS5050AC_001</t>
  </si>
  <si>
    <t>SM_MC-LSAC/SC_001</t>
  </si>
  <si>
    <t>SM_MC-LSN2_001</t>
  </si>
  <si>
    <t>SM_MCN-120_001</t>
  </si>
  <si>
    <t>SM_MCN-120K_001</t>
  </si>
  <si>
    <t>SM_MCN-220_001</t>
  </si>
  <si>
    <t>SM_MCN-220K_001</t>
  </si>
  <si>
    <t>SM_MCV320_001</t>
  </si>
  <si>
    <t>SM_MCV-320_001</t>
  </si>
  <si>
    <t>SM_MCV332_001</t>
  </si>
  <si>
    <t>SM_MCV-332_001</t>
  </si>
  <si>
    <t>SM_MCV420_001</t>
  </si>
  <si>
    <t>SM_MCV-420_001</t>
  </si>
  <si>
    <t>SM_MCV432_001</t>
  </si>
  <si>
    <t>SM_MCV-432_001</t>
  </si>
  <si>
    <t>SM_MCV520_001</t>
  </si>
  <si>
    <t>SM_MCV-520_001</t>
  </si>
  <si>
    <t>SM_MCV532_001</t>
  </si>
  <si>
    <t>SM_MCV-532_001</t>
  </si>
  <si>
    <t>SM_MD-118_001</t>
  </si>
  <si>
    <t>SM_MD-136_001</t>
  </si>
  <si>
    <t>SM_MDC6-C220_001</t>
  </si>
  <si>
    <t>SM_MDC6-C232_001</t>
  </si>
  <si>
    <t>SM_MDL-120_001</t>
  </si>
  <si>
    <t>SM_MDL-60_001</t>
  </si>
  <si>
    <t>SM_MD-WF/4G_001</t>
  </si>
  <si>
    <t>SM_MD-WF_001</t>
  </si>
  <si>
    <t>SM_MEL-100/463_001</t>
  </si>
  <si>
    <t>SM_MEL-30/425_001</t>
  </si>
  <si>
    <t>SM_MEL-30/440_001</t>
  </si>
  <si>
    <t>SM_MEL-30/463_001</t>
  </si>
  <si>
    <t>SM_MIR1-NT/DW_001</t>
  </si>
  <si>
    <t>SM_MIR1-NT/EW_001</t>
  </si>
  <si>
    <t>SM_MIR1-OD/W_001</t>
  </si>
  <si>
    <t>SM_MIR2-AT/W_001</t>
  </si>
  <si>
    <t>SM_MP10-C2100_001</t>
  </si>
  <si>
    <t>SM_MP10-C250_001</t>
  </si>
  <si>
    <t>SM_MP10-C263_001</t>
  </si>
  <si>
    <t>SM_MP10-C280_001</t>
  </si>
  <si>
    <t>SM_MP10-C3100_001</t>
  </si>
  <si>
    <t>SM_MP10-C380_001</t>
  </si>
  <si>
    <t>SM_MP4-C150_001</t>
  </si>
  <si>
    <t>SM_MP4-C163_001</t>
  </si>
  <si>
    <t>SM_MP4-C250_001</t>
  </si>
  <si>
    <t>SM_MP4-C263_001</t>
  </si>
  <si>
    <t>SM_MP4-C350_001</t>
  </si>
  <si>
    <t>SM_MP4-C363_001</t>
  </si>
  <si>
    <t>SM_MP6-C106_001</t>
  </si>
  <si>
    <t>SM_MP6-C110_001</t>
  </si>
  <si>
    <t>SM_MP6-C116_001</t>
  </si>
  <si>
    <t>SM_MP6-C120_001</t>
  </si>
  <si>
    <t>SM_MP6-C125_001</t>
  </si>
  <si>
    <t>SM_MP6-C132_001</t>
  </si>
  <si>
    <t>SM_MP6-C140_001</t>
  </si>
  <si>
    <t>SM_MP6-C150_001</t>
  </si>
  <si>
    <t>SM_MP6-C163_001</t>
  </si>
  <si>
    <t>SM_MP6-C206_001</t>
  </si>
  <si>
    <t>SM_MP6-C210_001</t>
  </si>
  <si>
    <t>SM_MP6-C216_001</t>
  </si>
  <si>
    <t>SM_MP6-C220_001</t>
  </si>
  <si>
    <t>SM_MP6-C225_001</t>
  </si>
  <si>
    <t>SM_MP6-C232_001</t>
  </si>
  <si>
    <t>SM_MP6-C240_001</t>
  </si>
  <si>
    <t>SM_MP6-C250_001</t>
  </si>
  <si>
    <t>SM_MP6-C263_001</t>
  </si>
  <si>
    <t>SM_MP6-C310_001</t>
  </si>
  <si>
    <t>SM_MP6-C316_001</t>
  </si>
  <si>
    <t>SM_MP6-C320_001</t>
  </si>
  <si>
    <t>SM_MP6-C325_001</t>
  </si>
  <si>
    <t>SM_MP6-C332_001</t>
  </si>
  <si>
    <t>SM_MP6-C340_001</t>
  </si>
  <si>
    <t>SM_MP6-C350_001</t>
  </si>
  <si>
    <t>SM_MP6-C363_001</t>
  </si>
  <si>
    <t>SM_MP6-C410_001</t>
  </si>
  <si>
    <t>SM_MP6-C416_001</t>
  </si>
  <si>
    <t>SM_MP6-C420_001</t>
  </si>
  <si>
    <t>SM_MP6-C425_001</t>
  </si>
  <si>
    <t>SM_MP6-C432_001</t>
  </si>
  <si>
    <t>SM_MP6-C440_001</t>
  </si>
  <si>
    <t>SM_MP6-C450_001</t>
  </si>
  <si>
    <t>SM_MP6-C463_001</t>
  </si>
  <si>
    <t>SM_MPN-013_001</t>
  </si>
  <si>
    <t>SM_MPN-0132_001</t>
  </si>
  <si>
    <t>SM_MPN-014_001</t>
  </si>
  <si>
    <t>SM_MPN-0142_001</t>
  </si>
  <si>
    <t>SM_MPN-015_001</t>
  </si>
  <si>
    <t>SM_MPN-0152_001</t>
  </si>
  <si>
    <t>SM_MPN-023_001</t>
  </si>
  <si>
    <t>SM_MPN-0232_001</t>
  </si>
  <si>
    <t>SM_MPN-024_001</t>
  </si>
  <si>
    <t>SM_MPN-0242_001</t>
  </si>
  <si>
    <t>SM_MPN-025_001</t>
  </si>
  <si>
    <t>SM_MPN-0252_001</t>
  </si>
  <si>
    <t>SM_MPN-0342_001</t>
  </si>
  <si>
    <t>SM_MPN-0352_001</t>
  </si>
  <si>
    <t>SM_MPN-044K_001</t>
  </si>
  <si>
    <t>SM_MPN-0452_001</t>
  </si>
  <si>
    <t>SM_MPN-045K_001</t>
  </si>
  <si>
    <t>SM_MPN-1013_001</t>
  </si>
  <si>
    <t>SM_MPN-1023_001</t>
  </si>
  <si>
    <t>SM_MPN-113_001</t>
  </si>
  <si>
    <t>SM_MPN-1132_001</t>
  </si>
  <si>
    <t>SM_MPN-114_001</t>
  </si>
  <si>
    <t>SM_MPN-1142_001</t>
  </si>
  <si>
    <t>SM_MPN-115_001</t>
  </si>
  <si>
    <t>SM_MPN-1152_001</t>
  </si>
  <si>
    <t>SM_MPN-123_001</t>
  </si>
  <si>
    <t>SM_MPN-1232_001</t>
  </si>
  <si>
    <t>SM_MPN-124_001</t>
  </si>
  <si>
    <t>SM_MPN-1242_001</t>
  </si>
  <si>
    <t>SM_MPN-125_001</t>
  </si>
  <si>
    <t>SM_MPN-1252_001</t>
  </si>
  <si>
    <t>SM_MPN-1342_001</t>
  </si>
  <si>
    <t>SM_MPN-1352_001</t>
  </si>
  <si>
    <t>SM_MPN-1442_001</t>
  </si>
  <si>
    <t>SM_MPN-1452_001</t>
  </si>
  <si>
    <t>SM_MPN2-013_001</t>
  </si>
  <si>
    <t>SM_MPN2-0132_001</t>
  </si>
  <si>
    <t>SM_MPN2-014_001</t>
  </si>
  <si>
    <t>SM_MPN2-0142_001</t>
  </si>
  <si>
    <t>SM_MPN2-015_001</t>
  </si>
  <si>
    <t>SM_MPN2-0152_001</t>
  </si>
  <si>
    <t>SM_MPN2-023_001</t>
  </si>
  <si>
    <t>SM_MPN2-0232_001</t>
  </si>
  <si>
    <t>SM_MPN2-024_001</t>
  </si>
  <si>
    <t>SM_MPN2-0242_001</t>
  </si>
  <si>
    <t>SM_MPN2-025_001</t>
  </si>
  <si>
    <t>SM_MPN2-0252_001</t>
  </si>
  <si>
    <t>SM_MPN2-0342_001</t>
  </si>
  <si>
    <t>SM_MPN2-0352_001</t>
  </si>
  <si>
    <t>SM_MPN2-044K_001</t>
  </si>
  <si>
    <t>SM_MPN2-045K_001</t>
  </si>
  <si>
    <t>SM_MPN2-1152_001</t>
  </si>
  <si>
    <t>SM_MPN2-1242_001</t>
  </si>
  <si>
    <t>SM_MPN2-1252_001</t>
  </si>
  <si>
    <t>SM_MPN-213_001</t>
  </si>
  <si>
    <t>SM_MPN-2132_001</t>
  </si>
  <si>
    <t>SM_MPN2-1342_001</t>
  </si>
  <si>
    <t>SM_MPN-214_001</t>
  </si>
  <si>
    <t>SM_MPN-2142_001</t>
  </si>
  <si>
    <t>SM_MPN2-1442_001</t>
  </si>
  <si>
    <t>SM_MPN2-1452_001</t>
  </si>
  <si>
    <t>SM_MPN-215_001</t>
  </si>
  <si>
    <t>SM_MPN-2152_001</t>
  </si>
  <si>
    <t>SM_MPN2-213_001</t>
  </si>
  <si>
    <t>SM_MPN2-2132_001</t>
  </si>
  <si>
    <t>SM_MPN2-214_001</t>
  </si>
  <si>
    <t>SM_MPN2-2142_001</t>
  </si>
  <si>
    <t>SM_MPN2-215_001</t>
  </si>
  <si>
    <t>SM_MPN2-2152_001</t>
  </si>
  <si>
    <t>SM_MPN2-223_001</t>
  </si>
  <si>
    <t>SM_MPN2-2232_001</t>
  </si>
  <si>
    <t>SM_MPN2-224_001</t>
  </si>
  <si>
    <t>SM_MPN2-2242_001</t>
  </si>
  <si>
    <t>SM_MPN2-225_001</t>
  </si>
  <si>
    <t>SM_MPN2-2252_001</t>
  </si>
  <si>
    <t>SM_MPN-223_001</t>
  </si>
  <si>
    <t>SM_MPN-2232_001</t>
  </si>
  <si>
    <t>SM_MPN2-2342_001</t>
  </si>
  <si>
    <t>SM_MPN2-2352_001</t>
  </si>
  <si>
    <t>SM_MPN-224_001</t>
  </si>
  <si>
    <t>SM_MPN-2242_001</t>
  </si>
  <si>
    <t>SM_MPN2-2442_001</t>
  </si>
  <si>
    <t>SM_MPN2-2452_001</t>
  </si>
  <si>
    <t>SM_MPN-225_001</t>
  </si>
  <si>
    <t>SM_MPN-2252_001</t>
  </si>
  <si>
    <t>SM_MPN2-3142_001</t>
  </si>
  <si>
    <t>SM_MPN2-324_001</t>
  </si>
  <si>
    <t>SM_MPN2-3242_001</t>
  </si>
  <si>
    <t>SM_MPN2-3342_001</t>
  </si>
  <si>
    <t>SM_MPN2-3352_001</t>
  </si>
  <si>
    <t>SM_MPN-2342_001</t>
  </si>
  <si>
    <t>SM_MPN2-3442_001</t>
  </si>
  <si>
    <t>SM_MPN2-3452_001</t>
  </si>
  <si>
    <t>SM_MPN-2352_001</t>
  </si>
  <si>
    <t>SM_MPN2-414_001</t>
  </si>
  <si>
    <t>SM_MPN2-4142_001</t>
  </si>
  <si>
    <t>SM_MPN2-415_001</t>
  </si>
  <si>
    <t>SM_MPN2-4152_001</t>
  </si>
  <si>
    <t>SM_MPN2-4242_001</t>
  </si>
  <si>
    <t>SM_MPN2-4342_001</t>
  </si>
  <si>
    <t>SM_MPN-2442_001</t>
  </si>
  <si>
    <t>SM_MPN2-4442_001</t>
  </si>
  <si>
    <t>SM_MPN2-4452_001</t>
  </si>
  <si>
    <t>SM_MPN-2452_001</t>
  </si>
  <si>
    <t>SM_MPN2-C_001</t>
  </si>
  <si>
    <t>SM_MPN2-C3_001</t>
  </si>
  <si>
    <t>SM_MPN2-C4_001</t>
  </si>
  <si>
    <t>SM_MPN-313_001</t>
  </si>
  <si>
    <t>SM_MPN-3132_001</t>
  </si>
  <si>
    <t>SM_MPN-314_001</t>
  </si>
  <si>
    <t>SM_MPN-3142_001</t>
  </si>
  <si>
    <t>SM_MPN-315_001</t>
  </si>
  <si>
    <t>SM_MPN-3152_001</t>
  </si>
  <si>
    <t>SM_MPN-323_001</t>
  </si>
  <si>
    <t>SM_MPN-3232_001</t>
  </si>
  <si>
    <t>SM_MPN-324_001</t>
  </si>
  <si>
    <t>SM_MPN-3242_001</t>
  </si>
  <si>
    <t>SM_MPN-325_001</t>
  </si>
  <si>
    <t>SM_MPN-3252_001</t>
  </si>
  <si>
    <t>SM_MPN-3342_001</t>
  </si>
  <si>
    <t>SM_MPN-3352_001</t>
  </si>
  <si>
    <t>SM_MPN-3442_001</t>
  </si>
  <si>
    <t>SM_MPN-3452_001</t>
  </si>
  <si>
    <t>SM_MPN-413_001</t>
  </si>
  <si>
    <t>SM_MPN-4132_001</t>
  </si>
  <si>
    <t>SM_MPN-414_001</t>
  </si>
  <si>
    <t>SM_MPN-4142_001</t>
  </si>
  <si>
    <t>SM_MPN-415_001</t>
  </si>
  <si>
    <t>SM_MPN-4152_001</t>
  </si>
  <si>
    <t>SM_MPN-423_001</t>
  </si>
  <si>
    <t>SM_MPN-4232_001</t>
  </si>
  <si>
    <t>SM_MPN-424_001</t>
  </si>
  <si>
    <t>SM_MPN-4242_001</t>
  </si>
  <si>
    <t>SM_MPN-425_001</t>
  </si>
  <si>
    <t>SM_MPN-4252_001</t>
  </si>
  <si>
    <t>SM_MPN-4342_001</t>
  </si>
  <si>
    <t>SM_MPN-4352_001</t>
  </si>
  <si>
    <t>SM_MPN-4442_001</t>
  </si>
  <si>
    <t>SM_MPN-4452_001</t>
  </si>
  <si>
    <t>SM_MPN-623_001</t>
  </si>
  <si>
    <t>SM_MPN-C_001</t>
  </si>
  <si>
    <t>SM_MRPL-12/3C_001</t>
  </si>
  <si>
    <t>SM_MRPL-18/3C_001</t>
  </si>
  <si>
    <t>SM_MRPL-24/3C_001</t>
  </si>
  <si>
    <t>SM_MRPL-6/3C_001</t>
  </si>
  <si>
    <t>SM_MS_001</t>
  </si>
  <si>
    <t>SM_MS1/SC_001</t>
  </si>
  <si>
    <t>SM_MS1/ZB_001</t>
  </si>
  <si>
    <t>SM_MS-HBE2_001</t>
  </si>
  <si>
    <t>SM_MSO320_001</t>
  </si>
  <si>
    <t>SM_MSO-320_001</t>
  </si>
  <si>
    <t>SM_MSO332_001</t>
  </si>
  <si>
    <t>SM_MSO-332_001</t>
  </si>
  <si>
    <t>SM_MSO420_001</t>
  </si>
  <si>
    <t>SM_MSO-420_001</t>
  </si>
  <si>
    <t>SM_MSO432_001</t>
  </si>
  <si>
    <t>SM_MSO-432_001</t>
  </si>
  <si>
    <t>SM_MSO520_001</t>
  </si>
  <si>
    <t>SM_MSO-520_001</t>
  </si>
  <si>
    <t>SM_MSO532_001</t>
  </si>
  <si>
    <t>SM_MSO-532_001</t>
  </si>
  <si>
    <t>SM_MSW-120_001</t>
  </si>
  <si>
    <t>SM_MSW-220_001</t>
  </si>
  <si>
    <t>SM_MSW-232_001</t>
  </si>
  <si>
    <t>SM_MSW-320_001</t>
  </si>
  <si>
    <t>SM_MSW-332_001</t>
  </si>
  <si>
    <t>SM_MSW-350_001</t>
  </si>
  <si>
    <t>SM_MWHD1_001</t>
  </si>
  <si>
    <t>SM_MWP/B236_001</t>
  </si>
  <si>
    <t>SM_MWP/C118_001</t>
  </si>
  <si>
    <t>SM_MWP/C136_001</t>
  </si>
  <si>
    <t>SM_MWP/C218_001</t>
  </si>
  <si>
    <t>SM_MWP/C236_001</t>
  </si>
  <si>
    <t>SM_MWP/K_001</t>
  </si>
  <si>
    <t>SM_MWP118_001</t>
  </si>
  <si>
    <t>SM_MWP-118_001</t>
  </si>
  <si>
    <t>SM_MWP136_001</t>
  </si>
  <si>
    <t>SM_MWP218_001</t>
  </si>
  <si>
    <t>SM_MWP236_001</t>
  </si>
  <si>
    <t>SM_MWS1-AT_001</t>
  </si>
  <si>
    <t>SM_MWS1-NT_001</t>
  </si>
  <si>
    <t>SM_MWS2-NT_001</t>
  </si>
  <si>
    <t>SM_NBN40/13_501</t>
  </si>
  <si>
    <t>CY</t>
  </si>
  <si>
    <t>SM_NBN40/13-D_501</t>
  </si>
  <si>
    <t>SM_NBN40/13-N_501</t>
  </si>
  <si>
    <t>SM_NBN60/20_501</t>
  </si>
  <si>
    <t>SM_NBN60/20-D_501</t>
  </si>
  <si>
    <t>SM_NBN60/20-N_501</t>
  </si>
  <si>
    <t>SM_NBN80/22_501</t>
  </si>
  <si>
    <t>SM_NBN80/22-D_501</t>
  </si>
  <si>
    <t>SM_NBN80/22-N_501</t>
  </si>
  <si>
    <t>SM_NL1_001</t>
  </si>
  <si>
    <t>SM_NT8-120T_001</t>
  </si>
  <si>
    <t>SM_NT8-120V_001</t>
  </si>
  <si>
    <t>SM_NT8-60T_001</t>
  </si>
  <si>
    <t>SM_NT8-60V_001</t>
  </si>
  <si>
    <t>SM_OCS/ZB_001</t>
  </si>
  <si>
    <t>SM_OGN_001</t>
  </si>
  <si>
    <t>SM_OL16_001</t>
  </si>
  <si>
    <t>SM_OTT-GT-120_001</t>
  </si>
  <si>
    <t>SM_P-315_001</t>
  </si>
  <si>
    <t>SM_P-332_001</t>
  </si>
  <si>
    <t>SM_PE 1TAC 30MIC X 0.3KG_001</t>
  </si>
  <si>
    <t>SM_PE 1TAC 30MIC X 0.45KG_001</t>
  </si>
  <si>
    <t>SM_PE 1TAC 30MIC X 0.5KG_001</t>
  </si>
  <si>
    <t>SM_PEX_001</t>
  </si>
  <si>
    <t>SM_PEXL_001</t>
  </si>
  <si>
    <t>SM_PEXLR_001</t>
  </si>
  <si>
    <t>SM_PEXR_001</t>
  </si>
  <si>
    <t>SM_PG-NEP-CT09_501</t>
  </si>
  <si>
    <t>SM_PG-NEP-CT09_502</t>
  </si>
  <si>
    <t>SM_PG-NEP-CT13_501</t>
  </si>
  <si>
    <t>SM_PG-NEP-CT13_502</t>
  </si>
  <si>
    <t>SM_PG-ONG-CT01_501</t>
  </si>
  <si>
    <t>SM_PG-ONG-CT01_502</t>
  </si>
  <si>
    <t>SM_PG-ONG-CT01_503</t>
  </si>
  <si>
    <t>SM_PG-ONG-CT01_504</t>
  </si>
  <si>
    <t>SM_PG-ONG-CT01_505</t>
  </si>
  <si>
    <t>SM_PG-ONG-CT01_506</t>
  </si>
  <si>
    <t>SM_PG-ONG-CT01_507</t>
  </si>
  <si>
    <t>SM_PG-ONG-CT01_508</t>
  </si>
  <si>
    <t>SM_PG-PKL2-CTL2_501</t>
  </si>
  <si>
    <t>SM_PG-PKL2-CTL2_502</t>
  </si>
  <si>
    <t>SM_PIN-BTD03_001</t>
  </si>
  <si>
    <t>SM_PIN-GT-120_001</t>
  </si>
  <si>
    <t>SM_PK1-DBM_001</t>
  </si>
  <si>
    <t>SM_PK-CPA_001</t>
  </si>
  <si>
    <t>SM_PKD-120_001</t>
  </si>
  <si>
    <t>SM_PKD-60_001</t>
  </si>
  <si>
    <t>SM_PKEX_001</t>
  </si>
  <si>
    <t>SM_PKEXL_001</t>
  </si>
  <si>
    <t>SM_PKEXLR_001</t>
  </si>
  <si>
    <t>SM_PKEXR_001</t>
  </si>
  <si>
    <t>SM_PKL-120_001</t>
  </si>
  <si>
    <t>SM_PKL-60_001</t>
  </si>
  <si>
    <t>SM_PKMS-CT50_001</t>
  </si>
  <si>
    <t>SM_PKMS-P6_001</t>
  </si>
  <si>
    <t>SM_PK-SLL_001</t>
  </si>
  <si>
    <t>SM_PKTCL-10_001</t>
  </si>
  <si>
    <t>SM_PKTCL-15_001</t>
  </si>
  <si>
    <t>SM_PKTCL-20_001</t>
  </si>
  <si>
    <t>SM_PL1_001</t>
  </si>
  <si>
    <t>SM_PL1_101</t>
  </si>
  <si>
    <t>SM_PL2_001</t>
  </si>
  <si>
    <t>SM_PL2_101</t>
  </si>
  <si>
    <t>SM_PL3_001</t>
  </si>
  <si>
    <t>SM_PL3_101</t>
  </si>
  <si>
    <t>SM_PRS/ZB_001</t>
  </si>
  <si>
    <t>SM_PSS-25_001</t>
  </si>
  <si>
    <t>SM_PSS-25D_001</t>
  </si>
  <si>
    <t>SM_PT3090_001</t>
  </si>
  <si>
    <t>SM_PTC1_001</t>
  </si>
  <si>
    <t>SM_RCBO-15/216_001</t>
  </si>
  <si>
    <t>SM_RCBO2-30/225_001</t>
  </si>
  <si>
    <t>SM_RCBO2-30/263_001</t>
  </si>
  <si>
    <t>SM_RCBO-30/216_001</t>
  </si>
  <si>
    <t>SM_RCBO-30/220_001</t>
  </si>
  <si>
    <t>SM_RCBO-30/225_001</t>
  </si>
  <si>
    <t>SM_RCBO-30/232_001</t>
  </si>
  <si>
    <t>SM_RCBO-30/240_001</t>
  </si>
  <si>
    <t>SM_RCBO-30/263_001</t>
  </si>
  <si>
    <t>SM_RCBOS-232/30_001</t>
  </si>
  <si>
    <t>SM_RCBOS-263/30_001</t>
  </si>
  <si>
    <t>SM_RCBOS-280/30_001</t>
  </si>
  <si>
    <t>SM_RCBOS-432/30_001</t>
  </si>
  <si>
    <t>SM_RCBOS-463/30_001</t>
  </si>
  <si>
    <t>SM_RCBOS-480/30_001</t>
  </si>
  <si>
    <t>SM_RCL_001</t>
  </si>
  <si>
    <t>SM_RCL-30/3C_001</t>
  </si>
  <si>
    <t>SM_RCL-40/3C_001</t>
  </si>
  <si>
    <t>SM_RCLH-40/3C_001</t>
  </si>
  <si>
    <t>SM_RC-RF_001</t>
  </si>
  <si>
    <t>SM_RCS_001</t>
  </si>
  <si>
    <t>SM_RDLC-9BL_001</t>
  </si>
  <si>
    <t>SM_RDLC-9CR_001</t>
  </si>
  <si>
    <t>SM_RDLC-9GD_001</t>
  </si>
  <si>
    <t>SM_RDLC-9GR_001</t>
  </si>
  <si>
    <t>SM_RDLC-9PK_001</t>
  </si>
  <si>
    <t>SM_RDLC-9SL_001</t>
  </si>
  <si>
    <t>SM_RF-2835RGB_001</t>
  </si>
  <si>
    <t>SM_RF-2835RGB_002</t>
  </si>
  <si>
    <t>SM_RF-2835RGB_003</t>
  </si>
  <si>
    <t>SM_RFL-100_001</t>
  </si>
  <si>
    <t>SM_RFL-120_001</t>
  </si>
  <si>
    <t>SM_RFL-20_001</t>
  </si>
  <si>
    <t>SM_RFL-30_001</t>
  </si>
  <si>
    <t>SM_RFL-40_001</t>
  </si>
  <si>
    <t>SM_RFL-50_001</t>
  </si>
  <si>
    <t>SM_RFL-65_001</t>
  </si>
  <si>
    <t>SM_RFL-80_001</t>
  </si>
  <si>
    <t>SM_RFL-SMD_001</t>
  </si>
  <si>
    <t>SM_RG6-112_001</t>
  </si>
  <si>
    <t>SM_RG6-112_002</t>
  </si>
  <si>
    <t>SM_RG6-112_101</t>
  </si>
  <si>
    <t>SM_RKB90_001</t>
  </si>
  <si>
    <t>SM_RLS-02_001</t>
  </si>
  <si>
    <t>SM_RLS-03_001</t>
  </si>
  <si>
    <t>SM_RLS-05_001</t>
  </si>
  <si>
    <t>SM_RLS-10_001</t>
  </si>
  <si>
    <t>SM_RLS-10-2C_001</t>
  </si>
  <si>
    <t>SM_RLS-10-F_001</t>
  </si>
  <si>
    <t>SM_RLS-12-3C_001</t>
  </si>
  <si>
    <t>SM_RLS-12-F_001</t>
  </si>
  <si>
    <t>SM_RLS-15_001</t>
  </si>
  <si>
    <t>SM_RLS-15-4C_001</t>
  </si>
  <si>
    <t>SM_RLS-15-F_001</t>
  </si>
  <si>
    <t>SM_RMC/SC_001</t>
  </si>
  <si>
    <t>SM_RP-12N_001</t>
  </si>
  <si>
    <t>SM_RP-12T_001</t>
  </si>
  <si>
    <t>SM_RP-12V_001</t>
  </si>
  <si>
    <t>SM_RP-18N_001</t>
  </si>
  <si>
    <t>SM_RP-18T_001</t>
  </si>
  <si>
    <t>SM_RP-18V_001</t>
  </si>
  <si>
    <t>SM_RP-24N_001</t>
  </si>
  <si>
    <t>SM_RP-24T_001</t>
  </si>
  <si>
    <t>SM_RP-24V_001</t>
  </si>
  <si>
    <t>SM_RP-6N_001</t>
  </si>
  <si>
    <t>SM_RP-6T_001</t>
  </si>
  <si>
    <t>SM_RP-6V_001</t>
  </si>
  <si>
    <t>SM_RP-9N_001</t>
  </si>
  <si>
    <t>SM_RP-9T_001</t>
  </si>
  <si>
    <t>SM_RP-9V_001</t>
  </si>
  <si>
    <t>SM_RPE-12/3C_001</t>
  </si>
  <si>
    <t>SM_RPE-12/3C_002</t>
  </si>
  <si>
    <t>SM_RPE-12T_001</t>
  </si>
  <si>
    <t>SM_RPE-12T_002</t>
  </si>
  <si>
    <t>SM_RPE-12V_001</t>
  </si>
  <si>
    <t>SM_RPE-12V_002</t>
  </si>
  <si>
    <t>SM_RPE-18/3C_001</t>
  </si>
  <si>
    <t>SM_RPE-18T_001</t>
  </si>
  <si>
    <t>SM_RPE-18T_002</t>
  </si>
  <si>
    <t>SM_RPE-18V_001</t>
  </si>
  <si>
    <t>SM_RPE-24/3C_001</t>
  </si>
  <si>
    <t>SM_RPE-24T_001</t>
  </si>
  <si>
    <t>SM_RPE-24V_001</t>
  </si>
  <si>
    <t>SM_RPE-6/3C_001</t>
  </si>
  <si>
    <t>SM_RPE-6/3C_002</t>
  </si>
  <si>
    <t>SM_RPE-6T_001</t>
  </si>
  <si>
    <t>SM_RPE-6T_002</t>
  </si>
  <si>
    <t>SM_RPE-6V_001</t>
  </si>
  <si>
    <t>SM_RPE-9/3C_001</t>
  </si>
  <si>
    <t>SM_RPE-9/3C_002</t>
  </si>
  <si>
    <t>SM_RPE-9T_001</t>
  </si>
  <si>
    <t>SM_RPE-9T_002</t>
  </si>
  <si>
    <t>SM_RPE-9V_001</t>
  </si>
  <si>
    <t>SM_RPE-9V_002</t>
  </si>
  <si>
    <t>SM_RPL-12/3C_001</t>
  </si>
  <si>
    <t>SM_RPL-12/3C_101</t>
  </si>
  <si>
    <t>SM_RPL-12/3C-BD_001</t>
  </si>
  <si>
    <t>SM_RPL-12/3C-BD_101</t>
  </si>
  <si>
    <t>SM_RPL-12/3C-RC_001</t>
  </si>
  <si>
    <t>SM_RPL-12/SC_001</t>
  </si>
  <si>
    <t>SM_RPL-12/SM_001</t>
  </si>
  <si>
    <t>SM_RPL-12N_001</t>
  </si>
  <si>
    <t>SM_RPL-12N_101</t>
  </si>
  <si>
    <t>SM_RPL-12N-BD_001</t>
  </si>
  <si>
    <t>SM_RPL-12S/3C/G_001</t>
  </si>
  <si>
    <t>SM_RPL-12S/3C/S_001</t>
  </si>
  <si>
    <t>SM_RPL-12S/3C_001</t>
  </si>
  <si>
    <t>SM_RPL-12SN_001</t>
  </si>
  <si>
    <t>SM_RPL-12ST/G_001</t>
  </si>
  <si>
    <t>SM_RPL-12ST/S_001</t>
  </si>
  <si>
    <t>SM_RPL-12ST_001</t>
  </si>
  <si>
    <t>SM_RPL-12SV_001</t>
  </si>
  <si>
    <t>SM_RPL-12T/MS_001</t>
  </si>
  <si>
    <t>SM_RPL-12T/MS_101</t>
  </si>
  <si>
    <t>SM_RPL-12T_001</t>
  </si>
  <si>
    <t>SM_RPL-12T_101</t>
  </si>
  <si>
    <t>SM_RPL-12T-BD_001</t>
  </si>
  <si>
    <t>SM_RPL-12T-BD_101</t>
  </si>
  <si>
    <t>SM_RPL-12V_001</t>
  </si>
  <si>
    <t>SM_RPL-12V_101</t>
  </si>
  <si>
    <t>SM_RPL-12V-BD_001</t>
  </si>
  <si>
    <t>SM_RPL-15/3C_001</t>
  </si>
  <si>
    <t>SM_RPL-15/3C-RC_001</t>
  </si>
  <si>
    <t>SM_RPL-15N_001</t>
  </si>
  <si>
    <t>SM_RPL-15T_001</t>
  </si>
  <si>
    <t>SM_RPL-15V_001</t>
  </si>
  <si>
    <t>SM_RPL-18/3C_001</t>
  </si>
  <si>
    <t>SM_RPL-18/3C_101</t>
  </si>
  <si>
    <t>SM_RPL-18/3C-RC_001</t>
  </si>
  <si>
    <t>SM_RPL-18/SC_001</t>
  </si>
  <si>
    <t>SM_RPL-18/SM_001</t>
  </si>
  <si>
    <t>SM_RPL-18N_001</t>
  </si>
  <si>
    <t>SM_RPL-18N_101</t>
  </si>
  <si>
    <t>SM_RPL-18N-BD_001</t>
  </si>
  <si>
    <t>SM_RPL-18T/MS_001</t>
  </si>
  <si>
    <t>SM_RPL-18T_001</t>
  </si>
  <si>
    <t>SM_RPL-18T_101</t>
  </si>
  <si>
    <t>SM_RPL-18T-BD_001</t>
  </si>
  <si>
    <t>SM_RPL-18V_001</t>
  </si>
  <si>
    <t>SM_RPL-18V_101</t>
  </si>
  <si>
    <t>SM_RPL2-12/3C_001</t>
  </si>
  <si>
    <t>SM_RPL2-12N_001</t>
  </si>
  <si>
    <t>SM_RPL2-12T_001</t>
  </si>
  <si>
    <t>SM_RPL2-12V_001</t>
  </si>
  <si>
    <t>SM_RPL2-18/3C_001</t>
  </si>
  <si>
    <t>SM_RPL2-18N_001</t>
  </si>
  <si>
    <t>SM_RPL2-18T_001</t>
  </si>
  <si>
    <t>SM_RPL2-18V_001</t>
  </si>
  <si>
    <t>SM_RPL-24/3C_001</t>
  </si>
  <si>
    <t>SM_RPL-24/3C-RC_001</t>
  </si>
  <si>
    <t>SM_RPL-24/SC_001</t>
  </si>
  <si>
    <t>SM_RPL-24/ZB_001</t>
  </si>
  <si>
    <t>SM_RPL-24N_001</t>
  </si>
  <si>
    <t>SM_RPL-24N_101</t>
  </si>
  <si>
    <t>SM_RPL-24T_001</t>
  </si>
  <si>
    <t>SM_RPL-24T_101</t>
  </si>
  <si>
    <t>SM_RPL-24V_001</t>
  </si>
  <si>
    <t>SM_RPL-24V_101</t>
  </si>
  <si>
    <t>SM_RPL2-6/3C_001</t>
  </si>
  <si>
    <t>SM_RPL2-6N_001</t>
  </si>
  <si>
    <t>SM_RPL2-6T_001</t>
  </si>
  <si>
    <t>SM_RPL2-6V_001</t>
  </si>
  <si>
    <t>SM_RPL2-9/3C_001</t>
  </si>
  <si>
    <t>SM_RPL2-9N_001</t>
  </si>
  <si>
    <t>SM_RPL2-9T_001</t>
  </si>
  <si>
    <t>SM_RPL2-9V_001</t>
  </si>
  <si>
    <t>SM_RPL3-12/3C_001</t>
  </si>
  <si>
    <t>SM_RPL3-12N_001</t>
  </si>
  <si>
    <t>SM_RPL3-12T_001</t>
  </si>
  <si>
    <t>SM_RPL3-12V_001</t>
  </si>
  <si>
    <t>SM_RPL3-7/3C_001</t>
  </si>
  <si>
    <t>SM_RPL3-7N_001</t>
  </si>
  <si>
    <t>SM_RPL3-7N_002</t>
  </si>
  <si>
    <t>SM_RPL3-7T_001</t>
  </si>
  <si>
    <t>SM_RPL3-7T_002</t>
  </si>
  <si>
    <t>SM_RPL3-7V_001</t>
  </si>
  <si>
    <t>SM_RPL3-9/3C_001</t>
  </si>
  <si>
    <t>SM_RPL3-9N_001</t>
  </si>
  <si>
    <t>SM_RPL3-9S/3C_001</t>
  </si>
  <si>
    <t>SM_RPL3-9S/3C_002</t>
  </si>
  <si>
    <t>SM_RPL3-9SN_001</t>
  </si>
  <si>
    <t>SM_RPL3-9SN_002</t>
  </si>
  <si>
    <t>SM_RPL3-9ST_001</t>
  </si>
  <si>
    <t>SM_RPL3-9ST_002</t>
  </si>
  <si>
    <t>SM_RPL3-9SV_001</t>
  </si>
  <si>
    <t>SM_RPL3-9SV_002</t>
  </si>
  <si>
    <t>SM_RPL3-9T_001</t>
  </si>
  <si>
    <t>SM_RPL3-9V_001</t>
  </si>
  <si>
    <t>SM_RPL-6/3C_001</t>
  </si>
  <si>
    <t>SM_RPL-6/3C_101</t>
  </si>
  <si>
    <t>SM_RPL-6/3C_102</t>
  </si>
  <si>
    <t>SM_RPL-6/3C-BD_101</t>
  </si>
  <si>
    <t>SM_RPL-6/3C-RC_001</t>
  </si>
  <si>
    <t>SM_RPL-6/SC_001</t>
  </si>
  <si>
    <t>SM_RPL-6/SM_001</t>
  </si>
  <si>
    <t>SM_RPL-6/ZB_001</t>
  </si>
  <si>
    <t>SM_RPL-6N_001</t>
  </si>
  <si>
    <t>SM_RPL-6N_101</t>
  </si>
  <si>
    <t>SM_RPL-6N_102</t>
  </si>
  <si>
    <t>SM_RPL-6N-BD_001</t>
  </si>
  <si>
    <t>SM_RPL-6S/3C_001</t>
  </si>
  <si>
    <t>SM_RPL-6S/3C-RC_001</t>
  </si>
  <si>
    <t>SM_RPL-6SN_001</t>
  </si>
  <si>
    <t>SM_RPL-6ST_001</t>
  </si>
  <si>
    <t>SM_RPL-6SV_001</t>
  </si>
  <si>
    <t>SM_RPL-6T_001</t>
  </si>
  <si>
    <t>SM_RPL-6T_101</t>
  </si>
  <si>
    <t>SM_RPL-6T_102</t>
  </si>
  <si>
    <t>SM_RPL-6T-BD_001</t>
  </si>
  <si>
    <t>SM_RPL-6V_001</t>
  </si>
  <si>
    <t>SM_RPL-6V_101</t>
  </si>
  <si>
    <t>SM_RPL-6V_102</t>
  </si>
  <si>
    <t>SM_RPL-6V-BD_001</t>
  </si>
  <si>
    <t>SM_RPL-7/3C/G_001</t>
  </si>
  <si>
    <t>SM_RPL-7/3C/S_001</t>
  </si>
  <si>
    <t>SM_RPL-7T/G_001</t>
  </si>
  <si>
    <t>SM_RPL-7T/S_001</t>
  </si>
  <si>
    <t>SM_RPL-9/3C/G_001</t>
  </si>
  <si>
    <t>SM_RPL-9/3C/S_001</t>
  </si>
  <si>
    <t>SM_RPL-9/3C_001</t>
  </si>
  <si>
    <t>SM_RPL-9/3C_101</t>
  </si>
  <si>
    <t>SM_RPL-9/3C-BD_101</t>
  </si>
  <si>
    <t>SM_RPL-9/3C-RC_001</t>
  </si>
  <si>
    <t>SM_RPL-9/SC_001</t>
  </si>
  <si>
    <t>SM_RPL-9N_001</t>
  </si>
  <si>
    <t>SM_RPL-9N_101</t>
  </si>
  <si>
    <t>SM_RPL-9N-BD_001</t>
  </si>
  <si>
    <t>SM_RPL-9S/3C/G_001</t>
  </si>
  <si>
    <t>SM_RPL-9S/3C/G_002</t>
  </si>
  <si>
    <t>SM_RPL-9S/3C/S_001</t>
  </si>
  <si>
    <t>SM_RPL-9S/3C_001</t>
  </si>
  <si>
    <t>SM_RPL-9SN_001</t>
  </si>
  <si>
    <t>SM_RPL-9ST/G_001</t>
  </si>
  <si>
    <t>SM_RPL-9ST/G_002</t>
  </si>
  <si>
    <t>SM_RPL-9ST/S_001</t>
  </si>
  <si>
    <t>SM_RPL-9ST_001</t>
  </si>
  <si>
    <t>SM_RPL-9SV_001</t>
  </si>
  <si>
    <t>SM_RPL-9SV_002</t>
  </si>
  <si>
    <t>SM_RPL-9T/G_001</t>
  </si>
  <si>
    <t>SM_RPL-9T/S_001</t>
  </si>
  <si>
    <t>SM_RPL-9T_001</t>
  </si>
  <si>
    <t>SM_RPL-9T_101</t>
  </si>
  <si>
    <t>SM_RPL-9T-BD_001</t>
  </si>
  <si>
    <t>SM_RPL-9V_001</t>
  </si>
  <si>
    <t>SM_RPL-9V_101</t>
  </si>
  <si>
    <t>SM_RPL-9V-BD_001</t>
  </si>
  <si>
    <t>SM_S223_001</t>
  </si>
  <si>
    <t>SM_S-315_001</t>
  </si>
  <si>
    <t>SM_S-332_001</t>
  </si>
  <si>
    <t>SM_S601_501</t>
  </si>
  <si>
    <t>SM_S601V_501</t>
  </si>
  <si>
    <t>SM_S602_501</t>
  </si>
  <si>
    <t>SM_S602V_501</t>
  </si>
  <si>
    <t>SM_S603_501</t>
  </si>
  <si>
    <t>SM_S603V_501</t>
  </si>
  <si>
    <t>SM_S615_501</t>
  </si>
  <si>
    <t>SM_S615V_501</t>
  </si>
  <si>
    <t>SM_S701_001</t>
  </si>
  <si>
    <t>SM_S701M_001</t>
  </si>
  <si>
    <t>SM_S702_001</t>
  </si>
  <si>
    <t>SM_S702M_001</t>
  </si>
  <si>
    <t>SM_S703_001</t>
  </si>
  <si>
    <t>SM_S704_001</t>
  </si>
  <si>
    <t>SM_S7CDP_001</t>
  </si>
  <si>
    <t>SM_S7DBP_001</t>
  </si>
  <si>
    <t>SM_S7DIM/F_001</t>
  </si>
  <si>
    <t>SM_S7DIM/L_001</t>
  </si>
  <si>
    <t>SM_S7LAN/2_001</t>
  </si>
  <si>
    <t>SM_S7LAN_001</t>
  </si>
  <si>
    <t>SM_S7MD20_001</t>
  </si>
  <si>
    <t>SM_S7MS/USB_001</t>
  </si>
  <si>
    <t>SM_S7MS_001</t>
  </si>
  <si>
    <t>SM_S7MS2_001</t>
  </si>
  <si>
    <t>SM_S7TEL/2_001</t>
  </si>
  <si>
    <t>SM_S7TEL/LAN_001</t>
  </si>
  <si>
    <t>SM_S7TEL_001</t>
  </si>
  <si>
    <t>SM_S7TV/LAN_001</t>
  </si>
  <si>
    <t>SM_S7TV/TEL_001</t>
  </si>
  <si>
    <t>SM_S7TV_001</t>
  </si>
  <si>
    <t>SM_S7UES2_001</t>
  </si>
  <si>
    <t>SM_SB-10A_001</t>
  </si>
  <si>
    <t>SM_SB-10A_101</t>
  </si>
  <si>
    <t>SM_SB-15A_001</t>
  </si>
  <si>
    <t>SM_SB-15A_101</t>
  </si>
  <si>
    <t>SM_SB-20A_001</t>
  </si>
  <si>
    <t>SM_SB-20A_101</t>
  </si>
  <si>
    <t>SM_SB-3000TL_001</t>
  </si>
  <si>
    <t>SM_SB-30A_001</t>
  </si>
  <si>
    <t>SM_SB-30A_101</t>
  </si>
  <si>
    <t>SM_SB-40A_001</t>
  </si>
  <si>
    <t>SM_SB-40A_101</t>
  </si>
  <si>
    <t>SM_SB-5.0-1AV_001</t>
  </si>
  <si>
    <t>SM_SC48-SEAM_001</t>
  </si>
  <si>
    <t>SM_SCL-40/3C_001</t>
  </si>
  <si>
    <t>SM_SDL-12T_001</t>
  </si>
  <si>
    <t>SM_SDL-12V_001</t>
  </si>
  <si>
    <t>SM_SDL-18T_001</t>
  </si>
  <si>
    <t>SM_SDL-18V_001</t>
  </si>
  <si>
    <t>SM_SDL-25T_001</t>
  </si>
  <si>
    <t>SM_SDL-25V_001</t>
  </si>
  <si>
    <t>SM_SFLD100T/BD_001</t>
  </si>
  <si>
    <t>SM_SFLD-100T_001</t>
  </si>
  <si>
    <t>SM_SFLD100V/BD_001</t>
  </si>
  <si>
    <t>SM_SFLD-100V_001</t>
  </si>
  <si>
    <t>SM_SFLD200T/BD_001</t>
  </si>
  <si>
    <t>SM_SFLD-200T_001</t>
  </si>
  <si>
    <t>SM_SFLD200V/BD_001</t>
  </si>
  <si>
    <t>SM_SFLD-200V_001</t>
  </si>
  <si>
    <t>SM_SFLD20T/BD_001</t>
  </si>
  <si>
    <t>SM_SFLD-20T_001</t>
  </si>
  <si>
    <t>SM_SFLD20V/BD_001</t>
  </si>
  <si>
    <t>SM_SFLD-20V_001</t>
  </si>
  <si>
    <t>SM_SFLD2-100T_001</t>
  </si>
  <si>
    <t>SM_SFLD2-100V_001</t>
  </si>
  <si>
    <t>SM_SFLD2-200T_001</t>
  </si>
  <si>
    <t>SM_SFLD2-200T_002</t>
  </si>
  <si>
    <t>SM_SFLD2-200V_001</t>
  </si>
  <si>
    <t>SM_SFLD2-300T_001</t>
  </si>
  <si>
    <t>SM_SFLD2-300V_001</t>
  </si>
  <si>
    <t>SM_SFLD300T/BD_001</t>
  </si>
  <si>
    <t>SM_SFLD-300T_001</t>
  </si>
  <si>
    <t>SM_SFLD300V/BD_001</t>
  </si>
  <si>
    <t>SM_SFLD-300V_001</t>
  </si>
  <si>
    <t>SM_SFLD30T/BD_001</t>
  </si>
  <si>
    <t>SM_SFLD-30T_001</t>
  </si>
  <si>
    <t>SM_SFLD30V/BD_001</t>
  </si>
  <si>
    <t>SM_SFLD-30V_001</t>
  </si>
  <si>
    <t>SM_SFLD50T/BD_001</t>
  </si>
  <si>
    <t>SM_SFLD-50T_001</t>
  </si>
  <si>
    <t>SM_SFLD50V/BD_001</t>
  </si>
  <si>
    <t>SM_SFLD-50V_001</t>
  </si>
  <si>
    <t>SM_SHP-75-10_001</t>
  </si>
  <si>
    <t>SM_SKD-FPD_001</t>
  </si>
  <si>
    <t>SM_SLL-50V_001</t>
  </si>
  <si>
    <t>SM_SLL-70V_001</t>
  </si>
  <si>
    <t>SM_SLP15_001</t>
  </si>
  <si>
    <t>SM_SLP20_001</t>
  </si>
  <si>
    <t>SM_SLP2-15_001</t>
  </si>
  <si>
    <t>SM_SLP2-25_001</t>
  </si>
  <si>
    <t>SM_SLP2-35_001</t>
  </si>
  <si>
    <t>SM_SLP35_001</t>
  </si>
  <si>
    <t>SM_SLP40_001</t>
  </si>
  <si>
    <t>SM_SLP6_001</t>
  </si>
  <si>
    <t>SM_SLP9_001</t>
  </si>
  <si>
    <t>SM_SMPL-12030_001</t>
  </si>
  <si>
    <t>SM_SMPL-3030_001</t>
  </si>
  <si>
    <t>SM_SMPL-6030_001</t>
  </si>
  <si>
    <t>SM_SMPL-6060_001</t>
  </si>
  <si>
    <t>SM_SMS1/SC_001</t>
  </si>
  <si>
    <t>SM_SMS1/ZB_001</t>
  </si>
  <si>
    <t>SM_SO2/SC_001</t>
  </si>
  <si>
    <t>SM_SOB2/SC_001</t>
  </si>
  <si>
    <t>SM_SOLDERPASTE-GT-120_001</t>
  </si>
  <si>
    <t>SM_SOMV/SC_001</t>
  </si>
  <si>
    <t>SM_SOW2/SC_001</t>
  </si>
  <si>
    <t>SM_SPDDC-K10_001</t>
  </si>
  <si>
    <t>SM_SPL-12T_001</t>
  </si>
  <si>
    <t>SM_SPL-12T_101</t>
  </si>
  <si>
    <t>SM_SPL-12T-BD_001</t>
  </si>
  <si>
    <t>SM_SPL-12V_001</t>
  </si>
  <si>
    <t>SM_SPL-12V_101</t>
  </si>
  <si>
    <t>SM_SPL-12V-BD_001</t>
  </si>
  <si>
    <t>SM_SPL-15V_001</t>
  </si>
  <si>
    <t>SM_SPL-18T_001</t>
  </si>
  <si>
    <t>SM_SPL-18T_101</t>
  </si>
  <si>
    <t>SM_SPL-18T-BD_001</t>
  </si>
  <si>
    <t>SM_SPL-18T-BD_101</t>
  </si>
  <si>
    <t>SM_SPL-18V_001</t>
  </si>
  <si>
    <t>SM_SPL-18V_101</t>
  </si>
  <si>
    <t>SM_SPL-18V-BD_001</t>
  </si>
  <si>
    <t>SM_SPL-18V-BD_101</t>
  </si>
  <si>
    <t>SM_SPL-24T_001</t>
  </si>
  <si>
    <t>SM_SPL-24T_101</t>
  </si>
  <si>
    <t>SM_SPL-24T-BD_001</t>
  </si>
  <si>
    <t>SM_SPL-24T-BD_101</t>
  </si>
  <si>
    <t>SM_SPL-24V_001</t>
  </si>
  <si>
    <t>SM_SPL-24V_101</t>
  </si>
  <si>
    <t>SM_SPL-24V-BD_001</t>
  </si>
  <si>
    <t>SM_SPL-6T_001</t>
  </si>
  <si>
    <t>SM_SPL-6T_101</t>
  </si>
  <si>
    <t>SM_SPL-6T-BD_001</t>
  </si>
  <si>
    <t>SM_SPL-6T-BD_101</t>
  </si>
  <si>
    <t>SM_SPL-6V_001</t>
  </si>
  <si>
    <t>SM_SPL-6V_101</t>
  </si>
  <si>
    <t>SM_SPL-6V-BD_001</t>
  </si>
  <si>
    <t>SM_SPL-6V-BD_101</t>
  </si>
  <si>
    <t>SM_SPL-9T/DIM_001</t>
  </si>
  <si>
    <t>SM_SPL-9T_001</t>
  </si>
  <si>
    <t>SM_SPL-9T_101</t>
  </si>
  <si>
    <t>SM_SPL-9T-BD_001</t>
  </si>
  <si>
    <t>SM_SPL-9T-BD_101</t>
  </si>
  <si>
    <t>SM_SPL-9V_001</t>
  </si>
  <si>
    <t>SM_SPL-9V_101</t>
  </si>
  <si>
    <t>SM_SPL-9V-BD_001</t>
  </si>
  <si>
    <t>SM_SPS1_001</t>
  </si>
  <si>
    <t>SM_SPS2_001</t>
  </si>
  <si>
    <t>SM_SPS3_001</t>
  </si>
  <si>
    <t>SM_SPS3_002</t>
  </si>
  <si>
    <t>SM_SR1/SC_001</t>
  </si>
  <si>
    <t>SM_SR1/ZB_001</t>
  </si>
  <si>
    <t>SM_SRDL-16/3C_001</t>
  </si>
  <si>
    <t>SM_SRDL-16N_001</t>
  </si>
  <si>
    <t>SM_SRDL-16T_001</t>
  </si>
  <si>
    <t>SM_SRDL-16V_001</t>
  </si>
  <si>
    <t>SM_SRDL-24/3C_001</t>
  </si>
  <si>
    <t>SM_SRDL-24N_001</t>
  </si>
  <si>
    <t>SM_SRDL-24T_001</t>
  </si>
  <si>
    <t>SM_SRDL-24V_001</t>
  </si>
  <si>
    <t>SM_SRDL-32/3C_001</t>
  </si>
  <si>
    <t>SM_SRDL-32N_001</t>
  </si>
  <si>
    <t>SM_SRDL-32T_001</t>
  </si>
  <si>
    <t>SM_SRDL-32V_001</t>
  </si>
  <si>
    <t>SM_SRDL-48/3C_001</t>
  </si>
  <si>
    <t>SM_SRDL-48N_001</t>
  </si>
  <si>
    <t>SM_SRDL-48T_001</t>
  </si>
  <si>
    <t>SM_SRDL-48V_001</t>
  </si>
  <si>
    <t>SM_SRDLB-16/3C_001</t>
  </si>
  <si>
    <t>SM_SRDLB-16N_001</t>
  </si>
  <si>
    <t>SM_SRDLB-16T_001</t>
  </si>
  <si>
    <t>SM_SRDLB-16V_001</t>
  </si>
  <si>
    <t>SM_SRDLB-24/3C_001</t>
  </si>
  <si>
    <t>SM_SRDLB-24N_001</t>
  </si>
  <si>
    <t>SM_SRDLB-24T_001</t>
  </si>
  <si>
    <t>SM_SRDLB-24V_001</t>
  </si>
  <si>
    <t>SM_SRDLB-32/3C_001</t>
  </si>
  <si>
    <t>SM_SRDLB-32N_001</t>
  </si>
  <si>
    <t>SM_SRDLB-32T_001</t>
  </si>
  <si>
    <t>SM_SRDLB-32V_001</t>
  </si>
  <si>
    <t>SM_SRDLB-48/3C_001</t>
  </si>
  <si>
    <t>SM_SRDLB-48N_001</t>
  </si>
  <si>
    <t>SM_SRDLB-48T_001</t>
  </si>
  <si>
    <t>SM_SRDLB-48V_001</t>
  </si>
  <si>
    <t>SM_SRDLE-12_001</t>
  </si>
  <si>
    <t>SM_SRDLE-18_001</t>
  </si>
  <si>
    <t>SM_SRDLE-6_001</t>
  </si>
  <si>
    <t>SM_SRDLE-9_001</t>
  </si>
  <si>
    <t>SM_SRPE-12_001</t>
  </si>
  <si>
    <t>SM_SRPE-18_001</t>
  </si>
  <si>
    <t>SM_SRPE-24_001</t>
  </si>
  <si>
    <t>SM_SRPE-9_001</t>
  </si>
  <si>
    <t>SM_SRPL-12/3C_001</t>
  </si>
  <si>
    <t>SM_SRPL-12/3C_101</t>
  </si>
  <si>
    <t>SM_SRPL-12/SC_001</t>
  </si>
  <si>
    <t>SM_SRPL-12T/MS_001</t>
  </si>
  <si>
    <t>SM_SRPL-12T/MS_101</t>
  </si>
  <si>
    <t>SM_SRPL-12T_001</t>
  </si>
  <si>
    <t>SM_SRPL-12T_101</t>
  </si>
  <si>
    <t>SM_SRPL-12T-BD_001</t>
  </si>
  <si>
    <t>SM_SRPL-12V_001</t>
  </si>
  <si>
    <t>SM_SRPL-12V_101</t>
  </si>
  <si>
    <t>SM_SRPL-12V-BD_001</t>
  </si>
  <si>
    <t>SM_SRPL-18/3C_001</t>
  </si>
  <si>
    <t>SM_SRPL-18/3C_101</t>
  </si>
  <si>
    <t>SM_SRPL-18/3C-BD_001</t>
  </si>
  <si>
    <t>SM_SRPL-18/SC_001</t>
  </si>
  <si>
    <t>SM_SRPL-18/SM_001</t>
  </si>
  <si>
    <t>SM_SRPL-18T/MS_001</t>
  </si>
  <si>
    <t>SM_SRPL-18T/MS_101</t>
  </si>
  <si>
    <t>SM_SRPL-18T_001</t>
  </si>
  <si>
    <t>SM_SRPL-18T_101</t>
  </si>
  <si>
    <t>SM_SRPL-18T-BD_001</t>
  </si>
  <si>
    <t>SM_SRPL-18V_001</t>
  </si>
  <si>
    <t>SM_SRPL-18V_101</t>
  </si>
  <si>
    <t>SM_SRPL-18V-BD_001</t>
  </si>
  <si>
    <t>SM_SRPL2-12/3C_002</t>
  </si>
  <si>
    <t>SM_SRPL2-12T_001</t>
  </si>
  <si>
    <t>SM_SRPL2-12T_002</t>
  </si>
  <si>
    <t>SM_SRPL2-12V_001</t>
  </si>
  <si>
    <t>SM_SRPL2-12V_002</t>
  </si>
  <si>
    <t>SM_SRPL2-18/3C_002</t>
  </si>
  <si>
    <t>SM_SRPL2-18T_001</t>
  </si>
  <si>
    <t>SM_SRPL2-18T_002</t>
  </si>
  <si>
    <t>SM_SRPL2-18V_001</t>
  </si>
  <si>
    <t>SM_SRPL2-18V_002</t>
  </si>
  <si>
    <t>SM_SRPL2-24/3C_002</t>
  </si>
  <si>
    <t>SM_SRPL2-24T_001</t>
  </si>
  <si>
    <t>SM_SRPL2-24T_002</t>
  </si>
  <si>
    <t>SM_SRPL2-24V_001</t>
  </si>
  <si>
    <t>SM_SRPL2-24V_002</t>
  </si>
  <si>
    <t>SM_SRPL-24/3C_001</t>
  </si>
  <si>
    <t>SM_SRPL-24/3C_101</t>
  </si>
  <si>
    <t>SM_SRPL-24/SC_001</t>
  </si>
  <si>
    <t>SM_SRPL-24/SM_001</t>
  </si>
  <si>
    <t>SM_SRPL-24T/MS_001</t>
  </si>
  <si>
    <t>SM_SRPL-24T_001</t>
  </si>
  <si>
    <t>SM_SRPL-24T_101</t>
  </si>
  <si>
    <t>SM_SRPL-24V_001</t>
  </si>
  <si>
    <t>SM_SRPL-24V_101</t>
  </si>
  <si>
    <t>SM_SRPL-6/3C_001</t>
  </si>
  <si>
    <t>SM_SRPL-6/3C_101</t>
  </si>
  <si>
    <t>SM_SRPL-6T_001</t>
  </si>
  <si>
    <t>SM_SRPL-6T_101</t>
  </si>
  <si>
    <t>SM_SRPL-6V_001</t>
  </si>
  <si>
    <t>SM_SRPL-6V_101</t>
  </si>
  <si>
    <t>SM_SRPLB-12/3C_001</t>
  </si>
  <si>
    <t>SM_SRPLB-12T_001</t>
  </si>
  <si>
    <t>SM_SRPLB-12V_001</t>
  </si>
  <si>
    <t>SM_SRPLB-18/3C_001</t>
  </si>
  <si>
    <t>SM_SRPLB-18T_001</t>
  </si>
  <si>
    <t>SM_SRPLB-18V_001</t>
  </si>
  <si>
    <t>SM_SRPLB2-12/3C_001</t>
  </si>
  <si>
    <t>SM_SRPLB2-12T_001</t>
  </si>
  <si>
    <t>SM_SRPLB2-12V_001</t>
  </si>
  <si>
    <t>SM_SRPLB2-18/3C_001</t>
  </si>
  <si>
    <t>SM_SRPLB2-18T_001</t>
  </si>
  <si>
    <t>SM_SRPLB2-18V_001</t>
  </si>
  <si>
    <t>SM_SRPLB2-24/3C_001</t>
  </si>
  <si>
    <t>SM_SRPLB2-24T_001</t>
  </si>
  <si>
    <t>SM_SRPLB2-24V_001</t>
  </si>
  <si>
    <t>SM_SRPLB-24/3C_001</t>
  </si>
  <si>
    <t>SM_SRPLB-24T_001</t>
  </si>
  <si>
    <t>SM_SRPLB-24V_001</t>
  </si>
  <si>
    <t>SM_SSDL-16/3C_001</t>
  </si>
  <si>
    <t>SM_SSDL-16N_001</t>
  </si>
  <si>
    <t>SM_SSDL-16T_001</t>
  </si>
  <si>
    <t>SM_SSDL-16V_001</t>
  </si>
  <si>
    <t>SM_SSDL-24/3C_001</t>
  </si>
  <si>
    <t>SM_SSDL-24N_001</t>
  </si>
  <si>
    <t>SM_SSDL-24T_001</t>
  </si>
  <si>
    <t>SM_SSDL-24V_001</t>
  </si>
  <si>
    <t>SM_SSDL-32/3C_001</t>
  </si>
  <si>
    <t>SM_SSDL-32N_001</t>
  </si>
  <si>
    <t>SM_SSDL-32T_001</t>
  </si>
  <si>
    <t>SM_SSDL-32V_001</t>
  </si>
  <si>
    <t>SM_SSDL-48/3C_001</t>
  </si>
  <si>
    <t>SM_SSDL-48N_001</t>
  </si>
  <si>
    <t>SM_SSDL-48T_001</t>
  </si>
  <si>
    <t>SM_SSDL-48V_001</t>
  </si>
  <si>
    <t>SM_SSDLB-16/3C_001</t>
  </si>
  <si>
    <t>SM_SSDLB-16N_001</t>
  </si>
  <si>
    <t>SM_SSDLB-16T_001</t>
  </si>
  <si>
    <t>SM_SSDLB-16V_001</t>
  </si>
  <si>
    <t>SM_SSDLB-24/3C_001</t>
  </si>
  <si>
    <t>SM_SSDLB-24N_001</t>
  </si>
  <si>
    <t>SM_SSDLB-24T_001</t>
  </si>
  <si>
    <t>SM_SSDLB-24V_001</t>
  </si>
  <si>
    <t>SM_SSDLB-32/3C_001</t>
  </si>
  <si>
    <t>SM_SSDLB-32N_001</t>
  </si>
  <si>
    <t>SM_SSDLB-32T_001</t>
  </si>
  <si>
    <t>SM_SSDLB-32V_001</t>
  </si>
  <si>
    <t>SM_SSDLB-48/3C_001</t>
  </si>
  <si>
    <t>SM_SSDLB-48N_001</t>
  </si>
  <si>
    <t>SM_SSDLB-48T_001</t>
  </si>
  <si>
    <t>SM_SSDLB-48V_001</t>
  </si>
  <si>
    <t>SM_SSL-12V_001</t>
  </si>
  <si>
    <t>SM_SSL-20V_001</t>
  </si>
  <si>
    <t>SM_SSL-25V_001</t>
  </si>
  <si>
    <t>SM_SSL-30V_001</t>
  </si>
  <si>
    <t>SM_SSL-50_001</t>
  </si>
  <si>
    <t>SM_SSL-70_001</t>
  </si>
  <si>
    <t>SM_SSL-7V_001</t>
  </si>
  <si>
    <t>SM_SSPL-12/3C_001</t>
  </si>
  <si>
    <t>SM_SSPL-12/3C_101</t>
  </si>
  <si>
    <t>SM_SSPL-12T/MS_001</t>
  </si>
  <si>
    <t>SM_SSPL-12T/MS_101</t>
  </si>
  <si>
    <t>SM_SSPL-12T_001</t>
  </si>
  <si>
    <t>SM_SSPL-12T_101</t>
  </si>
  <si>
    <t>SM_SSPL-12V_001</t>
  </si>
  <si>
    <t>SM_SSPL-12V_101</t>
  </si>
  <si>
    <t>SM_SSPL-18/3C_001</t>
  </si>
  <si>
    <t>SM_SSPL-18/3C_101</t>
  </si>
  <si>
    <t>SM_SSPL-18T/MS_001</t>
  </si>
  <si>
    <t>SM_SSPL-18T/MS_101</t>
  </si>
  <si>
    <t>SM_SSPL-18T_001</t>
  </si>
  <si>
    <t>SM_SSPL-18T_101</t>
  </si>
  <si>
    <t>SM_SSPL-18V_001</t>
  </si>
  <si>
    <t>SM_SSPL-18V_101</t>
  </si>
  <si>
    <t>SM_SSPL2-12/3C_002</t>
  </si>
  <si>
    <t>SM_SSPL2-12T_001</t>
  </si>
  <si>
    <t>SM_SSPL2-12T_002</t>
  </si>
  <si>
    <t>SM_SSPL2-12V_001</t>
  </si>
  <si>
    <t>SM_SSPL2-12V_002</t>
  </si>
  <si>
    <t>SM_SSPL2-18/3C_002</t>
  </si>
  <si>
    <t>SM_SSPL2-18T_001</t>
  </si>
  <si>
    <t>SM_SSPL2-18T_002</t>
  </si>
  <si>
    <t>SM_SSPL2-18V_001</t>
  </si>
  <si>
    <t>SM_SSPL2-18V_002</t>
  </si>
  <si>
    <t>SM_SSPL2-24/3C_002</t>
  </si>
  <si>
    <t>SM_SSPL2-24T_001</t>
  </si>
  <si>
    <t>SM_SSPL2-24T_002</t>
  </si>
  <si>
    <t>SM_SSPL2-24V_002</t>
  </si>
  <si>
    <t>SM_SSPL-24/3C_001</t>
  </si>
  <si>
    <t>SM_SSPL-24/3C_101</t>
  </si>
  <si>
    <t>SM_SSPL-24T/MS_001</t>
  </si>
  <si>
    <t>SM_SSPL-24T_001</t>
  </si>
  <si>
    <t>SM_SSPL-24T_101</t>
  </si>
  <si>
    <t>SM_SSPL-24V_001</t>
  </si>
  <si>
    <t>SM_SSPL-24V_101</t>
  </si>
  <si>
    <t>SM_SSPL-6/3C_001</t>
  </si>
  <si>
    <t>SM_SSPL-6/3C_101</t>
  </si>
  <si>
    <t>SM_SSPL-6T_001</t>
  </si>
  <si>
    <t>SM_SSPL-6T_101</t>
  </si>
  <si>
    <t>SM_SSPL-6V_001</t>
  </si>
  <si>
    <t>SM_SSPL-6V_101</t>
  </si>
  <si>
    <t>SM_SSPLB-12/3C_001</t>
  </si>
  <si>
    <t>SM_SSPLB-12T_001</t>
  </si>
  <si>
    <t>SM_SSPLB-12V_001</t>
  </si>
  <si>
    <t>SM_SSPLB-18/3C_001</t>
  </si>
  <si>
    <t>SM_SSPLB-18T_001</t>
  </si>
  <si>
    <t>SM_SSPLB-18V_001</t>
  </si>
  <si>
    <t>SM_SSPLB2-12/3C_001</t>
  </si>
  <si>
    <t>SM_SSPLB2-12T_001</t>
  </si>
  <si>
    <t>SM_SSPLB2-12V_001</t>
  </si>
  <si>
    <t>SM_SSPLB2-18/3C_001</t>
  </si>
  <si>
    <t>SM_SSPLB2-18T_001</t>
  </si>
  <si>
    <t>SM_SSPLB2-18V_001</t>
  </si>
  <si>
    <t>SM_SSPLB2-24/3C_001</t>
  </si>
  <si>
    <t>SM_SSPLB2-24T_001</t>
  </si>
  <si>
    <t>SM_SSPLB2-24V_001</t>
  </si>
  <si>
    <t>SM_SSPLB-24/3C_001</t>
  </si>
  <si>
    <t>SM_SSPLB-24T_001</t>
  </si>
  <si>
    <t>SM_SSPLB-24V_001</t>
  </si>
  <si>
    <t>SM_STP-10.0-3AV_001</t>
  </si>
  <si>
    <t>SM_STP110-60_001</t>
  </si>
  <si>
    <t>SM_STP-15000TL_001</t>
  </si>
  <si>
    <t>SM_STP-20000TL_001</t>
  </si>
  <si>
    <t>SM_STP-25000TL_001</t>
  </si>
  <si>
    <t>SM_STP-5000TL_001</t>
  </si>
  <si>
    <t>SM_SW1/SC_001</t>
  </si>
  <si>
    <t>SM_SW1/ZB_001</t>
  </si>
  <si>
    <t>SM_SW-120_001</t>
  </si>
  <si>
    <t>SM_SW-132_001</t>
  </si>
  <si>
    <t>SM_SW2/SC_001</t>
  </si>
  <si>
    <t>SM_SW2/ZB_001</t>
  </si>
  <si>
    <t>SM_SW-220_001</t>
  </si>
  <si>
    <t>SM_SW-232_001</t>
  </si>
  <si>
    <t>SM_SW-263_001</t>
  </si>
  <si>
    <t>SM_SW3/SC_001</t>
  </si>
  <si>
    <t>SM_SW3/ZB_001</t>
  </si>
  <si>
    <t>SM_SW-320_001</t>
  </si>
  <si>
    <t>SM_SW-332_001</t>
  </si>
  <si>
    <t>SM_SW-350_001</t>
  </si>
  <si>
    <t>SM_SW-363_001</t>
  </si>
  <si>
    <t>SM_SW4/SC_001</t>
  </si>
  <si>
    <t>SM_SWB1/SC/V_001</t>
  </si>
  <si>
    <t>SM_SWB1/SC_001</t>
  </si>
  <si>
    <t>SM_SWB2/SC/V_001</t>
  </si>
  <si>
    <t>SM_SWB2/SC_001</t>
  </si>
  <si>
    <t>SM_SWB3/SC/V_001</t>
  </si>
  <si>
    <t>SM_SWB3/SC_001</t>
  </si>
  <si>
    <t>SM_SWB4/SC/V_001</t>
  </si>
  <si>
    <t>SM_SWB4/SC_001</t>
  </si>
  <si>
    <t>SM_SWP15-1_001</t>
  </si>
  <si>
    <t>SM_SWP16-2_001</t>
  </si>
  <si>
    <t>SM_SWP16-3_001</t>
  </si>
  <si>
    <t>SM_SWP16-5_001</t>
  </si>
  <si>
    <t>SM_SWV1/SC_001</t>
  </si>
  <si>
    <t>SM_SWV1/ZB_001</t>
  </si>
  <si>
    <t>SM_SWV2/SC_001</t>
  </si>
  <si>
    <t>SM_SWV2/ZB_001</t>
  </si>
  <si>
    <t>SM_SWV3/SC_001</t>
  </si>
  <si>
    <t>SM_SWV3/ZB_001</t>
  </si>
  <si>
    <t>SM_SWW1/SC/V_001</t>
  </si>
  <si>
    <t>SM_SWW1/SC_001</t>
  </si>
  <si>
    <t>SM_SWW2/SC/V_001</t>
  </si>
  <si>
    <t>SM_SWW2/SC_001</t>
  </si>
  <si>
    <t>SM_SWW3/SC_001</t>
  </si>
  <si>
    <t>SM_SWW4/SC/V_001</t>
  </si>
  <si>
    <t>SM_SWW4/SC_001</t>
  </si>
  <si>
    <t>SM_T_001</t>
  </si>
  <si>
    <t>SM_T-10/CV_001</t>
  </si>
  <si>
    <t>SM_T10_001</t>
  </si>
  <si>
    <t>SM_T-14/CV_001</t>
  </si>
  <si>
    <t>SM_T14_001</t>
  </si>
  <si>
    <t>SM_T-20/CV_001</t>
  </si>
  <si>
    <t>SM_T20_001</t>
  </si>
  <si>
    <t>SM_T24_001</t>
  </si>
  <si>
    <t>SM_T32_001</t>
  </si>
  <si>
    <t>SM_T-4/CV_001</t>
  </si>
  <si>
    <t>SM_T-4/RAIL_001</t>
  </si>
  <si>
    <t>SM_T4_001</t>
  </si>
  <si>
    <t>SM_T40_001</t>
  </si>
  <si>
    <t>SM_T6_001</t>
  </si>
  <si>
    <t>SM_TA1_001</t>
  </si>
  <si>
    <t>SM_TA2_001</t>
  </si>
  <si>
    <t>SM_TA3_001</t>
  </si>
  <si>
    <t>SM_TA4_001</t>
  </si>
  <si>
    <t>SM_TA5_001</t>
  </si>
  <si>
    <t>SM_TA6_001</t>
  </si>
  <si>
    <t>SM_TA7_001</t>
  </si>
  <si>
    <t>SM_TA8_001</t>
  </si>
  <si>
    <t>SM_TB_001</t>
  </si>
  <si>
    <t>SM_TBS1/SC_001</t>
  </si>
  <si>
    <t>SM_TBS1_001</t>
  </si>
  <si>
    <t>SM_TBS2/SC_001</t>
  </si>
  <si>
    <t>SM_TBS2_001</t>
  </si>
  <si>
    <t>SM_TBS3_001</t>
  </si>
  <si>
    <t>SM_TBS4_001</t>
  </si>
  <si>
    <t>SM_TBS5_001</t>
  </si>
  <si>
    <t>SM_TBS6_001</t>
  </si>
  <si>
    <t>SM_TBV-3112_001</t>
  </si>
  <si>
    <t>SM_TC48-SEAM_001</t>
  </si>
  <si>
    <t>SM_TDG-GT-120_003</t>
  </si>
  <si>
    <t>SM_TDG-GT-120_004</t>
  </si>
  <si>
    <t>SM_TDG-GT-120_005</t>
  </si>
  <si>
    <t>SM_TDG-GT-120_006</t>
  </si>
  <si>
    <t>SM_TDG-GT-120_007</t>
  </si>
  <si>
    <t>SM_TDG-GT-120_008</t>
  </si>
  <si>
    <t>SM_TDG-GT-120_009</t>
  </si>
  <si>
    <t>SM_THANDEN-FPD-6060_001</t>
  </si>
  <si>
    <t>SM_THUNG-FPD-6060_001</t>
  </si>
  <si>
    <t>SM_TL-10_001</t>
  </si>
  <si>
    <t>SM_TL-11</t>
  </si>
  <si>
    <t>SM_TL-11_001</t>
  </si>
  <si>
    <t>SM_TL12_001</t>
  </si>
  <si>
    <t>SM_TL1G_001</t>
  </si>
  <si>
    <t>SM_TL1S_001</t>
  </si>
  <si>
    <t>SM_TL2_001</t>
  </si>
  <si>
    <t>SM_TL3_001</t>
  </si>
  <si>
    <t>SM_TL5_001</t>
  </si>
  <si>
    <t>SM_TL6_001</t>
  </si>
  <si>
    <t>SM_TL7_001</t>
  </si>
  <si>
    <t>SM_TL8_001</t>
  </si>
  <si>
    <t>SM_TL9-BL-BD_001</t>
  </si>
  <si>
    <t>SM_TL9-BL-BD_002</t>
  </si>
  <si>
    <t>SM_TL9-PK-BD_001</t>
  </si>
  <si>
    <t>SM_TL9-PK-BD_002</t>
  </si>
  <si>
    <t>SM_TLC-2P_001</t>
  </si>
  <si>
    <t>SM_TM10_001</t>
  </si>
  <si>
    <t>SM_TN-2_001</t>
  </si>
  <si>
    <t>SM_TN-4_001</t>
  </si>
  <si>
    <t>SM_TN-6_001</t>
  </si>
  <si>
    <t>SM_TNRB195_001</t>
  </si>
  <si>
    <t>SM_TNRB-FLAT_001</t>
  </si>
  <si>
    <t>SM_TNRT150_001</t>
  </si>
  <si>
    <t>SM_TR2_001</t>
  </si>
  <si>
    <t>SM_TR2B_001</t>
  </si>
  <si>
    <t>SM_TRAY18-2067_001</t>
  </si>
  <si>
    <t>SM_TRB6000_001</t>
  </si>
  <si>
    <t>SM_TRB-FLAT5211_001</t>
  </si>
  <si>
    <t>SM_TRB-FLAT6000_001</t>
  </si>
  <si>
    <t>SM_TRT6000_001</t>
  </si>
  <si>
    <t>SM_TS-10/P_001</t>
  </si>
  <si>
    <t>SM_TS-10_001</t>
  </si>
  <si>
    <t>SM_TS-10_002</t>
  </si>
  <si>
    <t>SM_TS-10_003</t>
  </si>
  <si>
    <t>SM_TS-12_001</t>
  </si>
  <si>
    <t>SM_TS-14_001</t>
  </si>
  <si>
    <t>SM_TS-14_002</t>
  </si>
  <si>
    <t>SM_TS-14_003</t>
  </si>
  <si>
    <t>SM_TS-20/CV_001</t>
  </si>
  <si>
    <t>SM_TS-20_001</t>
  </si>
  <si>
    <t>SM_TS-20_002</t>
  </si>
  <si>
    <t>SM_TS-20_003</t>
  </si>
  <si>
    <t>SM_TS-24_001</t>
  </si>
  <si>
    <t>SM_TS-24_002</t>
  </si>
  <si>
    <t>SM_TS-24_003</t>
  </si>
  <si>
    <t>SM_TS-32_001</t>
  </si>
  <si>
    <t>SM_TS-32_003</t>
  </si>
  <si>
    <t>SM_TS-4/P_001</t>
  </si>
  <si>
    <t>SM_TS-4_001</t>
  </si>
  <si>
    <t>SM_TS-4_002</t>
  </si>
  <si>
    <t>SM_TS-40_001</t>
  </si>
  <si>
    <t>SM_TS-40_002</t>
  </si>
  <si>
    <t>SM_TS-48_001</t>
  </si>
  <si>
    <t>SM_TS-48_002</t>
  </si>
  <si>
    <t>SM_TS-6/P_001</t>
  </si>
  <si>
    <t>SM_TS-6_001</t>
  </si>
  <si>
    <t>SM_TS-6_002</t>
  </si>
  <si>
    <t>SM_TS-60_001</t>
  </si>
  <si>
    <t>SM_TS-60_002</t>
  </si>
  <si>
    <t>SM_TSL-12N_001</t>
  </si>
  <si>
    <t>SM_TSL-12T_001</t>
  </si>
  <si>
    <t>SM_TSL-12V_001</t>
  </si>
  <si>
    <t>SM_TSL-20N_001</t>
  </si>
  <si>
    <t>SM_TSL-20T_001</t>
  </si>
  <si>
    <t>SM_TSL-20V_001</t>
  </si>
  <si>
    <t>SM_TSL2-12N_001</t>
  </si>
  <si>
    <t>SM_TSL2-12T_001</t>
  </si>
  <si>
    <t>SM_TSL2-12V_001</t>
  </si>
  <si>
    <t>SM_TSL2-20N_001</t>
  </si>
  <si>
    <t>SM_TSL2-20T_001</t>
  </si>
  <si>
    <t>SM_TSL2-20V_001</t>
  </si>
  <si>
    <t>SM_TSL2-25N_001</t>
  </si>
  <si>
    <t>SM_TSL2-25T_001</t>
  </si>
  <si>
    <t>SM_TSL2-25V_001</t>
  </si>
  <si>
    <t>SM_TSL2-30N_001</t>
  </si>
  <si>
    <t>SM_TSL2-30T_001</t>
  </si>
  <si>
    <t>SM_TSL2-30V_001</t>
  </si>
  <si>
    <t>SM_TSL-25N_001</t>
  </si>
  <si>
    <t>SM_TSL-25T_001</t>
  </si>
  <si>
    <t>SM_TSL-25V_001</t>
  </si>
  <si>
    <t>SM_TSL2-8N_001</t>
  </si>
  <si>
    <t>SM_TSL2-8T_001</t>
  </si>
  <si>
    <t>SM_TSL2-8V_001</t>
  </si>
  <si>
    <t>SM_TSL-30N_001</t>
  </si>
  <si>
    <t>SM_TSL-30T_001</t>
  </si>
  <si>
    <t>SM_TSL-30V_001</t>
  </si>
  <si>
    <t>SM_TSL-8N_001</t>
  </si>
  <si>
    <t>SM_TSL-8T_001</t>
  </si>
  <si>
    <t>SM_TSL-8V_001</t>
  </si>
  <si>
    <t>SM_TSLB-12N_001</t>
  </si>
  <si>
    <t>SM_TSLB-12T_001</t>
  </si>
  <si>
    <t>SM_TSLB-12V_001</t>
  </si>
  <si>
    <t>SM_TSLB-20N_001</t>
  </si>
  <si>
    <t>SM_TSLB-20T_001</t>
  </si>
  <si>
    <t>SM_TSLB-20V_001</t>
  </si>
  <si>
    <t>SM_TSLB2-12N_001</t>
  </si>
  <si>
    <t>SM_TSLB2-12T_001</t>
  </si>
  <si>
    <t>SM_TSLB2-12V_001</t>
  </si>
  <si>
    <t>SM_TSLB2-20N_001</t>
  </si>
  <si>
    <t>SM_TSLB2-20N_002</t>
  </si>
  <si>
    <t>SM_TSLB2-20T_001</t>
  </si>
  <si>
    <t>SM_TSLB2-20V_001</t>
  </si>
  <si>
    <t>SM_TSLB2-25N_001</t>
  </si>
  <si>
    <t>SM_TSLB2-25N_002</t>
  </si>
  <si>
    <t>SM_TSLB2-25T_001</t>
  </si>
  <si>
    <t>SM_TSLB2-25V_001</t>
  </si>
  <si>
    <t>SM_TSLB2-30N_001</t>
  </si>
  <si>
    <t>SM_TSLB2-30T_001</t>
  </si>
  <si>
    <t>SM_TSLB2-30V_001</t>
  </si>
  <si>
    <t>SM_TSLB-25N_001</t>
  </si>
  <si>
    <t>SM_TSLB-25T_001</t>
  </si>
  <si>
    <t>SM_TSLB-25V_001</t>
  </si>
  <si>
    <t>SM_TSLB2-8N_001</t>
  </si>
  <si>
    <t>SM_TSLB2-8T_001</t>
  </si>
  <si>
    <t>SM_TSLB2-8V_001</t>
  </si>
  <si>
    <t>SM_TSLB-30N_001</t>
  </si>
  <si>
    <t>SM_TSLB-30T_001</t>
  </si>
  <si>
    <t>SM_TSLB-30V_001</t>
  </si>
  <si>
    <t>SM_TSLB-8N_001</t>
  </si>
  <si>
    <t>SM_TSLB-8T_001</t>
  </si>
  <si>
    <t>SM_TSLB-8V_001</t>
  </si>
  <si>
    <t>SM_VATTUPHU-FPD-6060_001</t>
  </si>
  <si>
    <t>SM_VDB1/SC_001</t>
  </si>
  <si>
    <t>SM_VM1_001</t>
  </si>
  <si>
    <t>SM_VM1_002</t>
  </si>
  <si>
    <t>SM_VM2_001</t>
  </si>
  <si>
    <t>SM_VT25_001</t>
  </si>
  <si>
    <t>SM_VT3X9_001</t>
  </si>
  <si>
    <t>SM_VT6X25_001</t>
  </si>
  <si>
    <t>SM_WIRE-FPD-6060_001</t>
  </si>
  <si>
    <t>SM_WP-12_001</t>
  </si>
  <si>
    <t>SM_WP-18_001</t>
  </si>
  <si>
    <t>SM_WP-24_001</t>
  </si>
  <si>
    <t>SM_WP-36_001</t>
  </si>
  <si>
    <t>SM_WP-4_001</t>
  </si>
  <si>
    <t>SM_WP-6_001</t>
  </si>
  <si>
    <t>SM_WP-9_001</t>
  </si>
  <si>
    <t>SM_WS1/SC_001</t>
  </si>
  <si>
    <t>SM_WS1/ZB_001</t>
  </si>
  <si>
    <t>SM_WV1/SC_001</t>
  </si>
  <si>
    <t>SM_X_001</t>
  </si>
  <si>
    <t>SM_XB_001</t>
  </si>
  <si>
    <t>SM-DR-9/E</t>
  </si>
  <si>
    <t>SM-DR-9/E_001</t>
  </si>
  <si>
    <t>SMPL-12030</t>
  </si>
  <si>
    <t>SMPL-12030_001</t>
  </si>
  <si>
    <t>SMPL-3030</t>
  </si>
  <si>
    <t>SMPL-3030_001</t>
  </si>
  <si>
    <t>SMPL-6030</t>
  </si>
  <si>
    <t>SMPL-6030_001</t>
  </si>
  <si>
    <t>SMPL-6060</t>
  </si>
  <si>
    <t>SMPL-6060_001</t>
  </si>
  <si>
    <t>SMS1/SC</t>
  </si>
  <si>
    <t>SMS1/SC_001</t>
  </si>
  <si>
    <t>SMS1/ZB</t>
  </si>
  <si>
    <t>SMS1/ZB_001</t>
  </si>
  <si>
    <t>Total Received Qty</t>
  </si>
  <si>
    <t>PACK</t>
  </si>
  <si>
    <t>PPACK</t>
  </si>
  <si>
    <t>SO THUNG</t>
  </si>
  <si>
    <t>SO PALLET</t>
  </si>
  <si>
    <t>Updated By</t>
  </si>
  <si>
    <t>THUNG LE</t>
  </si>
  <si>
    <t>PO</t>
  </si>
  <si>
    <t>SO LUONG</t>
  </si>
  <si>
    <t>QUY CACH XEP</t>
  </si>
  <si>
    <t>Status</t>
  </si>
  <si>
    <t>Date Created</t>
  </si>
  <si>
    <t>Grand Total</t>
  </si>
  <si>
    <t>Sum of PACK</t>
  </si>
  <si>
    <t>SM_HBV2-80T_002</t>
  </si>
  <si>
    <t>PK_LE</t>
  </si>
  <si>
    <t>SL_LE</t>
  </si>
  <si>
    <t>LIST KIỂM HÀNG CONT</t>
  </si>
  <si>
    <t>TONG CONG</t>
  </si>
  <si>
    <t>SM_A6M/1_002</t>
  </si>
  <si>
    <t>00002</t>
  </si>
  <si>
    <t>00003</t>
  </si>
  <si>
    <t xml:space="preserve"> </t>
  </si>
  <si>
    <t>DANH SÁCH PALLET BLOCK CỦA CONT</t>
  </si>
  <si>
    <t>SM_A6M/2_002</t>
  </si>
  <si>
    <t>SM_A601BV/S_001</t>
  </si>
  <si>
    <t>SM_A602BV/S_001</t>
  </si>
  <si>
    <t>SM_A603BV/S_001</t>
  </si>
  <si>
    <t>SM_A601BV/G_001</t>
  </si>
  <si>
    <t>SM_A602BV/G_001</t>
  </si>
  <si>
    <t>SM_A603BV/G_001</t>
  </si>
  <si>
    <t>SM_AM6S_001</t>
  </si>
  <si>
    <t>SM_AMHP-3S_001</t>
  </si>
  <si>
    <t>SM_A6M/1_003</t>
  </si>
  <si>
    <t>NOTE</t>
  </si>
  <si>
    <t>SM_DLF-7V_002</t>
  </si>
  <si>
    <t>SM_DLF-7T_002</t>
  </si>
  <si>
    <t>SM_DLF-12V_002</t>
  </si>
  <si>
    <t>SM_DLF-12T_002</t>
  </si>
  <si>
    <t>STT</t>
  </si>
  <si>
    <t>SM_GT8-120N_002</t>
  </si>
  <si>
    <t>SM_GT8-60N_002</t>
  </si>
  <si>
    <t>UPDATE 27.05.2025</t>
  </si>
  <si>
    <t>SM_FLM-3PK_002</t>
  </si>
  <si>
    <t>SM_FLM-3OR_002</t>
  </si>
  <si>
    <t>SM_FLM-3PU_002</t>
  </si>
  <si>
    <t>SM_FLM-2/B35_002</t>
  </si>
  <si>
    <t>SM_FLM-2/P45_002</t>
  </si>
  <si>
    <t>SM_RPL3-7/3C_002</t>
  </si>
  <si>
    <t>UPDATE 29.05.2025</t>
  </si>
  <si>
    <t>BOOKING</t>
  </si>
  <si>
    <t>CS</t>
  </si>
  <si>
    <t>ITEM</t>
  </si>
  <si>
    <t>NHIỀU PO</t>
  </si>
  <si>
    <t>CHECK VALUE</t>
  </si>
  <si>
    <t>SM_DLB-7N_004</t>
  </si>
  <si>
    <t>UPDATE 17.06.2025</t>
  </si>
  <si>
    <t>UPDATE 10.06.2025</t>
  </si>
  <si>
    <t>SM_DLT-5T_003</t>
  </si>
  <si>
    <t>UPDATE 04.06.2025</t>
  </si>
  <si>
    <t>SM_DB3_001</t>
  </si>
  <si>
    <t>UPDATE 09.06.2025</t>
  </si>
  <si>
    <t>SM_DB5_001</t>
  </si>
  <si>
    <t>SM_DLA2-7_001</t>
  </si>
  <si>
    <t>Row Labels</t>
  </si>
  <si>
    <t>XPO</t>
  </si>
  <si>
    <t>PKLE</t>
  </si>
  <si>
    <t>SLLE</t>
  </si>
  <si>
    <t>PL</t>
  </si>
  <si>
    <t>NO.</t>
  </si>
  <si>
    <t>Sum of Expected Qty</t>
  </si>
  <si>
    <t>SITEM</t>
  </si>
  <si>
    <t>COUNT PLLE</t>
  </si>
  <si>
    <t>TONG SL CAI</t>
  </si>
  <si>
    <t>LẤY THÊM</t>
  </si>
  <si>
    <t>THÙNG</t>
  </si>
  <si>
    <t>MÃ HÀNG</t>
  </si>
  <si>
    <t>QTY EA</t>
  </si>
  <si>
    <t>CHECK</t>
  </si>
  <si>
    <t>LẤY MẪU KỸ THUẬT</t>
  </si>
  <si>
    <t>60/12/24-KZ</t>
  </si>
  <si>
    <t>61/04/25-KZ</t>
  </si>
  <si>
    <t>XẾP HÀNG CONT</t>
  </si>
  <si>
    <t>SM_B6123_001</t>
  </si>
  <si>
    <t>update 23.06.2025</t>
  </si>
  <si>
    <t>MA HANG</t>
  </si>
  <si>
    <t>SM_DLV-7/3C_004</t>
  </si>
  <si>
    <t>SM_DLV-12N_004</t>
  </si>
  <si>
    <t>SM_DLB-9V_004</t>
  </si>
  <si>
    <t>SM_TS-40_003</t>
  </si>
  <si>
    <t>SM_TS-48_003</t>
  </si>
  <si>
    <t>UPDATE 25.06.2025</t>
  </si>
  <si>
    <t>TONG THUNG</t>
  </si>
  <si>
    <t>SM_MWP-118_101</t>
  </si>
  <si>
    <t>SM_MWP-136_101</t>
  </si>
  <si>
    <t>SM_MWP-218_101</t>
  </si>
  <si>
    <t>SM_MWP-236_101</t>
  </si>
  <si>
    <t>SM_BHO-6_001</t>
  </si>
  <si>
    <t>SM_BHO-12_001</t>
  </si>
  <si>
    <t>UPDATE 30.06.2025</t>
  </si>
  <si>
    <t>COUNT KIEN HANG</t>
  </si>
  <si>
    <t>ORDER</t>
  </si>
  <si>
    <t>NGÀY</t>
  </si>
  <si>
    <t>LEEDARSON 1089</t>
  </si>
  <si>
    <t>LEEDARSON 1061</t>
  </si>
  <si>
    <t>03.07.2025</t>
  </si>
  <si>
    <t>STATUS</t>
  </si>
  <si>
    <t>NOT</t>
  </si>
  <si>
    <t>DONE</t>
  </si>
  <si>
    <t>NOTES</t>
  </si>
  <si>
    <t>02.07.2025</t>
  </si>
  <si>
    <t>CIXI SUPLUX 25</t>
  </si>
  <si>
    <t>04.07.2025</t>
  </si>
  <si>
    <t>LEEDARSON 1088</t>
  </si>
  <si>
    <t>LEEDARSON 1096</t>
  </si>
  <si>
    <t>LEEDARSON 1095</t>
  </si>
  <si>
    <t>07.07.2025</t>
  </si>
  <si>
    <t>08.07.2025</t>
  </si>
  <si>
    <t>SONGRI 103</t>
  </si>
  <si>
    <t>KLITE 172</t>
  </si>
  <si>
    <t>HENT 48</t>
  </si>
  <si>
    <t>09.07.2025</t>
  </si>
  <si>
    <t>SONGRI 104</t>
  </si>
  <si>
    <t>ZHL 21</t>
  </si>
  <si>
    <t>KLITE 170</t>
  </si>
  <si>
    <t>10.07.2025</t>
  </si>
  <si>
    <t>LEEDARSON 1090</t>
  </si>
  <si>
    <t>LEEDARSON 1097</t>
  </si>
  <si>
    <t>11.07.2025</t>
  </si>
  <si>
    <t>BANQ 368-1</t>
  </si>
  <si>
    <t>49/06/25-HTN</t>
  </si>
  <si>
    <t>LEGEND 128</t>
  </si>
  <si>
    <t>KRIPAL 24</t>
  </si>
  <si>
    <t>SM_FLM-3RD_002</t>
  </si>
  <si>
    <t>SM_FLM-3YL_002</t>
  </si>
  <si>
    <t>SM_FLM-3GR_002</t>
  </si>
  <si>
    <t>SM_LCD-3V_001</t>
  </si>
  <si>
    <t>SM_LCD-5V_001</t>
  </si>
  <si>
    <t>SM_LCD-7V_001</t>
  </si>
  <si>
    <t>12.07.2025</t>
  </si>
  <si>
    <t>KLITE 169</t>
  </si>
  <si>
    <t>UPDATE 12.07.2025</t>
  </si>
  <si>
    <t>LEEDARSON 1094</t>
  </si>
  <si>
    <t>STARLUX 09</t>
  </si>
  <si>
    <t>STARLUX 06</t>
  </si>
  <si>
    <t>KLITE 171</t>
  </si>
  <si>
    <t>14.07.2025</t>
  </si>
  <si>
    <t>KLITE 173</t>
  </si>
  <si>
    <t>LEEDARSON 1087</t>
  </si>
  <si>
    <t>LEEDARSON 1050</t>
  </si>
  <si>
    <t>LEEDARSON 1092</t>
  </si>
  <si>
    <t>16.07.2025</t>
  </si>
  <si>
    <t>KLITE 175</t>
  </si>
  <si>
    <t>18.07.2025</t>
  </si>
  <si>
    <t>19.07.2025</t>
  </si>
  <si>
    <t>SONGRI 105</t>
  </si>
  <si>
    <t>SONGRI 106</t>
  </si>
  <si>
    <t>JINLING 15</t>
  </si>
  <si>
    <t>21.07.2025</t>
  </si>
  <si>
    <t>SINCERE 33</t>
  </si>
  <si>
    <t>22.07.2025</t>
  </si>
  <si>
    <t>LEEDARSON 1078</t>
  </si>
  <si>
    <t>LEEDARSON 1060</t>
  </si>
  <si>
    <t>LEEDARSON 1086</t>
  </si>
  <si>
    <t>23.07.2025</t>
  </si>
  <si>
    <t>KLITE 174</t>
  </si>
  <si>
    <t>WEIDASI 22</t>
  </si>
  <si>
    <t>SM_RPL-18T/MS_101</t>
  </si>
  <si>
    <t>UPDATE 24.07.2025</t>
  </si>
  <si>
    <t>24.07.2025</t>
  </si>
  <si>
    <t>LEEDARSON 1079</t>
  </si>
  <si>
    <t>SM_FPD-6060/50T_001</t>
  </si>
  <si>
    <t>SM_FPD-6060/60T_001</t>
  </si>
  <si>
    <t>SM_FPD-6060/SC_001</t>
  </si>
  <si>
    <t>BANQ 368</t>
  </si>
  <si>
    <t>SM_FPD-12060T_001</t>
  </si>
  <si>
    <t>UPDATE 25.07.2025</t>
  </si>
  <si>
    <t>25.07.2025</t>
  </si>
  <si>
    <t>LEEDARSON 1081</t>
  </si>
  <si>
    <t>BANQ 370</t>
  </si>
  <si>
    <t>LEEDARSON 1080</t>
  </si>
  <si>
    <t>26.07.2025</t>
  </si>
  <si>
    <t xml:space="preserve">	AXD 07</t>
  </si>
  <si>
    <t>BANQ 369</t>
  </si>
  <si>
    <t>SM_MRL-10/3C_001</t>
  </si>
  <si>
    <t>SM_MRL-8/3C_001</t>
  </si>
  <si>
    <t>UPDATE 26.07.2025</t>
  </si>
  <si>
    <t>CH 03</t>
  </si>
  <si>
    <t>CH 04</t>
  </si>
  <si>
    <t>BENHAO 19</t>
  </si>
  <si>
    <t>28.07.2025</t>
  </si>
  <si>
    <t>LEGEND 129</t>
  </si>
  <si>
    <t>29.07.2025</t>
  </si>
  <si>
    <t>44/07/25-KM</t>
  </si>
  <si>
    <t>LEGEND 130</t>
  </si>
  <si>
    <t>SONGRI 107</t>
  </si>
  <si>
    <t xml:space="preserve">49/06/25-HTN	</t>
  </si>
  <si>
    <t>30.07.2025</t>
  </si>
  <si>
    <t>SINCERE 34</t>
  </si>
  <si>
    <t>LONGJING 22</t>
  </si>
  <si>
    <t>LEEDARSON 1082</t>
  </si>
  <si>
    <t>31.07.2025</t>
  </si>
  <si>
    <t>01.08.2025</t>
  </si>
  <si>
    <t>LEEDARSON 1109</t>
  </si>
  <si>
    <t>SONGRI 108</t>
  </si>
  <si>
    <t>LEEDARSON 1105</t>
  </si>
  <si>
    <t>02.08.2025</t>
  </si>
  <si>
    <t>KLITE 176</t>
  </si>
  <si>
    <t>KEZE 62</t>
  </si>
  <si>
    <t>SM_TS-60_003</t>
  </si>
  <si>
    <t>SM_VDB2/SC_001</t>
  </si>
  <si>
    <t>SM_VDB3/SC_001</t>
  </si>
  <si>
    <t>update 04.08.2025</t>
  </si>
  <si>
    <t>NARKEN 48</t>
  </si>
  <si>
    <t>04.08.2025</t>
  </si>
  <si>
    <t>LEEDARSON 1099</t>
  </si>
  <si>
    <t>SM_TSLB2-20V_002</t>
  </si>
  <si>
    <t>05.08.2025</t>
  </si>
  <si>
    <t>LEEDARSON 1101</t>
  </si>
  <si>
    <t>LEEDARSON 1102</t>
  </si>
  <si>
    <t>WEIDASI 23</t>
  </si>
  <si>
    <t>06.08.2025</t>
  </si>
  <si>
    <t>SONGRI 109</t>
  </si>
  <si>
    <t>07.08.2025</t>
  </si>
  <si>
    <t>KLITE 183</t>
  </si>
  <si>
    <t>LEEDARSON 1017</t>
  </si>
  <si>
    <t>08.08.2025</t>
  </si>
  <si>
    <t>LEEDARSON 1124</t>
  </si>
  <si>
    <t>09.08.2025</t>
  </si>
  <si>
    <t>LEGEND 131</t>
  </si>
  <si>
    <t>LEEDARSON 1098</t>
  </si>
  <si>
    <t>11.08.2025</t>
  </si>
  <si>
    <t>LEGEND 133</t>
  </si>
  <si>
    <t xml:space="preserve"> LEEDARSON 1121</t>
  </si>
  <si>
    <t>SM_DLT-12V_004</t>
  </si>
  <si>
    <t>UPDATE 13.08.2025</t>
  </si>
  <si>
    <t>13.08.2025</t>
  </si>
  <si>
    <t>LEEDARSON 1106</t>
  </si>
  <si>
    <t>BANQ 371</t>
  </si>
  <si>
    <t>14.08.2025</t>
  </si>
  <si>
    <t>KLITE 181</t>
  </si>
  <si>
    <t>KLITE 182</t>
  </si>
  <si>
    <t>15.08.2025</t>
  </si>
  <si>
    <t>KRIPAL 26</t>
  </si>
  <si>
    <t>101/02/24-KS(HANGBH)</t>
  </si>
  <si>
    <t>LEEDARSON 1107</t>
  </si>
  <si>
    <t>SM_DLF2-40T_003</t>
  </si>
  <si>
    <t>update 16.08.2025</t>
  </si>
  <si>
    <t>16.08.2025</t>
  </si>
  <si>
    <t>LEEDARSON 1122</t>
  </si>
  <si>
    <t>LEEDARSON 1103</t>
  </si>
  <si>
    <t>18.08.2025</t>
  </si>
  <si>
    <t>LEEDARSON 1019</t>
  </si>
  <si>
    <t>LEEDARSON 1064</t>
  </si>
  <si>
    <t>20.08.2025</t>
  </si>
  <si>
    <t>LEEDARSON 1074</t>
  </si>
  <si>
    <t>LEEDARSON 1123</t>
  </si>
  <si>
    <t>21.08.2025</t>
  </si>
  <si>
    <t>KLITE 185-1</t>
  </si>
  <si>
    <t>CONT ONG HUNG</t>
  </si>
  <si>
    <t>SM_SFLD2-100T_002</t>
  </si>
  <si>
    <t>UPDATE 21.08.2025</t>
  </si>
  <si>
    <t>KIMSANG</t>
  </si>
  <si>
    <t>22.08.2025</t>
  </si>
  <si>
    <t>LEEDARSON 1108</t>
  </si>
  <si>
    <t>23.08.2025</t>
  </si>
  <si>
    <t>SONGRI 110</t>
  </si>
  <si>
    <t>BANQ 372</t>
  </si>
  <si>
    <t>25.08.2025</t>
  </si>
  <si>
    <t>KLITE 180</t>
  </si>
  <si>
    <t>LEEDARSON 1104</t>
  </si>
  <si>
    <t>SM_FPD3-6060/40T_001</t>
  </si>
  <si>
    <t>UPDATE 25.08.2025</t>
  </si>
  <si>
    <t>SM_BKD-20_004</t>
  </si>
  <si>
    <t>SM_BKG-20_004</t>
  </si>
  <si>
    <t>SM_BKR-20_004</t>
  </si>
  <si>
    <t>SM_BKY-20_004</t>
  </si>
  <si>
    <t>SM_BKW-20_004</t>
  </si>
  <si>
    <t>LEEDARSON 1091</t>
  </si>
  <si>
    <t>26.08.2025</t>
  </si>
  <si>
    <t>BANQ 379</t>
  </si>
  <si>
    <t>KLITE 179</t>
  </si>
  <si>
    <t>27.08.2025</t>
  </si>
  <si>
    <t>KRIPAL 25</t>
  </si>
  <si>
    <t>KLITE 184</t>
  </si>
  <si>
    <t>28.08.2025</t>
  </si>
  <si>
    <t>YUNQUAN 06</t>
  </si>
  <si>
    <t>KIMSANG-BH</t>
  </si>
  <si>
    <t>03.09.2025</t>
  </si>
  <si>
    <t>LEEDARSON 1100</t>
  </si>
  <si>
    <t>KLITE 186</t>
  </si>
  <si>
    <t xml:space="preserve"> OUYASHI 08</t>
  </si>
  <si>
    <t>KLITE 186-1</t>
  </si>
  <si>
    <t>KHONG XUAT</t>
  </si>
  <si>
    <t>04.09.2025</t>
  </si>
  <si>
    <t>LEEDARSON 1126</t>
  </si>
  <si>
    <t>SM_BN-36T_003</t>
  </si>
  <si>
    <t>SM_BN-36V_003</t>
  </si>
  <si>
    <t>SM_BN-36N_003</t>
  </si>
  <si>
    <t>SM_BN-18T_003</t>
  </si>
  <si>
    <t>SM_BN-18N_003</t>
  </si>
  <si>
    <t>UPDATE 04.09.2025</t>
  </si>
  <si>
    <t>LEEDARSON 1127</t>
  </si>
  <si>
    <t>LEEDARSON 1110</t>
  </si>
  <si>
    <t>05.09.2025</t>
  </si>
  <si>
    <t>LEEDARSON 1112</t>
  </si>
  <si>
    <t>LEEDARSON 1115</t>
  </si>
  <si>
    <t>06.09.2025</t>
  </si>
  <si>
    <t>LEEDARSON 1116</t>
  </si>
  <si>
    <t>LEEDARSON 1128</t>
  </si>
  <si>
    <t xml:space="preserve"> SONGRI 112</t>
  </si>
  <si>
    <t>SM_TL14-RD_001</t>
  </si>
  <si>
    <t>SM_TL14-PK_001</t>
  </si>
  <si>
    <t>UPDATE 06.09.2025</t>
  </si>
  <si>
    <t>SINCERE 35</t>
  </si>
  <si>
    <t>08.09.2025</t>
  </si>
  <si>
    <t>HUNGTIN</t>
  </si>
  <si>
    <t>BANQ 380</t>
  </si>
  <si>
    <t>LEEDARSON 1113</t>
  </si>
  <si>
    <t>SM_FLM-4/ST64_002</t>
  </si>
  <si>
    <t>SM_FLM-6/A60_002</t>
  </si>
  <si>
    <t>UPDATE 08.09.2025</t>
  </si>
  <si>
    <t>09.09.2025</t>
  </si>
  <si>
    <t>LEEDARSON 1119</t>
  </si>
  <si>
    <t>BANQ 376</t>
  </si>
  <si>
    <t>SM_TL8_002</t>
  </si>
  <si>
    <t>UPDATE 09.09.2025</t>
  </si>
  <si>
    <t>10.09.2025</t>
  </si>
  <si>
    <t>LEEDARSON 1129</t>
  </si>
  <si>
    <t>HIGHSTAR 04</t>
  </si>
  <si>
    <t>LEEDARSON 1130</t>
  </si>
  <si>
    <t>11.09.2025</t>
  </si>
  <si>
    <t>WEIDASI 24</t>
  </si>
  <si>
    <t>KEZE 63</t>
  </si>
  <si>
    <t>12.09.2025</t>
  </si>
  <si>
    <t>KLITE 178</t>
  </si>
  <si>
    <t>13.09.2025</t>
  </si>
  <si>
    <t xml:space="preserve"> WEIDASI 25</t>
  </si>
  <si>
    <t xml:space="preserve"> LEGEND 132</t>
  </si>
  <si>
    <t>BANQ 367 - HANGMAU</t>
  </si>
  <si>
    <t>15.09.2025</t>
  </si>
  <si>
    <t>LEEDARSON 1132</t>
  </si>
  <si>
    <t>LEEDARSON 1131</t>
  </si>
  <si>
    <t>16.09.2025</t>
  </si>
  <si>
    <t>LEEDARSON 1120</t>
  </si>
  <si>
    <t>SEITY 01</t>
  </si>
  <si>
    <t>SM_STL-2V/1_001</t>
  </si>
  <si>
    <t>UPDATE 16.09.2025</t>
  </si>
  <si>
    <t>SM_STL-2V/2_001</t>
  </si>
  <si>
    <t>SM_STL-2V/3_001</t>
  </si>
  <si>
    <t>SM_STL-2V/4_001</t>
  </si>
  <si>
    <t>SM_STL-2V/5_001</t>
  </si>
  <si>
    <t>17.09.2025</t>
  </si>
  <si>
    <t>KRIPAL 27</t>
  </si>
  <si>
    <t>RECEIPTKEY</t>
  </si>
  <si>
    <t>PACKINGSLIPNUMBER</t>
  </si>
  <si>
    <t>SUSR2</t>
  </si>
  <si>
    <t>wmwhse1</t>
  </si>
  <si>
    <t>Count of SUSR1</t>
  </si>
  <si>
    <t>18.09.2025</t>
  </si>
  <si>
    <t>BANQ 381</t>
  </si>
  <si>
    <t>SONGRI 113</t>
  </si>
  <si>
    <t>19.09.2025</t>
  </si>
  <si>
    <t>LEEDARSON 1125</t>
  </si>
  <si>
    <t>BANQ 382</t>
  </si>
  <si>
    <t>20.09.2025</t>
  </si>
  <si>
    <t>LENGEND 134</t>
  </si>
  <si>
    <t>FEIHE 03</t>
  </si>
  <si>
    <t>25.09.2025</t>
  </si>
  <si>
    <t>LEEDARSON 1133</t>
  </si>
  <si>
    <t>JINLING 16</t>
  </si>
  <si>
    <t>26.09.2025</t>
  </si>
  <si>
    <t>27.09.2025</t>
  </si>
  <si>
    <t>KEZE 65</t>
  </si>
  <si>
    <t>29.09.2025</t>
  </si>
  <si>
    <t>GIAO X4</t>
  </si>
  <si>
    <t>LEEDARSON 1111</t>
  </si>
  <si>
    <t>SM_FPD-3030/SC_001</t>
  </si>
  <si>
    <t>UPDATE 30.09.2025</t>
  </si>
  <si>
    <t>02.10.2025</t>
  </si>
  <si>
    <t>LEEDARSON 1155</t>
  </si>
  <si>
    <t>03.10.2025</t>
  </si>
  <si>
    <t xml:space="preserve"> SINCERE 36</t>
  </si>
  <si>
    <t xml:space="preserve"> SINCERE 37</t>
  </si>
  <si>
    <t>04.10.2025</t>
  </si>
  <si>
    <t>LEEDARSON 1114</t>
  </si>
  <si>
    <t>SỐ LƯỢNG HÀNG VỀ</t>
  </si>
  <si>
    <t>06.10.2025</t>
  </si>
  <si>
    <t>LEEDARSON 1118</t>
  </si>
  <si>
    <t>08.10.2025</t>
  </si>
  <si>
    <t>BANQ 383</t>
  </si>
  <si>
    <t>09.10.2025</t>
  </si>
  <si>
    <t>BANQ 377</t>
  </si>
  <si>
    <t>10.10.2025</t>
  </si>
  <si>
    <t>BANQ 373</t>
  </si>
  <si>
    <t>11.10.2025</t>
  </si>
  <si>
    <t>LEEDARSON 1117</t>
  </si>
  <si>
    <t>LEEDARSON 1161</t>
  </si>
  <si>
    <t xml:space="preserve">NGÀY </t>
  </si>
  <si>
    <t>GHI CHÚ</t>
  </si>
  <si>
    <t>13.10.2025</t>
  </si>
  <si>
    <t>LEEDARSON 1166</t>
  </si>
  <si>
    <t>15.10.2025</t>
  </si>
  <si>
    <t>BANQ 378</t>
  </si>
  <si>
    <t>17.10.2025</t>
  </si>
  <si>
    <t>LEEDARSON 1136</t>
  </si>
  <si>
    <t>ZHL 22</t>
  </si>
  <si>
    <t>20.10.2025</t>
  </si>
  <si>
    <t>LEEDARSON 1165</t>
  </si>
  <si>
    <t>HANG CANG</t>
  </si>
  <si>
    <t>LANCESUN 05</t>
  </si>
  <si>
    <t>21.10.2025</t>
  </si>
  <si>
    <t>LEEDARSON 1158</t>
  </si>
  <si>
    <t>LEEDARSON 1159</t>
  </si>
  <si>
    <t>22.10.2025</t>
  </si>
  <si>
    <t>LEEDARSON 1154</t>
  </si>
  <si>
    <t>LEEDARSON 1156</t>
  </si>
  <si>
    <t>SM_SSPL-24T/MS_002</t>
  </si>
  <si>
    <t>UPDATE 03.10.2025</t>
  </si>
  <si>
    <t>25.10.2025</t>
  </si>
  <si>
    <t>LEEDARSON 1157</t>
  </si>
  <si>
    <t>LEEDARSON 1168</t>
  </si>
  <si>
    <t>SM_TL2_101</t>
  </si>
  <si>
    <t>SM_LDL2_001</t>
  </si>
  <si>
    <t>SM_NL2_001</t>
  </si>
  <si>
    <t>SM_NL3_001</t>
  </si>
  <si>
    <t>SM_LRD1_001</t>
  </si>
  <si>
    <t>BANQ 373-1</t>
  </si>
  <si>
    <t>27.10.2025</t>
  </si>
  <si>
    <t>BENHAO 20</t>
  </si>
  <si>
    <t>SM_TBS1_101</t>
  </si>
  <si>
    <t>KLITE 191 - CONT 1</t>
  </si>
  <si>
    <t>KLITE 191 - CONT 2</t>
  </si>
  <si>
    <t>28.10.2025</t>
  </si>
  <si>
    <t>KLITE 192 - CONT 2</t>
  </si>
  <si>
    <t>29.10.2025</t>
  </si>
  <si>
    <t>LEEDARSON 1137</t>
  </si>
  <si>
    <t>KLITE 192 - CONT 1</t>
  </si>
  <si>
    <t>SM_FLM-4/A60_002</t>
  </si>
  <si>
    <t>update 30.10.2025</t>
  </si>
  <si>
    <t>SM_DLB-5V_004</t>
  </si>
  <si>
    <t>update 31.10.2025</t>
  </si>
  <si>
    <t>31.10.2025</t>
  </si>
  <si>
    <t>HENT 49</t>
  </si>
  <si>
    <t>01.11.2025</t>
  </si>
  <si>
    <t>LEEDARSON 1145</t>
  </si>
  <si>
    <t>03.11.2025</t>
  </si>
  <si>
    <t>LEEDARSON 1151</t>
  </si>
  <si>
    <t>04.11.2025</t>
  </si>
  <si>
    <t>LEEDARSON 1167</t>
  </si>
  <si>
    <t>LEEDARSON 1144</t>
  </si>
  <si>
    <t>KLITE 188</t>
  </si>
  <si>
    <t>05.11.2025</t>
  </si>
  <si>
    <t>LEEDARSON 1162</t>
  </si>
  <si>
    <t>06.11.2025</t>
  </si>
  <si>
    <t>OUYASHI 09</t>
  </si>
  <si>
    <t>07.11.2025</t>
  </si>
  <si>
    <t xml:space="preserve"> KLITE 193</t>
  </si>
  <si>
    <t>08.11.2025</t>
  </si>
  <si>
    <t>LEEDARSON 1150</t>
  </si>
  <si>
    <t>10.11.2025</t>
  </si>
  <si>
    <t>LEGEND 135</t>
  </si>
  <si>
    <t>LEEDARSON 1152</t>
  </si>
  <si>
    <t xml:space="preserve"> KLITE 194</t>
  </si>
  <si>
    <t>11.11.2025</t>
  </si>
  <si>
    <t>LEEDARSON 1160</t>
  </si>
  <si>
    <t>12.11.2025</t>
  </si>
  <si>
    <t xml:space="preserve"> KLITE 195</t>
  </si>
  <si>
    <t>00004</t>
  </si>
  <si>
    <t>update 19.11.2025</t>
  </si>
  <si>
    <t>SM_A30M_002</t>
  </si>
  <si>
    <t>UPDATE 22/11/2025, 12:49:56</t>
  </si>
  <si>
    <t>SM_TA8_002</t>
  </si>
  <si>
    <t>UPDATE 27.11.2025</t>
  </si>
  <si>
    <t>SM_LB-9T/MS_002</t>
  </si>
  <si>
    <t>UPDATE 02.12.2025</t>
  </si>
  <si>
    <t>SM_LS3-2835AC-120-T_001</t>
  </si>
  <si>
    <t>SM_LS3-2835AC-120-V_001</t>
  </si>
  <si>
    <t>SM_BCL3-2835AC-120_001</t>
  </si>
  <si>
    <t>UPDATE 05.12.2025</t>
  </si>
  <si>
    <t>SM_DLTL-9T_004</t>
  </si>
  <si>
    <t>SM_A6M/1_004</t>
  </si>
  <si>
    <t>SM_A6M/1V_002</t>
  </si>
  <si>
    <t>UPDATE 08.12.2025</t>
  </si>
  <si>
    <t>SM_A6M/2V_002</t>
  </si>
  <si>
    <t>SM_A30/1_002</t>
  </si>
  <si>
    <t>00005</t>
  </si>
  <si>
    <t>00006</t>
  </si>
  <si>
    <t>New</t>
  </si>
  <si>
    <t>update pack 13.12.2025</t>
  </si>
  <si>
    <t>SM_EML2_101</t>
  </si>
  <si>
    <t>THÊM SL THÙNG (NHIỀU PO)</t>
  </si>
  <si>
    <t>SL CÁI
 (1 THÙNG)</t>
  </si>
  <si>
    <t>SM_FPD3-6060T_003</t>
  </si>
  <si>
    <t>UPDATE 25.12.2025</t>
  </si>
  <si>
    <t>Check MinQty Required ( &gt;= 5 T)</t>
  </si>
  <si>
    <t>Column Name</t>
  </si>
  <si>
    <t>GenericKey</t>
  </si>
  <si>
    <t>STORERKEY</t>
  </si>
  <si>
    <t>WAREHOUSEREFERENCE</t>
  </si>
  <si>
    <t>EXPECTEDRECEIPTDATE</t>
  </si>
  <si>
    <t>EXTERNRECEIPTKEY</t>
  </si>
  <si>
    <t>POKEY</t>
  </si>
  <si>
    <t>CARRIERNAME</t>
  </si>
  <si>
    <t>CARRIERREFERENCE</t>
  </si>
  <si>
    <t>CONTAINERKEY</t>
  </si>
  <si>
    <t>RECEIPTDATE</t>
  </si>
  <si>
    <t>TYPE</t>
  </si>
  <si>
    <t>CLOSEDDATE</t>
  </si>
  <si>
    <t>VERIFIEDCLOSEDDATE</t>
  </si>
  <si>
    <t>EARLIESTSHIPDATE</t>
  </si>
  <si>
    <t>REQUIREDSHIPDATE</t>
  </si>
  <si>
    <t>ScheduledShipDate</t>
  </si>
  <si>
    <t>ActualShipDate</t>
  </si>
  <si>
    <t>EARLIESTDELIVERYDATE</t>
  </si>
  <si>
    <t>REQUIREDDELIVERYDATE</t>
  </si>
  <si>
    <t>ArrivalDateTime</t>
  </si>
  <si>
    <t>ACTUALDEPARTUREDATE</t>
  </si>
  <si>
    <t>DOOR</t>
  </si>
  <si>
    <t>APPOINTMENTKEY</t>
  </si>
  <si>
    <t>EFFECTIVEDATE</t>
  </si>
  <si>
    <t>EXTERNALRECEIPTKEY2</t>
  </si>
  <si>
    <t>GrossWeight</t>
  </si>
  <si>
    <t>TotalVolume</t>
  </si>
  <si>
    <t>TRANSPORTATIONSTATUS</t>
  </si>
  <si>
    <t>ADVICEDATE</t>
  </si>
  <si>
    <t>ADVICENUMBER</t>
  </si>
  <si>
    <t>ALLOWAUTORECEIPT</t>
  </si>
  <si>
    <t>RMA</t>
  </si>
  <si>
    <t>SUSR1</t>
  </si>
  <si>
    <t>SUSR3</t>
  </si>
  <si>
    <t>SUSR4</t>
  </si>
  <si>
    <t>SUSR5</t>
  </si>
  <si>
    <t>TRACKINVENTORYBY</t>
  </si>
  <si>
    <t>ShipFromAddressLine1</t>
  </si>
  <si>
    <t>ShipFromAddressLine2</t>
  </si>
  <si>
    <t>ShipFromAddressLine3</t>
  </si>
  <si>
    <t>ShipFromAddressLine4</t>
  </si>
  <si>
    <t>SHIPFROMADDRESSLINE5</t>
  </si>
  <si>
    <t>SHIPFROMADDRESSLINE6</t>
  </si>
  <si>
    <t>ShipFromCity</t>
  </si>
  <si>
    <t>ShipFromContact</t>
  </si>
  <si>
    <t>ShipFromEmail</t>
  </si>
  <si>
    <t>ShipFromISOCountry</t>
  </si>
  <si>
    <t>ShipFromPhone</t>
  </si>
  <si>
    <t>ShipFromState</t>
  </si>
  <si>
    <t>ShipFromZip</t>
  </si>
  <si>
    <t>SupplierCode</t>
  </si>
  <si>
    <t>SupplierName</t>
  </si>
  <si>
    <t>CARRIERADDRESS1</t>
  </si>
  <si>
    <t>CARRIERADDRESS2</t>
  </si>
  <si>
    <t>CARRIERCITY</t>
  </si>
  <si>
    <t>CarrierCountry</t>
  </si>
  <si>
    <t>CARRIERKEY</t>
  </si>
  <si>
    <t>CarrierPhone</t>
  </si>
  <si>
    <t>CARRIERSTATE</t>
  </si>
  <si>
    <t>CARRIERZIP</t>
  </si>
  <si>
    <t>DriverName</t>
  </si>
  <si>
    <t>TRAILERKEY</t>
  </si>
  <si>
    <t>TrailerNumber</t>
  </si>
  <si>
    <t>TrailerOwner</t>
  </si>
  <si>
    <t>TrailerType</t>
  </si>
  <si>
    <t>VEHICLENUMBER</t>
  </si>
  <si>
    <t>VEHICLEDATE</t>
  </si>
  <si>
    <t>TEMPERATURE</t>
  </si>
  <si>
    <t>CONTAINERQTY</t>
  </si>
  <si>
    <t>CONTAINERTYPE</t>
  </si>
  <si>
    <t>PRONUMBER</t>
  </si>
  <si>
    <t>DESTINATIONCOUNTRY</t>
  </si>
  <si>
    <t>INCOTERMS</t>
  </si>
  <si>
    <t>ORIGINCOUNTRY</t>
  </si>
  <si>
    <t>PLACEOFDELIVERY</t>
  </si>
  <si>
    <t>PLACEOFDISCHARGE</t>
  </si>
  <si>
    <t>PLACEOFLOADING</t>
  </si>
  <si>
    <t>TERMSNOTE</t>
  </si>
  <si>
    <t>TRANSPORTATIONMODE</t>
  </si>
  <si>
    <t>TRANSPORTATIONSERVICE</t>
  </si>
  <si>
    <t>CARRIERROUTESTATUS</t>
  </si>
  <si>
    <t>FREIGHTCHARGEAMOUNT</t>
  </si>
  <si>
    <t>TMFREIGHTCHARGECURRENCY</t>
  </si>
  <si>
    <t>FREIGHTCOSTAMOUNT</t>
  </si>
  <si>
    <t>TMFREIGHTCOSTCURRENCY</t>
  </si>
  <si>
    <t>ADDDATE</t>
  </si>
  <si>
    <t>ADDWHO</t>
  </si>
  <si>
    <t>EDITDATE</t>
  </si>
  <si>
    <t>EDITWHO</t>
  </si>
  <si>
    <t>SOURCELOCATION</t>
  </si>
  <si>
    <t>SOURCEVERSION</t>
  </si>
  <si>
    <t>REFERENCETYPE</t>
  </si>
  <si>
    <t>REFERENCEDOCUMENT</t>
  </si>
  <si>
    <t>REFERENCELOCATION</t>
  </si>
  <si>
    <t>REFERENCEVERSION</t>
  </si>
  <si>
    <t>USERAINBOW</t>
  </si>
  <si>
    <t>EXT_UDF_STR1</t>
  </si>
  <si>
    <t>EXT_UDF_STR2</t>
  </si>
  <si>
    <t>EXT_UDF_STR3</t>
  </si>
  <si>
    <t>EXT_UDF_STR4</t>
  </si>
  <si>
    <t>EXT_UDF_STR5</t>
  </si>
  <si>
    <t>EXT_UDF_STR6</t>
  </si>
  <si>
    <t>EXT_UDF_STR7</t>
  </si>
  <si>
    <t>EXT_UDF_STR8</t>
  </si>
  <si>
    <t>EXT_UDF_STR9</t>
  </si>
  <si>
    <t>EXT_UDF_STR10</t>
  </si>
  <si>
    <t>EXT_UDF_STR11</t>
  </si>
  <si>
    <t>EXT_UDF_STR12</t>
  </si>
  <si>
    <t>EXT_UDF_STR13</t>
  </si>
  <si>
    <t>EXT_UDF_STR14</t>
  </si>
  <si>
    <t>EXT_UDF_STR15</t>
  </si>
  <si>
    <t>EXT_UDF_DATE1</t>
  </si>
  <si>
    <t>EXT_UDF_DATE2</t>
  </si>
  <si>
    <t>EXT_UDF_DATE3</t>
  </si>
  <si>
    <t>EXT_UDF_DATE4</t>
  </si>
  <si>
    <t>EXT_UDF_DATE5</t>
  </si>
  <si>
    <t>EXT_UDF_FLOAT1</t>
  </si>
  <si>
    <t>EXT_UDF_FLOAT2</t>
  </si>
  <si>
    <t>EXT_UDF_FLOAT3</t>
  </si>
  <si>
    <t>EXT_UDF_FLOAT4</t>
  </si>
  <si>
    <t>EXT_UDF_FLOAT5</t>
  </si>
  <si>
    <t>EXT_UDF_LKUP1</t>
  </si>
  <si>
    <t>EXT_UDF_LKUP2</t>
  </si>
  <si>
    <t>EXT_UDF_LKUP3</t>
  </si>
  <si>
    <t>EXT_UDF_LKUP4</t>
  </si>
  <si>
    <t>EXT_UDF_LKUP5</t>
  </si>
  <si>
    <t>EXT_UDF_LKUP6</t>
  </si>
  <si>
    <t>EXT_UDF_LKUP7</t>
  </si>
  <si>
    <t>EXT_UDF_LKUP8</t>
  </si>
  <si>
    <t>EXT_UDF_LKUP9</t>
  </si>
  <si>
    <t>EXT_UDF_LKUP10</t>
  </si>
  <si>
    <t>Messages</t>
  </si>
  <si>
    <t>Owner</t>
  </si>
  <si>
    <t>Warehouse Reference</t>
  </si>
  <si>
    <t>Expected Receipt Date</t>
  </si>
  <si>
    <t>External Receipt</t>
  </si>
  <si>
    <t>Purchase Order</t>
  </si>
  <si>
    <t>Carrier Name</t>
  </si>
  <si>
    <t>Carrier Reference</t>
  </si>
  <si>
    <t>Container Reference</t>
  </si>
  <si>
    <t>Last Receipt Date</t>
  </si>
  <si>
    <t>Receipt Status</t>
  </si>
  <si>
    <t>Type</t>
  </si>
  <si>
    <t>Closed Date</t>
  </si>
  <si>
    <t>Verified Closed Date</t>
  </si>
  <si>
    <t>Earliest Ship Date</t>
  </si>
  <si>
    <t>Requested or Latest Ship Date</t>
  </si>
  <si>
    <t>Scheduled Ship Date</t>
  </si>
  <si>
    <t>Actual Ship Date</t>
  </si>
  <si>
    <t>Earliest Arrival Date</t>
  </si>
  <si>
    <t>Requested or Latest Arrival Date</t>
  </si>
  <si>
    <t>Actual Arrival Date</t>
  </si>
  <si>
    <t>Actual Departure Date</t>
  </si>
  <si>
    <t>Door</t>
  </si>
  <si>
    <t>Appointment Number</t>
  </si>
  <si>
    <t>Transaction Override Date</t>
  </si>
  <si>
    <t>Vendor Reference</t>
  </si>
  <si>
    <t>Total Volume</t>
  </si>
  <si>
    <t>Transportation Status</t>
  </si>
  <si>
    <t>Advice/GRN Date</t>
  </si>
  <si>
    <t>Advice/GRN Number</t>
  </si>
  <si>
    <t>Allow Auto Receipt:</t>
  </si>
  <si>
    <t>Packing Slip Number</t>
  </si>
  <si>
    <t>ASN Header UDF1</t>
  </si>
  <si>
    <t>ASN Header UDF2</t>
  </si>
  <si>
    <t>ASN Header UDF3</t>
  </si>
  <si>
    <t>ASN Header UDF4</t>
  </si>
  <si>
    <t>ASN Header UDF5</t>
  </si>
  <si>
    <t>Tracking for Case Receipts:</t>
  </si>
  <si>
    <t>Ship From Address Line 1:</t>
  </si>
  <si>
    <t>Ship From Address Line 2:</t>
  </si>
  <si>
    <t>Ship From Address Line 3:</t>
  </si>
  <si>
    <t>Ship From Address Line 4:</t>
  </si>
  <si>
    <t>Ship From Address Line 5:</t>
  </si>
  <si>
    <t>Ship From Address Line 6:</t>
  </si>
  <si>
    <t>Ship From City</t>
  </si>
  <si>
    <t>Contact:</t>
  </si>
  <si>
    <t>EMail:</t>
  </si>
  <si>
    <t>ISO Country Code:</t>
  </si>
  <si>
    <t>Phone:</t>
  </si>
  <si>
    <t>Ship From State</t>
  </si>
  <si>
    <t>Ship From Zip</t>
  </si>
  <si>
    <t>Ship From Code</t>
  </si>
  <si>
    <t>Ship From Name</t>
  </si>
  <si>
    <t>Address 1:</t>
  </si>
  <si>
    <t>Address 2:</t>
  </si>
  <si>
    <t>City:</t>
  </si>
  <si>
    <t>Country:</t>
  </si>
  <si>
    <t>Carrier Code</t>
  </si>
  <si>
    <t>State:</t>
  </si>
  <si>
    <t>Zip:</t>
  </si>
  <si>
    <t>Driver Name</t>
  </si>
  <si>
    <t>Trailer Key</t>
  </si>
  <si>
    <t>Trailer Number</t>
  </si>
  <si>
    <t>Trailer Owner</t>
  </si>
  <si>
    <t>Trailer Type</t>
  </si>
  <si>
    <t>Vehicle Number</t>
  </si>
  <si>
    <t>Loading Date</t>
  </si>
  <si>
    <t>Temperature</t>
  </si>
  <si>
    <t>Quantity:</t>
  </si>
  <si>
    <t>Type:</t>
  </si>
  <si>
    <t>Pro Number</t>
  </si>
  <si>
    <t>Country Of Destination</t>
  </si>
  <si>
    <t>Terms Of Delivery:</t>
  </si>
  <si>
    <t>Notes</t>
  </si>
  <si>
    <t>Country of Origin:</t>
  </si>
  <si>
    <t>Place of Delivery:</t>
  </si>
  <si>
    <t>Place of Discharge:</t>
  </si>
  <si>
    <t>Place of Loading:</t>
  </si>
  <si>
    <t>Terms Of Payment:</t>
  </si>
  <si>
    <t>Transportation Mode</t>
  </si>
  <si>
    <t>Transportation Service:</t>
  </si>
  <si>
    <t>TM Status</t>
  </si>
  <si>
    <t>Freight Charge Amount</t>
  </si>
  <si>
    <t>Freight Charge Currency</t>
  </si>
  <si>
    <t>Freight Cost Amount:</t>
  </si>
  <si>
    <t>Freight Cost Currency:</t>
  </si>
  <si>
    <t>Created By</t>
  </si>
  <si>
    <t>Receipt Source Location</t>
  </si>
  <si>
    <t>Source Version</t>
  </si>
  <si>
    <t>Initiating Document Type</t>
  </si>
  <si>
    <t>Initiating Document</t>
  </si>
  <si>
    <t>Initiating Document Location</t>
  </si>
  <si>
    <t>Reference Version</t>
  </si>
  <si>
    <t>Create Rainbow Pallets during Receiving:</t>
  </si>
  <si>
    <t>ASN Receipt Text UDF 1</t>
  </si>
  <si>
    <t>ASN Receipt Text UDF 2</t>
  </si>
  <si>
    <t>ASN Receipt Text UDF 3</t>
  </si>
  <si>
    <t>ASN Receipt Text UDF 4</t>
  </si>
  <si>
    <t>ASN Receipt Text UDF 5</t>
  </si>
  <si>
    <t>ASN Receipt Text UDF 6</t>
  </si>
  <si>
    <t>ASN Receipt Text UDF 7</t>
  </si>
  <si>
    <t>ASN Receipt Text UDF 8</t>
  </si>
  <si>
    <t>ASN Receipt Text UDF 9</t>
  </si>
  <si>
    <t>ASN Receipt Text UDF 10</t>
  </si>
  <si>
    <t>ASN Receipt Text UDF 11</t>
  </si>
  <si>
    <t>ASN Receipt Text UDF 12</t>
  </si>
  <si>
    <t>ASN Receipt Text UDF 13</t>
  </si>
  <si>
    <t>ASN Receipt Text UDF 14</t>
  </si>
  <si>
    <t>ASN Receipt Text UDF 15</t>
  </si>
  <si>
    <t>ASN Receipt Date UDF 1</t>
  </si>
  <si>
    <t>ASN Receipt Date UDF 2</t>
  </si>
  <si>
    <t>ASN Receipt Date UDF 3</t>
  </si>
  <si>
    <t>ASN Receipt Date UDF 4</t>
  </si>
  <si>
    <t>ASN Receipt Date UDF 5</t>
  </si>
  <si>
    <t>ASN Receipt Numeric UDF 1</t>
  </si>
  <si>
    <t>ASN Receipt Numeric UDF 2</t>
  </si>
  <si>
    <t>ASN Receipt Numeric UDF 3</t>
  </si>
  <si>
    <t>ASN Receipt Numeric UDF 4</t>
  </si>
  <si>
    <t>ASN Receipt Numeric UDF 5</t>
  </si>
  <si>
    <t>ASN Receipt Code List UDF 1</t>
  </si>
  <si>
    <t>ASN Receipt Code List UDF 2</t>
  </si>
  <si>
    <t>ASN Receipt Code List UDF 3</t>
  </si>
  <si>
    <t>ASN Receipt Code List UDF 4</t>
  </si>
  <si>
    <t>ASN Receipt Code List UDF 5</t>
  </si>
  <si>
    <t>ASN Receipt Code List UDF 6</t>
  </si>
  <si>
    <t>ASN Receipt Code List UDF 7</t>
  </si>
  <si>
    <t>ASN Receipt Code List UDF 8</t>
  </si>
  <si>
    <t>ASN Receipt Code List UDF 9</t>
  </si>
  <si>
    <t>ASN Receipt Code List UDF 10</t>
  </si>
  <si>
    <t>MPE</t>
  </si>
  <si>
    <t>400</t>
  </si>
  <si>
    <t>EL</t>
  </si>
  <si>
    <t>NEW</t>
  </si>
  <si>
    <t>EL-Inbound Delivery</t>
  </si>
  <si>
    <t>3000000009</t>
  </si>
  <si>
    <t>LEEDARSON</t>
  </si>
  <si>
    <t>SM_CM2/SC_001</t>
  </si>
  <si>
    <t>SM_BRA_001</t>
  </si>
  <si>
    <t>SM_RMC1/SC_001</t>
  </si>
  <si>
    <t>update 09.01.2026</t>
  </si>
  <si>
    <t>SM_DBM-03_001</t>
  </si>
  <si>
    <t>SM_DBM-05_001</t>
  </si>
  <si>
    <t>UPDATE 10.01.2026</t>
  </si>
  <si>
    <t>00009</t>
  </si>
  <si>
    <t>00010</t>
  </si>
  <si>
    <t>00011</t>
  </si>
  <si>
    <t>00012</t>
  </si>
  <si>
    <t>00013</t>
  </si>
  <si>
    <t>SM_DLV-9T_006</t>
  </si>
  <si>
    <t>UPDATE NGAY 17.01.2026</t>
  </si>
  <si>
    <t>SM_DLT-9T_006</t>
  </si>
  <si>
    <t>SM_DLV-9N_006</t>
  </si>
  <si>
    <t>SM_DLT-9N_006</t>
  </si>
  <si>
    <t>SM_DLB-9N_006</t>
  </si>
  <si>
    <t>00007</t>
  </si>
  <si>
    <t>00008</t>
  </si>
  <si>
    <t>SM_MPN2-023_002</t>
  </si>
  <si>
    <t>UPDATE NGAY 20.01.2026</t>
  </si>
  <si>
    <t>SM_MPN2-024_002</t>
  </si>
  <si>
    <t>SM_BTD-03_002</t>
  </si>
  <si>
    <t>UPDATE NGAY 21.01.2026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</si>
  <si>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</si>
  <si>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</si>
  <si>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</si>
  <si>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</si>
  <si>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</si>
  <si>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</si>
  <si>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</si>
  <si>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</si>
  <si>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</si>
  <si>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SM_DLT-7/3C_005</t>
  </si>
  <si>
    <t>SM_DLT-9/3C_005</t>
  </si>
  <si>
    <t>SM_DLV-9/3C_005</t>
  </si>
  <si>
    <t>SM_DLB-9/3C_005</t>
  </si>
  <si>
    <t>UPDATE NGAY 26.01.2026</t>
  </si>
  <si>
    <t>SM_FLD2-10T_101</t>
  </si>
  <si>
    <t>SM_FLD2-10V_101</t>
  </si>
  <si>
    <t>SM_FLD2-20T_101</t>
  </si>
  <si>
    <t>SM_FLD2-20V_101</t>
  </si>
  <si>
    <t>SM_FLD2-30T_101</t>
  </si>
  <si>
    <t>SM_FLD2-30V_101</t>
  </si>
  <si>
    <t>SM_FLD2-50T_101</t>
  </si>
  <si>
    <t>SM_FLD2-50V_101</t>
  </si>
  <si>
    <t>SM_FLD2-100T_101</t>
  </si>
  <si>
    <t>SM_FLD2-100V_101</t>
  </si>
  <si>
    <t>SM_FLD2-150T_101</t>
  </si>
  <si>
    <t>SM_FLD2-150V_101</t>
  </si>
  <si>
    <t>SM_FLD2-200T_101</t>
  </si>
  <si>
    <t>SM_FLD2-200V_101</t>
  </si>
  <si>
    <t>SM_RPL-6SV_101</t>
  </si>
  <si>
    <t>SM_DLT-7T_006</t>
  </si>
  <si>
    <t>SM_DLT-7N_006</t>
  </si>
  <si>
    <t>SM_DLT-9V_006</t>
  </si>
  <si>
    <t>SM_DLT-9/3C_006</t>
  </si>
  <si>
    <t>SM_DLV-9V_006</t>
  </si>
  <si>
    <t>SM_DLV-9/3C_006</t>
  </si>
  <si>
    <t>SM_DLV-12/3C_006</t>
  </si>
  <si>
    <t>SM_DLB-9T_006</t>
  </si>
  <si>
    <t>SM_DLB-9/3C_006</t>
  </si>
  <si>
    <t>update 27.01.2026</t>
  </si>
  <si>
    <t>SM_DLTL-9T_006</t>
  </si>
  <si>
    <t>SM_DLTL-9N_006</t>
  </si>
  <si>
    <t>SM_DLT-12T_006</t>
  </si>
  <si>
    <t>SM_DLT-12N_006</t>
  </si>
  <si>
    <t>SM_DLT-12V_006</t>
  </si>
  <si>
    <t>SM_DLT-12/3C_006</t>
  </si>
  <si>
    <t>SM_DLB-12T_006</t>
  </si>
  <si>
    <t>SM_DLB-12N_006</t>
  </si>
  <si>
    <t>001</t>
  </si>
  <si>
    <t>3000000068</t>
  </si>
  <si>
    <t>WEIDASI</t>
  </si>
  <si>
    <t>0000007084</t>
  </si>
  <si>
    <t>7700001889#01</t>
  </si>
  <si>
    <t>1/28/26 12:34 PM</t>
  </si>
  <si>
    <t>WEIDASI 28/11/25-WD</t>
  </si>
  <si>
    <t>BHCU5000835</t>
  </si>
  <si>
    <t>IAAJ251671</t>
  </si>
  <si>
    <t>Có hàng đi kèm : 1/SPARE PART VM2 - KHÔNG TÍNH TIỀN. 2/ SPARE PART DPM2 - KHÔNG TÍNH TIỀN. 3/Phụ kiện để sửa TL8 - Giao anh Hùng</t>
  </si>
  <si>
    <t>3000000008</t>
  </si>
  <si>
    <t>BANQ</t>
  </si>
  <si>
    <t>0000007123</t>
  </si>
  <si>
    <t>7700001913#01</t>
  </si>
  <si>
    <t>2/3/26 10:14 AM</t>
  </si>
  <si>
    <t>BANQ 407/10/25-SZBQ</t>
  </si>
  <si>
    <t>MSNU5586105</t>
  </si>
  <si>
    <t>FJ26877183</t>
  </si>
  <si>
    <t>SM_BHR-12_001</t>
  </si>
  <si>
    <t>SM_BHR-18_001</t>
  </si>
  <si>
    <t>update 04.02.2026</t>
  </si>
  <si>
    <t>0.00000</t>
  </si>
  <si>
    <t>00023</t>
  </si>
  <si>
    <t>00024</t>
  </si>
  <si>
    <t>00025</t>
  </si>
  <si>
    <t>00026</t>
  </si>
  <si>
    <t>00027</t>
  </si>
  <si>
    <t>0000007128</t>
  </si>
  <si>
    <t>SM_RPL-7/3C/G_002</t>
  </si>
  <si>
    <t>2/4/26 8:37 AM</t>
  </si>
  <si>
    <t>SM_RPL-9S/3C/G_003</t>
  </si>
  <si>
    <t>SM_RPL-9/3C/G_002</t>
  </si>
  <si>
    <t>SM_RPL-12S/3C/G_002</t>
  </si>
  <si>
    <t>SM_RPL-7/3C/S_002</t>
  </si>
  <si>
    <t>SM_RPL-9S/3C/S_003</t>
  </si>
  <si>
    <t>SM_RPL-9/3C/S_002</t>
  </si>
  <si>
    <t>SM_RPL-12S/3C/S_002</t>
  </si>
  <si>
    <t>SM_RPL-9ST/G_003</t>
  </si>
  <si>
    <t>SM_RPL-9T/G_002</t>
  </si>
  <si>
    <t>SM_RPL-12ST/G_002</t>
  </si>
  <si>
    <t>SM_RPL-7T/S_002</t>
  </si>
  <si>
    <t>SM_RPL-9T/S_002</t>
  </si>
  <si>
    <t>SM_RPL-12ST/S_002</t>
  </si>
  <si>
    <t>UPDATE 05.02.2026</t>
  </si>
  <si>
    <t>0000007130</t>
  </si>
  <si>
    <t>2/4/26 9:27 AM</t>
  </si>
  <si>
    <t>0000007132</t>
  </si>
  <si>
    <t>2/4/26 2:10 PM</t>
  </si>
  <si>
    <t>SM_MAFC2-130_001</t>
  </si>
  <si>
    <t>SM_MAFC2-250_001</t>
  </si>
  <si>
    <t>SM_MAF2-150_001</t>
  </si>
  <si>
    <t>SM_MAF2-200_001</t>
  </si>
  <si>
    <t>3000000064</t>
  </si>
  <si>
    <t>JINLING</t>
  </si>
  <si>
    <t>7700001922#01</t>
  </si>
  <si>
    <t>TXGU7817520</t>
  </si>
  <si>
    <t>YMAV927835</t>
  </si>
  <si>
    <t>7700001919#01</t>
  </si>
  <si>
    <t>LEEDARSON 1250/11/25-LDS</t>
  </si>
  <si>
    <t>OOCU7300079</t>
  </si>
  <si>
    <t>OOLKQT2253</t>
  </si>
  <si>
    <t>7700001918#01</t>
  </si>
  <si>
    <t xml:space="preserve"> LEEDARSON 1228/11/25-LDS</t>
  </si>
  <si>
    <t>UETU6535064</t>
  </si>
  <si>
    <t>OOLKQT2274</t>
  </si>
  <si>
    <t>SM_DLV-12T_006</t>
  </si>
  <si>
    <t>SM_DLB-12/3C_006</t>
  </si>
  <si>
    <t>SM_DLTL-9V_006</t>
  </si>
  <si>
    <t>0000007146</t>
  </si>
  <si>
    <t>2/6/26 10:29 AM</t>
  </si>
  <si>
    <t>0000007150</t>
  </si>
  <si>
    <t>2/6/26 10:58 AM</t>
  </si>
  <si>
    <t>7700001938#01</t>
  </si>
  <si>
    <t>BMOU5930378</t>
  </si>
  <si>
    <t>FX45335633</t>
  </si>
  <si>
    <t>3000000121</t>
  </si>
  <si>
    <t>ZHL NEW2</t>
  </si>
  <si>
    <t>7700001934#01</t>
  </si>
  <si>
    <t>GLDU3503099</t>
  </si>
  <si>
    <t>FX45335507</t>
  </si>
  <si>
    <t>3000000059</t>
  </si>
  <si>
    <t>ZHL</t>
  </si>
  <si>
    <t>Có hàng đi kèm : 1/ Hàng bù thiếu cho ZHL PO18. 2/ SPARE PART ZHL 27 - KHÔNG TÍNH TIỀN (ĐỦ)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</si>
  <si>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</si>
  <si>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</si>
  <si>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</si>
  <si>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</si>
  <si>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</si>
  <si>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</si>
  <si>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</si>
  <si>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</si>
  <si>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</si>
  <si>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ZHL 26/09/25-ZHL</t>
  </si>
  <si>
    <t>Có hàng đi kèm: 1/ Hàng bù ZHL PO22. 2/ SPARE PART ZHL 26 - KHÔNG TÍNH TIỀN (ĐỦ)</t>
  </si>
  <si>
    <t>2/7/26 3:10 PM</t>
  </si>
  <si>
    <t>2/6/26 3:10 PM</t>
  </si>
  <si>
    <t xml:space="preserve"> ZHL 27/11/25-ZHL</t>
  </si>
  <si>
    <t>2/7/26 3:08 PM</t>
  </si>
  <si>
    <t>2/6/26 3:08 PM</t>
  </si>
  <si>
    <t>SM_DR-250/LS2-2835_001</t>
  </si>
  <si>
    <t>UPDATE 11.02.2026</t>
  </si>
  <si>
    <t>SM_DR-250/LS2-5050_001</t>
  </si>
  <si>
    <t>SM_DR-400/LS2-2835_001</t>
  </si>
  <si>
    <t>SM_DR-400/LS2-5050_001</t>
  </si>
  <si>
    <t>SM_MC3-LS2835AC_001</t>
  </si>
  <si>
    <t>SM_MC-LS2835/90-RGB/AC_001</t>
  </si>
  <si>
    <t>SM_A6M/1V_003</t>
  </si>
  <si>
    <t>SM_S7MS-GY_001</t>
  </si>
  <si>
    <t>SM_S7TEL-GY_001</t>
  </si>
  <si>
    <t>SM_S7LAN-GY_001</t>
  </si>
  <si>
    <t>SM_S7TEL/LAN-GY_001</t>
  </si>
  <si>
    <t>SM_S7LAN/2-GY_001</t>
  </si>
  <si>
    <t>SM_S7TEL/2-GY_001</t>
  </si>
  <si>
    <t>SM_S7DIM/L-GY_001</t>
  </si>
  <si>
    <t>SM_S7DIM/F-GY_001</t>
  </si>
  <si>
    <t>SM_S7DBP-GY_001</t>
  </si>
  <si>
    <t>SM_S7MD20-GY_001</t>
  </si>
  <si>
    <t>SM_S7MS2-GY_001</t>
  </si>
  <si>
    <t>SM_S7TV/LAN-GY_001</t>
  </si>
  <si>
    <t>SM_S7TV/TEL-GY_001</t>
  </si>
  <si>
    <t>SM_S7MS-W_001</t>
  </si>
  <si>
    <t>SM_S7TEL-W_001</t>
  </si>
  <si>
    <t>SM_S7LAN-W_001</t>
  </si>
  <si>
    <t>SM_S7TEL/LAN-W_001</t>
  </si>
  <si>
    <t>SM_S7LAN/2-W_001</t>
  </si>
  <si>
    <t>SM_S7TEL/2-W_001</t>
  </si>
  <si>
    <t>SM_S7DIM/L-W_001</t>
  </si>
  <si>
    <t>SM_S7DIM/F-W_001</t>
  </si>
  <si>
    <t>SM_S7DBP-W_001</t>
  </si>
  <si>
    <t>SM_S7MD20-W_001</t>
  </si>
  <si>
    <t>SM_S7MS2-W_001</t>
  </si>
  <si>
    <t>SM_S7TV/LAN-W_001</t>
  </si>
  <si>
    <t>SM_S7TV/TEL-W_001</t>
  </si>
  <si>
    <t>SM_S701/B_001</t>
  </si>
  <si>
    <t>SM_S701M/B_001</t>
  </si>
  <si>
    <t>SM_S702/B_001</t>
  </si>
  <si>
    <t>SM_S702M/B_001</t>
  </si>
  <si>
    <t>SM_S703/B_001</t>
  </si>
  <si>
    <t>SM_S704/B_001</t>
  </si>
  <si>
    <t>SM_S7TV/B_001</t>
  </si>
  <si>
    <t>SM_S7UES2/B_001</t>
  </si>
  <si>
    <t>SM_S701/FGY_001</t>
  </si>
  <si>
    <t>SM_S701M/FGY_001</t>
  </si>
  <si>
    <t>SM_S702/FGY_001</t>
  </si>
  <si>
    <t>SM_S702M/FGY_001</t>
  </si>
  <si>
    <t>SM_S703/FGY_001</t>
  </si>
  <si>
    <t>SM_S704/FGY_001</t>
  </si>
  <si>
    <t>SM_S7TV/FGY_001</t>
  </si>
  <si>
    <t>SM_S7UES2/FGY_001</t>
  </si>
  <si>
    <t>SM_S701/FW_001</t>
  </si>
  <si>
    <t>SM_S701M/FW_001</t>
  </si>
  <si>
    <t>SM_S702/FW_001</t>
  </si>
  <si>
    <t>SM_S702M/FW_001</t>
  </si>
  <si>
    <t>SM_S703/FW_001</t>
  </si>
  <si>
    <t>SM_S704/FW_001</t>
  </si>
  <si>
    <t>SM_S7TV/FW_001</t>
  </si>
  <si>
    <t>SM_S7UES2/FW_001</t>
  </si>
  <si>
    <t>0000007183</t>
  </si>
  <si>
    <t>004</t>
  </si>
  <si>
    <t>2/11/26 1:48 PM</t>
  </si>
  <si>
    <t>BKD-20</t>
  </si>
  <si>
    <t>BKG-20</t>
  </si>
  <si>
    <t>BKR-20</t>
  </si>
  <si>
    <t>BKY-20</t>
  </si>
  <si>
    <t>BKW-20</t>
  </si>
  <si>
    <t>7700001959#01</t>
  </si>
  <si>
    <t xml:space="preserve"> SINCERE 41/12/25-SINCERE</t>
  </si>
  <si>
    <t>TEMU4975793</t>
  </si>
  <si>
    <t>M9622537</t>
  </si>
  <si>
    <t>3000000065</t>
  </si>
  <si>
    <t>SINCERE</t>
  </si>
  <si>
    <t>0000007174</t>
  </si>
  <si>
    <t>7700001958#01</t>
  </si>
  <si>
    <t>2/11/26 10:29 AM</t>
  </si>
  <si>
    <t>LEGEND 140/12/25-LGD</t>
  </si>
  <si>
    <t>EISU2135561</t>
  </si>
  <si>
    <t>EMCXMB4734</t>
  </si>
  <si>
    <t>3000000000</t>
  </si>
  <si>
    <t>LEGEND</t>
  </si>
  <si>
    <t>Có hàng đi kèm : Hàng bù thiếu cho đóng gói HANGBU.ER-01/25-LGD</t>
  </si>
  <si>
    <t>0000007173</t>
  </si>
  <si>
    <t>7700001957#01</t>
  </si>
  <si>
    <t>2/11/26 10:07 AM</t>
  </si>
  <si>
    <t>LEGEND 139/12/25-LGD</t>
  </si>
  <si>
    <t>EITU0003512</t>
  </si>
  <si>
    <t>EMCXMB4714</t>
  </si>
  <si>
    <t>0000007170</t>
  </si>
  <si>
    <t>7700001956#01</t>
  </si>
  <si>
    <t>2/10/26 4:13 PM</t>
  </si>
  <si>
    <t>SONGRI 120/09/25-SR</t>
  </si>
  <si>
    <t>MSNU2516573</t>
  </si>
  <si>
    <t>FX45204356</t>
  </si>
  <si>
    <t>3000000003</t>
  </si>
  <si>
    <t>SONGRI</t>
  </si>
  <si>
    <t>Có hàng đi kèm : SONGRI 114/07/25-SR (ĐỦ) (Khuôn - Giao anh Khánh)</t>
  </si>
  <si>
    <t>0000007169</t>
  </si>
  <si>
    <t>7700001955#01</t>
  </si>
  <si>
    <t>2/10/26 3:39 PM</t>
  </si>
  <si>
    <t>OML 17-1/08/25-OML</t>
  </si>
  <si>
    <t>3000000030</t>
  </si>
  <si>
    <t>OML</t>
  </si>
  <si>
    <t>HÀNG LẺ có hàng đi kèm:1/Hàng bù lỗi cho Driver DLS-60 (chỉ bù dây nguồn). 2/Spare part OML 17 - Không tính tiền</t>
  </si>
  <si>
    <t>JINLING 18/10/25-JINLING</t>
  </si>
  <si>
    <t>JINLING 18/10/25-JINLING - CONT 1. Có hàng đi kèm: 1/ SPARE PART JINLING 18 - KHÔNG TÍNH TIỀN. 2/ Thùng bù cho cont JINLING 16 bị hư ướt - Giao anh Nhân</t>
  </si>
  <si>
    <t>2/10/26 1:20 PM</t>
  </si>
  <si>
    <t>JINLING 18/10/25-JINLING - CONT 1. Có hàng đi kèm: 1/ SPARE PART JINLING 18 - KHÔNG TÍNH TIỀN. 2/ Thùng bù cho cont JINLING 16 b</t>
  </si>
  <si>
    <t>2/4/26 1:20 PM</t>
  </si>
  <si>
    <t>Closed</t>
  </si>
  <si>
    <t>20260211</t>
  </si>
  <si>
    <t>nhan.nguyensanh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</si>
  <si>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</si>
  <si>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</si>
  <si>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</si>
  <si>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</si>
  <si>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</si>
  <si>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</si>
  <si>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</si>
  <si>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</si>
  <si>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</si>
  <si>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</si>
  <si>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</si>
  <si>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</si>
  <si>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</si>
  <si>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</si>
  <si>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</si>
  <si>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</si>
  <si>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</si>
  <si>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</si>
  <si>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</si>
  <si>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</si>
  <si>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</si>
  <si>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</si>
  <si>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</si>
  <si>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</si>
  <si>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</si>
  <si>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</si>
  <si>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</si>
  <si>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</si>
  <si>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</si>
  <si>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</si>
  <si>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</si>
  <si>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</si>
  <si>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80.00000</t>
  </si>
  <si>
    <t>0000007133</t>
  </si>
  <si>
    <t>16/06/25-JINLING</t>
  </si>
  <si>
    <t>4000000692</t>
  </si>
  <si>
    <t>2/4/26 2:15 PM</t>
  </si>
  <si>
    <t>2/11/26 5:43 PM</t>
  </si>
  <si>
    <t>4,248.00000</t>
  </si>
  <si>
    <t>18/10/25-JINLING</t>
  </si>
  <si>
    <t>4000001341</t>
  </si>
  <si>
    <t>388.00000</t>
  </si>
  <si>
    <t>2,000.00000</t>
  </si>
  <si>
    <t>1,000.00000</t>
  </si>
  <si>
    <t>01PL260211262</t>
  </si>
  <si>
    <t>2/11/26 5:05 PM</t>
  </si>
  <si>
    <t>01PL260211263</t>
  </si>
  <si>
    <t>01PL260211264</t>
  </si>
  <si>
    <t>01PL260211265</t>
  </si>
  <si>
    <t>01PL260211267</t>
  </si>
  <si>
    <t>01PL260211266</t>
  </si>
  <si>
    <t>01PL260211276</t>
  </si>
  <si>
    <t>2/11/26 5:06 PM</t>
  </si>
  <si>
    <t>01PL260211274</t>
  </si>
  <si>
    <t>01PL260211277</t>
  </si>
  <si>
    <t>01PL260211273</t>
  </si>
  <si>
    <t>01PL260211270</t>
  </si>
  <si>
    <t>01PL260211275</t>
  </si>
  <si>
    <t>2/11/26 5:07 PM</t>
  </si>
  <si>
    <t>01PL260211271</t>
  </si>
  <si>
    <t>01PL260211272</t>
  </si>
  <si>
    <t>01PL260211268</t>
  </si>
  <si>
    <t>01PL260211269</t>
  </si>
  <si>
    <t>01PL260211254</t>
  </si>
  <si>
    <t>2/11/26 5:12 PM</t>
  </si>
  <si>
    <t>01PL260211255</t>
  </si>
  <si>
    <t>01PL260211256</t>
  </si>
  <si>
    <t>01PL260211257</t>
  </si>
  <si>
    <t>01PL260211258</t>
  </si>
  <si>
    <t>01PL260211259</t>
  </si>
  <si>
    <t>2/11/26 5:13 PM</t>
  </si>
  <si>
    <t>01PL260211260</t>
  </si>
  <si>
    <t>01PL260211237</t>
  </si>
  <si>
    <t>01PL260211236</t>
  </si>
  <si>
    <t>01PL260211223</t>
  </si>
  <si>
    <t>01PL260211235</t>
  </si>
  <si>
    <t>01PL260211222</t>
  </si>
  <si>
    <t>01PL260211234</t>
  </si>
  <si>
    <t>01PL260211221</t>
  </si>
  <si>
    <t>01PL260211233</t>
  </si>
  <si>
    <t>01PL260211220</t>
  </si>
  <si>
    <t>01PL260211232</t>
  </si>
  <si>
    <t>2/11/26 5:14 PM</t>
  </si>
  <si>
    <t>01PL260211219</t>
  </si>
  <si>
    <t>01PL260211231</t>
  </si>
  <si>
    <t>01PL260211218</t>
  </si>
  <si>
    <t>01PL260211217</t>
  </si>
  <si>
    <t>01PL260211253</t>
  </si>
  <si>
    <t>01PL260211230</t>
  </si>
  <si>
    <t>01PL260211252</t>
  </si>
  <si>
    <t>01PL260211229</t>
  </si>
  <si>
    <t>01PL260211238</t>
  </si>
  <si>
    <t>01PL260211228</t>
  </si>
  <si>
    <t>2/11/26 5:15 PM</t>
  </si>
  <si>
    <t>01PL260211241</t>
  </si>
  <si>
    <t>01PL260211227</t>
  </si>
  <si>
    <t>01PL260211240</t>
  </si>
  <si>
    <t>01PL260211226</t>
  </si>
  <si>
    <t>01PL260211239</t>
  </si>
  <si>
    <t>01PL260211225</t>
  </si>
  <si>
    <t>01PL260211224</t>
  </si>
  <si>
    <t>01PL260211251</t>
  </si>
  <si>
    <t>01PL260211250</t>
  </si>
  <si>
    <t>2/11/26 5:30 PM</t>
  </si>
  <si>
    <t>01PL260211249</t>
  </si>
  <si>
    <t>01PL260211248</t>
  </si>
  <si>
    <t>01PL260211247</t>
  </si>
  <si>
    <t>01PL260211246</t>
  </si>
  <si>
    <t>01PL260211245</t>
  </si>
  <si>
    <t>2/11/26 5:31 PM</t>
  </si>
  <si>
    <t>01PL260211242</t>
  </si>
  <si>
    <t>01PL260211244</t>
  </si>
  <si>
    <t>01PL260211243</t>
  </si>
  <si>
    <t>01PL260211261</t>
  </si>
  <si>
    <t>0000007185</t>
  </si>
  <si>
    <t>40/12/25-SINCERE</t>
  </si>
  <si>
    <t>4000001285</t>
  </si>
  <si>
    <t>2/11/26 3:25 PM</t>
  </si>
  <si>
    <t>By NguyenVuLouis at: 12/02/2026, 12:31:14</t>
  </si>
  <si>
    <t>7700001961#01</t>
  </si>
  <si>
    <t>SINCERE 40/12/25-SINCERE</t>
  </si>
  <si>
    <t>CMAU2068088</t>
  </si>
  <si>
    <t>M9622535</t>
  </si>
  <si>
    <t>By NguyenVuLouis at: 12/02/2026, 12:32:50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</si>
</sst>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#$&quot;\ 0"/>
    <numFmt numFmtId="165" formatCode="[$-1010000]d/m/yyyy;@"/>
  </numFmts>
  <fonts count="7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0000FF"/>
      <name val="Arial"/>
      <family val="2"/>
    </font>
    <font>
      <b/>
      <sz val="9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rgb="FFFF0000"/>
      <name val="Arial"/>
      <family val="2"/>
    </font>
    <font>
      <sz val="9"/>
      <color theme="0"/>
      <name val="Calibri"/>
      <family val="2"/>
      <scheme val="minor"/>
    </font>
    <font>
      <sz val="10"/>
      <color rgb="FFFFFFFF"/>
      <name val="Arial"/>
      <family val="2"/>
    </font>
    <font>
      <b/>
      <sz val="11"/>
      <color theme="1"/>
      <name val="Arial Nova Cond"/>
      <family val="2"/>
    </font>
    <font>
      <b/>
      <sz val="11"/>
      <color rgb="FFFF0000"/>
      <name val="Arial Nova Cond"/>
      <family val="2"/>
    </font>
    <font>
      <sz val="9"/>
      <color theme="0" tint="-4.9989318521683403E-2"/>
      <name val="Arial Nova Cond"/>
      <family val="2"/>
    </font>
    <font>
      <sz val="9"/>
      <color theme="1"/>
      <name val="Arial Nova Cond"/>
      <family val="2"/>
    </font>
    <font>
      <b/>
      <sz val="9"/>
      <color theme="0"/>
      <name val="Arial Nova Cond"/>
      <family val="2"/>
    </font>
    <font>
      <b/>
      <sz val="14"/>
      <color rgb="FFFF0000"/>
      <name val="Arial"/>
      <family val="2"/>
    </font>
    <font>
      <b/>
      <sz val="9"/>
      <color theme="2" tint="-0.749992370372631"/>
      <name val="Arial Nova Cond"/>
      <family val="2"/>
    </font>
    <font>
      <b/>
      <sz val="16"/>
      <color rgb="FF0070C0"/>
      <name val="Arial Nova Cond"/>
      <family val="2"/>
    </font>
    <font>
      <sz val="11"/>
      <color theme="1"/>
      <name val="Arial Nova Cond"/>
      <family val="2"/>
    </font>
    <font>
      <b/>
      <sz val="10"/>
      <name val="Arial"/>
      <family val="2"/>
    </font>
    <font>
      <b/>
      <sz val="12"/>
      <color theme="1"/>
      <name val="Funnel Sans Medium"/>
    </font>
    <font>
      <sz val="12"/>
      <color theme="1"/>
      <name val="Funnel Sans Medium"/>
    </font>
    <font>
      <b/>
      <sz val="10"/>
      <color theme="1"/>
      <name val="Funnel Sans Medium"/>
    </font>
    <font>
      <sz val="10"/>
      <color theme="1"/>
      <name val="Funnel Sans Medium"/>
    </font>
    <font>
      <sz val="10"/>
      <color rgb="FF002060"/>
      <name val="Funnel Sans"/>
    </font>
    <font>
      <sz val="10"/>
      <name val="Funnel Sans"/>
    </font>
    <font>
      <sz val="11"/>
      <name val="Funnel Sans"/>
    </font>
    <font>
      <b/>
      <sz val="8"/>
      <color theme="0"/>
      <name val="Funnel Sans"/>
    </font>
    <font>
      <b/>
      <sz val="10"/>
      <color theme="1"/>
      <name val="Funnel Sans"/>
    </font>
    <font>
      <b/>
      <sz val="9"/>
      <color theme="0"/>
      <name val="Roboto"/>
    </font>
    <font>
      <b/>
      <sz val="8"/>
      <color theme="0"/>
      <name val="Roboto"/>
    </font>
    <font>
      <b/>
      <sz val="10"/>
      <color theme="1"/>
      <name val="Roboto"/>
    </font>
    <font>
      <b/>
      <sz val="10"/>
      <name val="Roboto"/>
    </font>
    <font>
      <sz val="8"/>
      <color theme="1"/>
      <name val="Funnel Sans"/>
    </font>
    <font>
      <b/>
      <sz val="10"/>
      <color theme="2" tint="-0.749992370372631"/>
      <name val="Funnel Sans"/>
    </font>
    <font>
      <b/>
      <sz val="56"/>
      <color rgb="FF144C00"/>
      <name val="Funnel Sans ExtraBold"/>
    </font>
    <font>
      <b/>
      <sz val="84"/>
      <color rgb="FFFF0000"/>
      <name val="Funnel Sans ExtraBold"/>
    </font>
    <font>
      <b/>
      <sz val="16"/>
      <color rgb="FFFF0000"/>
      <name val="Roboto"/>
    </font>
    <font>
      <sz val="9"/>
      <color theme="0"/>
      <name val="Roboto"/>
    </font>
    <font>
      <b/>
      <sz val="9"/>
      <color rgb="FFFF0000"/>
      <name val="Roboto"/>
    </font>
    <font>
      <sz val="9"/>
      <color theme="1"/>
      <name val="Roboto"/>
    </font>
    <font>
      <b/>
      <sz val="9"/>
      <color theme="1"/>
      <name val="Roboto"/>
    </font>
    <font>
      <b/>
      <sz val="9"/>
      <name val="Roboto"/>
    </font>
    <font>
      <b/>
      <sz val="9"/>
      <color theme="1"/>
      <name val="Arial Nova Cond"/>
      <family val="2"/>
    </font>
    <font>
      <b/>
      <sz val="10"/>
      <color rgb="FF002060"/>
      <name val="Funnel Sans"/>
    </font>
    <font>
      <b/>
      <sz val="8"/>
      <color rgb="FFFF0000"/>
      <name val="Roboto"/>
    </font>
    <font>
      <b/>
      <sz val="8"/>
      <color theme="0"/>
      <name val="Arial"/>
      <family val="2"/>
    </font>
    <font>
      <sz val="11"/>
      <color theme="1"/>
      <name val="Roboto"/>
    </font>
    <font>
      <sz val="8"/>
      <name val="Calibri"/>
      <family val="2"/>
      <scheme val="minor"/>
    </font>
    <font>
      <sz val="11"/>
      <color rgb="FFFF0000"/>
      <name val="Roboto"/>
    </font>
    <font>
      <b/>
      <sz val="12"/>
      <color rgb="FFFF0000"/>
      <name val="Arial"/>
      <family val="2"/>
    </font>
    <font>
      <sz val="9"/>
      <color rgb="FFFF0000"/>
      <name val="Roboto"/>
    </font>
    <font>
      <b/>
      <sz val="66"/>
      <color rgb="FFFF0000"/>
      <name val="Roboto"/>
    </font>
    <font>
      <b/>
      <sz val="10"/>
      <color rgb="FF002060"/>
      <name val="Roboto"/>
    </font>
    <font>
      <sz val="60"/>
      <color theme="1"/>
      <name val="Roboto"/>
    </font>
    <font>
      <sz val="10"/>
      <color theme="1"/>
      <name val="Calibri"/>
      <family val="2"/>
      <scheme val="minor"/>
    </font>
    <font>
      <b/>
      <i/>
      <sz val="10"/>
      <color indexed="12"/>
      <name val="Arial"/>
      <family val="2"/>
    </font>
    <font>
      <i/>
      <sz val="10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sz val="18"/>
      <color rgb="FF00206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0" borderId="0" xfId="0" pivotButton="1"/>
    <xf numFmtId="0" fontId="0" fillId="0" borderId="0" xfId="0" applyNumberFormat="1"/>
    <xf numFmtId="0" fontId="4" fillId="0" borderId="0" xfId="0" applyFont="1"/>
    <xf numFmtId="0" fontId="2" fillId="0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/>
    <xf numFmtId="0" fontId="3" fillId="0" borderId="2" xfId="0" applyFont="1" applyBorder="1" applyAlignment="1">
      <alignment horizontal="left" vertical="center"/>
    </xf>
    <xf numFmtId="0" fontId="7" fillId="0" borderId="2" xfId="0" applyFont="1" applyBorder="1"/>
    <xf numFmtId="0" fontId="10" fillId="0" borderId="0" xfId="0" applyFont="1" applyAlignment="1">
      <alignment wrapText="1"/>
    </xf>
    <xf numFmtId="0" fontId="11" fillId="0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0" fillId="0" borderId="0" xfId="0" applyFill="1"/>
    <xf numFmtId="0" fontId="9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10" fillId="0" borderId="0" xfId="0" applyFont="1" applyFill="1"/>
    <xf numFmtId="0" fontId="10" fillId="0" borderId="0" xfId="0" applyFont="1" applyFill="1" applyAlignment="1">
      <alignment wrapText="1"/>
    </xf>
    <xf numFmtId="0" fontId="0" fillId="4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left" vertical="center"/>
    </xf>
    <xf numFmtId="0" fontId="4" fillId="2" borderId="2" xfId="0" applyFont="1" applyFill="1" applyBorder="1"/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right" vertical="center"/>
    </xf>
    <xf numFmtId="0" fontId="4" fillId="0" borderId="2" xfId="0" applyFont="1" applyFill="1" applyBorder="1" applyAlignment="1">
      <alignment horizontal="right" vertical="center" wrapText="1"/>
    </xf>
    <xf numFmtId="0" fontId="4" fillId="0" borderId="2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2" xfId="0" pivotButton="1" applyBorder="1"/>
    <xf numFmtId="0" fontId="0" fillId="0" borderId="2" xfId="0" applyNumberFormat="1" applyBorder="1"/>
    <xf numFmtId="0" fontId="0" fillId="0" borderId="6" xfId="0" applyFill="1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NumberFormat="1" applyBorder="1"/>
    <xf numFmtId="0" fontId="15" fillId="9" borderId="0" xfId="0" applyFont="1" applyFill="1" applyAlignment="1">
      <alignment horizontal="center" vertical="center" wrapText="1"/>
    </xf>
    <xf numFmtId="0" fontId="16" fillId="12" borderId="2" xfId="0" applyFont="1" applyFill="1" applyBorder="1" applyAlignment="1">
      <alignment horizontal="center" vertical="center" wrapText="1"/>
    </xf>
    <xf numFmtId="0" fontId="19" fillId="10" borderId="2" xfId="0" applyFont="1" applyFill="1" applyBorder="1" applyAlignment="1">
      <alignment horizontal="center" vertical="center" wrapText="1"/>
    </xf>
    <xf numFmtId="0" fontId="20" fillId="13" borderId="2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3" fillId="13" borderId="2" xfId="0" applyFont="1" applyFill="1" applyBorder="1" applyAlignment="1">
      <alignment horizontal="center" vertical="center"/>
    </xf>
    <xf numFmtId="0" fontId="21" fillId="10" borderId="2" xfId="0" applyFont="1" applyFill="1" applyBorder="1" applyAlignment="1">
      <alignment horizontal="center" vertical="center" wrapText="1"/>
    </xf>
    <xf numFmtId="0" fontId="23" fillId="13" borderId="0" xfId="0" applyFont="1" applyFill="1" applyAlignment="1">
      <alignment horizontal="center" vertical="center"/>
    </xf>
    <xf numFmtId="0" fontId="0" fillId="2" borderId="2" xfId="0" applyFill="1" applyBorder="1"/>
    <xf numFmtId="0" fontId="4" fillId="0" borderId="2" xfId="0" applyFont="1" applyBorder="1"/>
    <xf numFmtId="0" fontId="23" fillId="13" borderId="0" xfId="0" applyFont="1" applyFill="1" applyBorder="1" applyAlignment="1">
      <alignment horizontal="center" vertical="center"/>
    </xf>
    <xf numFmtId="0" fontId="25" fillId="0" borderId="2" xfId="0" applyFont="1" applyBorder="1"/>
    <xf numFmtId="0" fontId="25" fillId="0" borderId="0" xfId="0" applyFont="1"/>
    <xf numFmtId="0" fontId="18" fillId="2" borderId="2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5" xfId="0" applyFont="1" applyFill="1" applyBorder="1" applyAlignment="1">
      <alignment horizontal="center" vertical="center"/>
    </xf>
    <xf numFmtId="164" fontId="24" fillId="11" borderId="2" xfId="0" applyNumberFormat="1" applyFont="1" applyFill="1" applyBorder="1" applyAlignment="1">
      <alignment horizontal="left"/>
    </xf>
    <xf numFmtId="0" fontId="25" fillId="0" borderId="2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8" fillId="2" borderId="2" xfId="0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horizontal="left"/>
    </xf>
    <xf numFmtId="0" fontId="26" fillId="0" borderId="1" xfId="0" applyFont="1" applyBorder="1" applyAlignment="1">
      <alignment horizontal="left" wrapText="1"/>
    </xf>
    <xf numFmtId="0" fontId="27" fillId="6" borderId="2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7" borderId="2" xfId="0" applyFont="1" applyFill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9" fillId="5" borderId="2" xfId="0" applyFont="1" applyFill="1" applyBorder="1" applyAlignment="1">
      <alignment horizontal="center" vertical="center" wrapText="1"/>
    </xf>
    <xf numFmtId="0" fontId="41" fillId="13" borderId="2" xfId="0" applyFont="1" applyFill="1" applyBorder="1" applyAlignment="1">
      <alignment horizontal="center" vertical="center"/>
    </xf>
    <xf numFmtId="0" fontId="41" fillId="13" borderId="0" xfId="0" applyFont="1" applyFill="1" applyAlignment="1">
      <alignment horizontal="center" vertical="center"/>
    </xf>
    <xf numFmtId="0" fontId="34" fillId="10" borderId="2" xfId="0" applyFont="1" applyFill="1" applyBorder="1" applyAlignment="1">
      <alignment horizontal="center" vertical="center" wrapText="1"/>
    </xf>
    <xf numFmtId="0" fontId="44" fillId="11" borderId="2" xfId="0" applyFont="1" applyFill="1" applyBorder="1" applyAlignment="1">
      <alignment horizontal="center"/>
    </xf>
    <xf numFmtId="0" fontId="45" fillId="9" borderId="0" xfId="0" applyFont="1" applyFill="1" applyAlignment="1">
      <alignment horizontal="center" vertical="center" wrapText="1"/>
    </xf>
    <xf numFmtId="0" fontId="47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7" fillId="0" borderId="0" xfId="0" applyFont="1"/>
    <xf numFmtId="0" fontId="47" fillId="0" borderId="0" xfId="0" applyFont="1" applyAlignment="1">
      <alignment vertical="center"/>
    </xf>
    <xf numFmtId="0" fontId="48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9" fillId="5" borderId="2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53" fillId="3" borderId="2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54" fillId="0" borderId="2" xfId="0" pivotButton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0" fontId="54" fillId="0" borderId="2" xfId="0" applyNumberFormat="1" applyFont="1" applyBorder="1" applyAlignment="1">
      <alignment horizontal="center" vertical="center"/>
    </xf>
    <xf numFmtId="0" fontId="3" fillId="11" borderId="0" xfId="0" applyFont="1" applyFill="1"/>
    <xf numFmtId="0" fontId="3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8" fillId="2" borderId="9" xfId="0" applyFont="1" applyFill="1" applyBorder="1" applyAlignment="1">
      <alignment horizontal="right" vertical="center"/>
    </xf>
    <xf numFmtId="165" fontId="8" fillId="2" borderId="10" xfId="0" applyNumberFormat="1" applyFont="1" applyFill="1" applyBorder="1" applyAlignment="1">
      <alignment horizontal="center" vertical="center"/>
    </xf>
    <xf numFmtId="0" fontId="2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2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/>
    <xf numFmtId="0" fontId="54" fillId="0" borderId="2" xfId="0" applyFont="1" applyFill="1" applyBorder="1" applyAlignment="1">
      <alignment horizontal="center" vertical="center"/>
    </xf>
    <xf numFmtId="0" fontId="56" fillId="0" borderId="2" xfId="0" applyNumberFormat="1" applyFont="1" applyFill="1" applyBorder="1" applyAlignment="1">
      <alignment horizontal="center" vertical="center"/>
    </xf>
    <xf numFmtId="0" fontId="22" fillId="6" borderId="7" xfId="0" applyFont="1" applyFill="1" applyBorder="1" applyAlignment="1">
      <alignment vertical="center"/>
    </xf>
    <xf numFmtId="0" fontId="0" fillId="0" borderId="10" xfId="0" applyBorder="1"/>
    <xf numFmtId="0" fontId="54" fillId="0" borderId="0" xfId="0" applyFont="1" applyAlignment="1">
      <alignment horizontal="left" vertical="center"/>
    </xf>
    <xf numFmtId="0" fontId="54" fillId="0" borderId="2" xfId="0" pivotButton="1" applyFont="1" applyBorder="1" applyAlignment="1">
      <alignment horizontal="left" vertical="center"/>
    </xf>
    <xf numFmtId="0" fontId="56" fillId="15" borderId="0" xfId="0" applyFont="1" applyFill="1" applyAlignment="1">
      <alignment horizontal="center" vertical="center"/>
    </xf>
    <xf numFmtId="0" fontId="56" fillId="0" borderId="2" xfId="0" pivotButton="1" applyFont="1" applyBorder="1" applyAlignment="1">
      <alignment horizontal="center" vertical="center"/>
    </xf>
    <xf numFmtId="0" fontId="12" fillId="0" borderId="0" xfId="0" applyFont="1"/>
    <xf numFmtId="0" fontId="56" fillId="0" borderId="0" xfId="0" applyFont="1" applyAlignment="1">
      <alignment horizontal="center" vertical="center"/>
    </xf>
    <xf numFmtId="0" fontId="38" fillId="0" borderId="0" xfId="0" applyFont="1"/>
    <xf numFmtId="0" fontId="60" fillId="0" borderId="0" xfId="0" applyFont="1" applyAlignment="1">
      <alignment horizontal="center" vertical="center"/>
    </xf>
    <xf numFmtId="0" fontId="38" fillId="2" borderId="0" xfId="0" applyFont="1" applyFill="1" applyBorder="1"/>
    <xf numFmtId="0" fontId="60" fillId="2" borderId="0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38" fillId="0" borderId="0" xfId="0" applyFont="1" applyBorder="1"/>
    <xf numFmtId="0" fontId="6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2" fillId="0" borderId="0" xfId="0" applyFont="1" applyAlignment="1">
      <alignment wrapText="1"/>
    </xf>
    <xf numFmtId="0" fontId="63" fillId="16" borderId="11" xfId="0" applyFont="1" applyFill="1" applyBorder="1"/>
    <xf numFmtId="0" fontId="64" fillId="0" borderId="12" xfId="0" applyFont="1" applyBorder="1"/>
    <xf numFmtId="0" fontId="65" fillId="0" borderId="13" xfId="0" applyFont="1" applyBorder="1" applyAlignment="1">
      <alignment wrapText="1"/>
    </xf>
    <xf numFmtId="0" fontId="65" fillId="0" borderId="14" xfId="0" applyFont="1" applyBorder="1" applyAlignment="1">
      <alignment wrapText="1"/>
    </xf>
    <xf numFmtId="0" fontId="44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57" fillId="6" borderId="7" xfId="0" applyFont="1" applyFill="1" applyBorder="1" applyAlignment="1">
      <alignment horizontal="center" vertical="center"/>
    </xf>
    <xf numFmtId="0" fontId="26" fillId="14" borderId="2" xfId="0" applyFont="1" applyFill="1" applyBorder="1" applyAlignment="1">
      <alignment horizontal="center" vertical="center" wrapText="1"/>
    </xf>
    <xf numFmtId="0" fontId="26" fillId="14" borderId="3" xfId="0" applyFont="1" applyFill="1" applyBorder="1" applyAlignment="1">
      <alignment horizontal="center" vertical="center" wrapText="1"/>
    </xf>
    <xf numFmtId="0" fontId="13" fillId="10" borderId="0" xfId="0" applyFont="1" applyFill="1" applyBorder="1" applyAlignment="1">
      <alignment horizontal="center" vertical="center" wrapText="1"/>
    </xf>
    <xf numFmtId="0" fontId="42" fillId="8" borderId="3" xfId="0" applyFont="1" applyFill="1" applyBorder="1" applyAlignment="1">
      <alignment horizontal="left" vertical="center"/>
    </xf>
    <xf numFmtId="0" fontId="42" fillId="8" borderId="4" xfId="0" applyFont="1" applyFill="1" applyBorder="1" applyAlignment="1">
      <alignment horizontal="left" vertical="center"/>
    </xf>
    <xf numFmtId="0" fontId="42" fillId="8" borderId="5" xfId="0" applyFont="1" applyFill="1" applyBorder="1" applyAlignment="1">
      <alignment horizontal="left" vertical="center"/>
    </xf>
    <xf numFmtId="0" fontId="43" fillId="6" borderId="7" xfId="0" applyFont="1" applyFill="1" applyBorder="1" applyAlignment="1">
      <alignment horizontal="center" vertical="center"/>
    </xf>
    <xf numFmtId="0" fontId="52" fillId="6" borderId="7" xfId="0" applyFont="1" applyFill="1" applyBorder="1" applyAlignment="1">
      <alignment horizontal="right" wrapText="1"/>
    </xf>
    <xf numFmtId="0" fontId="14" fillId="2" borderId="0" xfId="0" applyFont="1" applyFill="1" applyAlignment="1">
      <alignment horizontal="center" vertical="center" wrapText="1"/>
    </xf>
    <xf numFmtId="0" fontId="61" fillId="0" borderId="0" xfId="0" applyFont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58" fillId="15" borderId="0" xfId="0" applyFont="1" applyFill="1" applyAlignment="1">
      <alignment horizontal="center" wrapText="1"/>
    </xf>
    <xf numFmtId="0" fontId="58" fillId="15" borderId="7" xfId="0" applyFont="1" applyFill="1" applyBorder="1" applyAlignment="1">
      <alignment horizontal="center" wrapText="1"/>
    </xf>
    <xf numFmtId="0" fontId="59" fillId="15" borderId="0" xfId="0" applyFont="1" applyFill="1" applyAlignment="1">
      <alignment horizontal="center"/>
    </xf>
    <xf numFmtId="0" fontId="59" fillId="15" borderId="7" xfId="0" applyFont="1" applyFill="1" applyBorder="1" applyAlignment="1">
      <alignment horizontal="center"/>
    </xf>
    <xf numFmtId="0" fontId="52" fillId="15" borderId="0" xfId="0" applyFont="1" applyFill="1" applyAlignment="1">
      <alignment horizontal="center" vertical="center" wrapText="1"/>
    </xf>
    <xf numFmtId="0" fontId="52" fillId="15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441"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font>
        <name val="Roboto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A7A7"/>
        </patternFill>
      </fill>
    </dxf>
    <dxf>
      <font>
        <color theme="9" tint="0.39994506668294322"/>
      </font>
      <fill>
        <patternFill>
          <bgColor theme="9" tint="-0.24994659260841701"/>
        </patternFill>
      </fill>
    </dxf>
    <dxf>
      <fill>
        <patternFill>
          <bgColor rgb="FFFFA7A7"/>
        </patternFill>
      </fill>
    </dxf>
    <dxf>
      <font>
        <color theme="9" tint="0.39994506668294322"/>
      </font>
      <fill>
        <patternFill>
          <bgColor theme="9" tint="-0.24994659260841701"/>
        </patternFill>
      </fill>
    </dxf>
    <dxf>
      <fill>
        <patternFill>
          <bgColor rgb="FFFFA7A7"/>
        </patternFill>
      </fill>
    </dxf>
    <dxf>
      <font>
        <color theme="9" tint="0.39994506668294322"/>
      </font>
      <fill>
        <patternFill>
          <bgColor theme="9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39703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ill>
        <patternFill>
          <bgColor indexed="1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861032"/>
      </font>
      <fill>
        <patternFill>
          <bgColor rgb="FFFFCDCD"/>
        </patternFill>
      </fill>
    </dxf>
    <dxf>
      <font>
        <color auto="1"/>
      </font>
      <fill>
        <patternFill>
          <bgColor rgb="FFBEE9F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C4043E"/>
      </font>
      <fill>
        <patternFill>
          <bgColor rgb="FFFFCADA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left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alignment horizontal="general"/>
    </dxf>
    <dxf>
      <font>
        <b/>
      </font>
    </dxf>
    <dxf>
      <font>
        <b/>
      </font>
    </dxf>
    <dxf>
      <font>
        <b/>
      </font>
    </dxf>
    <dxf>
      <font>
        <sz val="8"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alignment horizontal="general"/>
    </dxf>
    <dxf>
      <font>
        <b/>
      </font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b/>
      </font>
    </dxf>
    <dxf>
      <font>
        <b/>
      </font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color theme="0"/>
      </font>
    </dxf>
    <dxf>
      <fill>
        <patternFill patternType="solid">
          <bgColor theme="9" tint="-0.249977111117893"/>
        </patternFill>
      </fill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alignment wrapText="1"/>
    </dxf>
    <dxf>
      <alignment horizontal="left"/>
    </dxf>
    <dxf>
      <alignment horizontal="left"/>
    </dxf>
    <dxf>
      <font>
        <b/>
      </font>
    </dxf>
    <dxf>
      <font>
        <b/>
      </font>
    </dxf>
    <dxf>
      <alignment horizontal="general"/>
    </dxf>
    <dxf>
      <alignment horizontal="general"/>
    </dxf>
    <dxf>
      <font>
        <b/>
      </font>
    </dxf>
    <dxf>
      <font>
        <b/>
      </font>
    </dxf>
    <dxf>
      <alignment horizontal="left"/>
    </dxf>
    <dxf>
      <alignment horizontal="left"/>
    </dxf>
    <dxf>
      <alignment wrapText="1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</font>
    </dxf>
  </dxfs>
  <tableStyles count="0" defaultTableStyle="TableStyleMedium2" defaultPivotStyle="PivotStyleLight16"/>
  <colors>
    <mruColors>
      <color rgb="FF039703"/>
      <color rgb="FF144C00"/>
      <color rgb="FF08583F"/>
      <color rgb="FFFFA7A7"/>
      <color rgb="FF861032"/>
      <color rgb="FFBFE0F7"/>
      <color rgb="FFF54D65"/>
      <color rgb="FFF9F977"/>
      <color rgb="FFFAC2C2"/>
      <color rgb="FF8CC8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104775</xdr:rowOff>
        </xdr:from>
        <xdr:to>
          <xdr:col>1</xdr:col>
          <xdr:colOff>47625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200025</xdr:colOff>
          <xdr:row>0</xdr:row>
          <xdr:rowOff>85725</xdr:rowOff>
        </xdr:from>
        <xdr:to>
          <xdr:col>6</xdr:col>
          <xdr:colOff>19050</xdr:colOff>
          <xdr:row>0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0</xdr:row>
          <xdr:rowOff>47625</xdr:rowOff>
        </xdr:from>
        <xdr:to>
          <xdr:col>10</xdr:col>
          <xdr:colOff>723900</xdr:colOff>
          <xdr:row>0</xdr:row>
          <xdr:rowOff>495300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5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TRACK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0</xdr:row>
          <xdr:rowOff>581025</xdr:rowOff>
        </xdr:from>
        <xdr:to>
          <xdr:col>10</xdr:col>
          <xdr:colOff>409575</xdr:colOff>
          <xdr:row>0</xdr:row>
          <xdr:rowOff>838200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5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47625</xdr:rowOff>
        </xdr:from>
        <xdr:to>
          <xdr:col>3</xdr:col>
          <xdr:colOff>1343025</xdr:colOff>
          <xdr:row>0</xdr:row>
          <xdr:rowOff>361950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BLOCK CONT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885825</xdr:colOff>
          <xdr:row>0</xdr:row>
          <xdr:rowOff>409575</xdr:rowOff>
        </xdr:from>
        <xdr:to>
          <xdr:col>8</xdr:col>
          <xdr:colOff>838200</xdr:colOff>
          <xdr:row>1</xdr:row>
          <xdr:rowOff>342900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352425</xdr:colOff>
      <xdr:row>16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14550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152400</xdr:rowOff>
        </xdr:from>
        <xdr:to>
          <xdr:col>1</xdr:col>
          <xdr:colOff>1057275</xdr:colOff>
          <xdr:row>0</xdr:row>
          <xdr:rowOff>485775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CONT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vu" refreshedDate="46065.522805787034" createdVersion="6" refreshedVersion="6" minRefreshableVersion="3" recordCount="15" xr:uid="{35F45B39-6057-46EA-84D0-F52EC4DF3D0C}">
  <cacheSource type="worksheet">
    <worksheetSource ref="A1:EG1048576" sheet="IMPORTLISTCONT"/>
  </cacheSource>
  <cacheFields count="137">
    <cacheField name="Column Name" numFmtId="0">
      <sharedItems containsBlank="1"/>
    </cacheField>
    <cacheField name="GenericKey" numFmtId="0">
      <sharedItems containsBlank="1"/>
    </cacheField>
    <cacheField name="RECEIPTKEY" numFmtId="0">
      <sharedItems containsBlank="1" count="233">
        <s v="ASN/Receipt"/>
        <s v="0000007185"/>
        <s v="0000007183"/>
        <s v="0000007174"/>
        <s v="0000007173"/>
        <s v="0000007170"/>
        <s v="0000007169"/>
        <s v="0000007150"/>
        <s v="0000007146"/>
        <s v="0000007132"/>
        <s v="0000007130"/>
        <s v="0000007128"/>
        <s v="0000007123"/>
        <s v="0000007084"/>
        <m/>
        <s v="0000006420" u="1"/>
        <s v="0000006874" u="1"/>
        <s v="0000006463" u="1"/>
        <s v="0000006845" u="1"/>
        <s v="0000007022" u="1"/>
        <s v="0000006581" u="1"/>
        <s v="0000006625" u="1"/>
        <s v="0000006700" u="1"/>
        <s v="0000006816" u="1"/>
        <s v="0000006888" u="1"/>
        <s v="0000006963" u="1"/>
        <s v="0000007065" u="1"/>
        <s v="0000006405" u="1"/>
        <s v="0000006859" u="1"/>
        <s v="0000006890" u="1"/>
        <s v="0000006670" u="1"/>
        <s v="0000006714" u="1"/>
        <s v="0000006905" u="1"/>
        <s v="0000006375" u="1"/>
        <s v="0000006493" u="1"/>
        <s v="0000006875" u="1"/>
        <s v="0000006464" u="1"/>
        <s v="0000006730" u="1"/>
        <s v="0000006582" u="1"/>
        <s v="0000006626" u="1"/>
        <s v="0000006698" u="1"/>
        <s v="0000006701" u="1"/>
        <s v="0000006817" u="1"/>
        <s v="0000006889" u="1"/>
        <s v="0000006669" u="1"/>
        <s v="0000006891" u="1"/>
        <s v="0000006449" u="1"/>
        <s v="0000006715" u="1"/>
        <s v="0000006787" u="1"/>
        <s v="0000006906" u="1"/>
        <s v="0000006260" u="1"/>
        <s v="0000006376" u="1"/>
        <s v="0000006758" u="1"/>
        <s v="0000007010" u="1"/>
        <s v="0000007082" u="1"/>
        <s v="0000006422" u="1"/>
        <s v="0000006729" u="1"/>
        <s v="0000006760" u="1"/>
        <s v="0000006876" u="1"/>
        <s v="0000006011" u="1"/>
        <s v="0000006202" u="1"/>
        <s v="0000006540" u="1"/>
        <s v="0000006656" u="1"/>
        <s v="0000006731" u="1"/>
        <s v="0000006702" u="1"/>
        <s v="0000006818" u="1"/>
        <s v="0000006172" u="1"/>
        <s v="0000006216" u="1"/>
        <s v="0000006820" u="1"/>
        <s v="0000006716" u="1"/>
        <s v="0000006788" u="1"/>
        <s v="0000006907" u="1"/>
        <s v="0000007009" u="1"/>
        <s v="0000006039" u="1"/>
        <s v="0000006261" u="1"/>
        <s v="0000006377" u="1"/>
        <s v="0000006759" u="1"/>
        <s v="0000007083" u="1"/>
        <s v="0000006423" u="1"/>
        <s v="0000006539" u="1"/>
        <s v="0000006761" u="1"/>
        <s v="0000006877" u="1"/>
        <s v="0000007054" u="1"/>
        <s v="0000006657" u="1"/>
        <s v="0000006819" u="1"/>
        <s v="0000007068" u="1"/>
        <s v="0000006173" u="1"/>
        <s v="0000007070" u="1"/>
        <s v="0000006410" u="1"/>
        <s v="0000006601" u="1"/>
        <s v="0000006378" u="1"/>
        <s v="0000006687" u="1"/>
        <s v="0000006878" u="1"/>
        <s v="0000004366" u="1"/>
        <s v="0000006438" u="1"/>
        <s v="0000006513" u="1"/>
        <s v="0000006704" u="1"/>
        <s v="0000007069" u="1"/>
        <s v="0000006102" u="1"/>
        <s v="0000007071" u="1"/>
        <s v="0000006411" u="1"/>
        <s v="0000006940" u="1"/>
        <s v="0000006307" u="1"/>
        <s v="0000006836" u="1"/>
        <s v="0000006688" u="1"/>
        <s v="0000004367" u="1"/>
        <s v="0000006468" u="1"/>
        <s v="0000006690" u="1"/>
        <s v="0000006925" u="1"/>
        <s v="0000006439" u="1"/>
        <s v="0000006514" u="1"/>
        <s v="0000006705" u="1"/>
        <s v="0000006852" u="1"/>
        <s v="0000006103" u="1"/>
        <s v="0000006175" u="1"/>
        <s v="0000007000" u="1"/>
        <s v="0000007072" u="1"/>
        <s v="0000006412" u="1"/>
        <s v="0000006528" u="1"/>
        <s v="0000006308" u="1"/>
        <s v="0000006530" u="1"/>
        <s v="0000006984" u="1"/>
        <s v="0000006044" u="1"/>
        <s v="0000006501" u="1"/>
        <s v="0000006617" u="1"/>
        <s v="0000006882" u="1"/>
        <s v="0000006926" u="1"/>
        <s v="0000006515" u="1"/>
        <s v="0000007030" u="1"/>
        <s v="0000006176" u="1"/>
        <s v="0000006338" u="1"/>
        <s v="0000006413" u="1"/>
        <s v="0000006529" u="1"/>
        <s v="0000006340" u="1"/>
        <s v="0000006531" u="1"/>
        <s v="0000006236" u="1"/>
        <s v="0000006502" u="1"/>
        <s v="0000006840" u="1"/>
        <s v="0000006956" u="1"/>
        <s v="0000007133" u="1"/>
        <s v="0000006811" u="1"/>
        <s v="0000006927" u="1"/>
        <s v="0000006999" u="1"/>
        <s v="0000006090" u="1"/>
        <s v="0000006516" u="1"/>
        <s v="0000006707" u="1"/>
        <s v="0000007031" u="1"/>
        <s v="0000006105" u="1"/>
        <s v="0000006897" u="1"/>
        <s v="0000006339" u="1"/>
        <s v="0000006414" u="1"/>
        <s v="0000006561" u="1"/>
        <s v="0000006943" u="1"/>
        <s v="0000007120" u="1"/>
        <s v="0000006532" u="1"/>
        <s v="0000006648" u="1"/>
        <s v="0000006839" u="1"/>
        <s v="0000006870" u="1"/>
        <s v="0000006237" u="1"/>
        <s v="0000006503" u="1"/>
        <s v="0000006619" u="1"/>
        <s v="0000006650" u="1"/>
        <s v="0000007134" u="1"/>
        <s v="0000006089" u="1"/>
        <s v="0000006546" u="1"/>
        <s v="0000006812" u="1"/>
        <s v="0000007061" u="1"/>
        <s v="0000006091" u="1"/>
        <s v="0000006062" u="1"/>
        <s v="0000006710" u="1"/>
        <s v="0000006898" u="1"/>
        <s v="0000006901" u="1"/>
        <s v="0000007075" u="1"/>
        <s v="0000007119" u="1"/>
        <s v="0000006371" u="1"/>
        <s v="0000006415" u="1"/>
        <s v="0000006678" u="1"/>
        <s v="0000006944" u="1"/>
        <s v="0000007121" u="1"/>
        <s v="0000006533" u="1"/>
        <s v="0000006649" u="1"/>
        <s v="0000006871" u="1"/>
        <s v="0000006504" u="1"/>
        <s v="0000006651" u="1"/>
        <s v="0000006694" u="1"/>
        <s v="0000006960" u="1"/>
        <s v="0000006709" u="1"/>
        <s v="0000006856" u="1"/>
        <s v="0000006445" u="1"/>
        <s v="0000006899" u="1"/>
        <s v="0000007076" u="1"/>
        <s v="0000006034" u="1"/>
        <s v="0000006372" u="1"/>
        <s v="0000006563" u="1"/>
        <s v="0000006679" u="1"/>
        <s v="0000007122" u="1"/>
        <s v="0000006077" u="1"/>
        <s v="0000006268" u="1"/>
        <s v="0000006534" u="1"/>
        <s v="0000006872" u="1"/>
        <s v="0000007018" u="1"/>
        <s v="0000006048" u="1"/>
        <s v="0000006959" u="1"/>
        <s v="0000007020" u="1"/>
        <s v="0000007136" u="1"/>
        <s v="0000006695" u="1"/>
        <s v="0000006961" u="1"/>
        <s v="0000006328" u="1"/>
        <s v="0000007034" u="1"/>
        <s v="0000006330" u="1"/>
        <s v="0000006446" u="1"/>
        <s v="0000006593" u="1"/>
        <s v="0000006373" u="1"/>
        <s v="0000006564" u="1"/>
        <s v="0000006078" u="1"/>
        <s v="0000006873" u="1"/>
        <s v="0000007019" u="1"/>
        <s v="0000006049" u="1"/>
        <s v="0000007021" u="1"/>
        <s v="0000006580" u="1"/>
        <s v="0000006815" u="1"/>
        <s v="0000006962" u="1"/>
        <s v="0000007064" u="1"/>
        <s v="0000006329" u="1"/>
        <s v="0000006404" u="1"/>
        <s v="0000006742" u="1"/>
        <s v="0000007035" u="1"/>
        <s v="0000006331" u="1"/>
        <s v="0000006447" u="1"/>
        <s v="0000006713" u="1"/>
        <s v="0000006904" u="1"/>
        <s v="0000007006" u="1"/>
        <s v="0000006374" u="1"/>
      </sharedItems>
    </cacheField>
    <cacheField name="STORERKEY" numFmtId="0">
      <sharedItems containsBlank="1"/>
    </cacheField>
    <cacheField name="WAREHOUSEREFERENCE" numFmtId="0">
      <sharedItems containsBlank="1"/>
    </cacheField>
    <cacheField name="EXPECTEDRECEIPTDATE" numFmtId="0">
      <sharedItems containsBlank="1"/>
    </cacheField>
    <cacheField name="EXTERNRECEIPTKEY" numFmtId="0">
      <sharedItems containsBlank="1"/>
    </cacheField>
    <cacheField name="POKEY" numFmtId="0">
      <sharedItems containsBlank="1"/>
    </cacheField>
    <cacheField name="CARRIERNAME" numFmtId="0">
      <sharedItems containsBlank="1"/>
    </cacheField>
    <cacheField name="CARRIERREFERENCE" numFmtId="0">
      <sharedItems containsBlank="1"/>
    </cacheField>
    <cacheField name="CONTAINERKEY" numFmtId="0">
      <sharedItems containsBlank="1"/>
    </cacheField>
    <cacheField name="RECEIPTDATE" numFmtId="0">
      <sharedItems containsBlank="1"/>
    </cacheField>
    <cacheField name="STATUS" numFmtId="0">
      <sharedItems containsBlank="1"/>
    </cacheField>
    <cacheField name="TYPE" numFmtId="0">
      <sharedItems containsBlank="1"/>
    </cacheField>
    <cacheField name="CLOSEDDATE" numFmtId="0">
      <sharedItems containsBlank="1"/>
    </cacheField>
    <cacheField name="VERIFIEDCLOSEDDATE" numFmtId="0">
      <sharedItems containsBlank="1"/>
    </cacheField>
    <cacheField name="EARLIESTSHIPDATE" numFmtId="0">
      <sharedItems containsBlank="1"/>
    </cacheField>
    <cacheField name="REQUIREDSHIPDATE" numFmtId="0">
      <sharedItems containsBlank="1"/>
    </cacheField>
    <cacheField name="ScheduledShipDate" numFmtId="0">
      <sharedItems containsBlank="1"/>
    </cacheField>
    <cacheField name="ActualShipDate" numFmtId="0">
      <sharedItems containsBlank="1"/>
    </cacheField>
    <cacheField name="EARLIESTDELIVERYDATE" numFmtId="0">
      <sharedItems containsBlank="1"/>
    </cacheField>
    <cacheField name="REQUIREDDELIVERYDATE" numFmtId="0">
      <sharedItems containsBlank="1"/>
    </cacheField>
    <cacheField name="ArrivalDateTime" numFmtId="0">
      <sharedItems containsBlank="1"/>
    </cacheField>
    <cacheField name="ACTUALDEPARTUREDATE" numFmtId="0">
      <sharedItems containsBlank="1"/>
    </cacheField>
    <cacheField name="DOOR" numFmtId="0">
      <sharedItems containsBlank="1"/>
    </cacheField>
    <cacheField name="APPOINTMENTKEY" numFmtId="0">
      <sharedItems containsBlank="1"/>
    </cacheField>
    <cacheField name="EFFECTIVEDATE" numFmtId="0">
      <sharedItems containsBlank="1"/>
    </cacheField>
    <cacheField name="EXTERNALRECEIPTKEY2" numFmtId="0">
      <sharedItems containsBlank="1"/>
    </cacheField>
    <cacheField name="GrossWeight" numFmtId="0">
      <sharedItems containsBlank="1"/>
    </cacheField>
    <cacheField name="TotalVolume" numFmtId="0">
      <sharedItems containsBlank="1"/>
    </cacheField>
    <cacheField name="TRANSPORTATIONSTATUS" numFmtId="0">
      <sharedItems containsBlank="1"/>
    </cacheField>
    <cacheField name="ADVICEDATE" numFmtId="0">
      <sharedItems containsBlank="1"/>
    </cacheField>
    <cacheField name="ADVICENUMBER" numFmtId="0">
      <sharedItems containsBlank="1"/>
    </cacheField>
    <cacheField name="ALLOWAUTORECEIPT" numFmtId="0">
      <sharedItems containsBlank="1"/>
    </cacheField>
    <cacheField name="PACKINGSLIPNUMBER" numFmtId="0">
      <sharedItems containsBlank="1" count="233">
        <s v="Packing Slip Number"/>
        <s v="SINCERE 40/12/25-SINCERE"/>
        <s v=" SINCERE 41/12/25-SINCERE"/>
        <s v="LEGEND 140/12/25-LGD"/>
        <s v="LEGEND 139/12/25-LGD"/>
        <s v="SONGRI 120/09/25-SR"/>
        <s v="OML 17-1/08/25-OML"/>
        <s v="ZHL 26/09/25-ZHL"/>
        <s v=" ZHL 27/11/25-ZHL"/>
        <s v="JINLING 18/10/25-JINLING"/>
        <s v="LEEDARSON 1250/11/25-LDS"/>
        <s v=" LEEDARSON 1228/11/25-LDS"/>
        <s v="BANQ 407/10/25-SZBQ"/>
        <s v="WEIDASI 28/11/25-WD"/>
        <m/>
        <s v=" BANQ 399/09/25-SZBQ" u="1"/>
        <s v=" BANQ 401/09/25-SZBQ" u="1"/>
        <s v=" BANQ 402/09/25-SZBQ" u="1"/>
        <s v="LEEDARSON 1000/08/25-LDS" u="1"/>
        <s v="LEEDARSON 1136/08/25-LDS" u="1"/>
        <s v="LEEDARSON 1138/08/25-LDS" u="1"/>
        <s v="LEEDARSON 1139/08/25-LDS" u="1"/>
        <s v="LEEDARSON 1141/08/25-LDS" u="1"/>
        <s v="LEEDARSON 1143/08/25-LDS" u="1"/>
        <s v="LEEDARSON 1144/08/25-LDS" u="1"/>
        <s v="LEEDARSON 1145/08/25-LDS" u="1"/>
        <s v="LEEDARSON 1149/08/25-LDS" u="1"/>
        <s v="LEEDARSON 1152/08/25-LDS" u="1"/>
        <s v="LEEDARSON 1154/08/25-LDS" u="1"/>
        <s v="LEEDARSON 1155/08/25-LDS" u="1"/>
        <s v="LEEDARSON 1156/08/25-LDS" u="1"/>
        <s v="LEEDARSON 1157/08/25-LDS" u="1"/>
        <s v="LEEDARSON 1158/08/25-LDS" u="1"/>
        <s v="LEEDARSON 1159/08/25-LDS" u="1"/>
        <s v="LEEDARSON 1161/08/25-LDS" u="1"/>
        <s v="LEEDARSON 1162/08/25-LDS" u="1"/>
        <s v="LEEDARSON 1164/08/25-LDS" u="1"/>
        <s v="LEEDARSON 1166/08/25-LDS" u="1"/>
        <s v="LEEDARSON 1167/08/25-LDS" u="1"/>
        <s v="LEEDARSON 1172/08/25-LDS" u="1"/>
        <s v="LEEDARSON 1173/08/25-LDS" u="1"/>
        <s v="LEEDARSON 1174/08/25-LDS" u="1"/>
        <s v="LEEDARSON 1175/08/25-LDS" u="1"/>
        <s v="LEEDARSON 1176/08/25-LDS" u="1"/>
        <s v="LEEDARSON 1182/08/25-LDS" u="1"/>
        <s v="LEEDARSON 1186/08/25-LDS" u="1"/>
        <s v="LEEDARSON 1188/08/25-LDS" u="1"/>
        <s v="KRIPAL 28/09/25-KRL" u="1"/>
        <s v="LONGER 02/08/25-LONGER" u="1"/>
        <s v="LONGER 03/11/25-LONGER" u="1"/>
        <s v=" LEGEND 135/09/25-LGD" u="1"/>
        <s v="VGLINT 06/10/25-PSE (ĐỦ)" u="1"/>
        <s v="GLDU3503099/20DC/FX45335507" u="1"/>
        <s v="JINLING 18/10/25-JINLING - CON" u="1"/>
        <s v=" HENT 49/08/25-HENT" u="1"/>
        <s v="KLITE 191/08/25-KLITE - CONT 1" u="1"/>
        <s v="KLITE 192/08/25-KLITE - CONT 1" u="1"/>
        <s v="OUYASHI 09/08/25-OYSHI - CONT" u="1"/>
        <s v="SONGRI 116/08/25-SR" u="1"/>
        <s v="SONGRI 117/08/25-SR" u="1"/>
        <s v="SONGRI 118/08/25-SR" u="1"/>
        <s v="SONGRI 119/08/25-SR" u="1"/>
        <s v="HÀNG BÙ ĐG KEZE 09/2025" u="1"/>
        <s v="LEEDARSON 1196/10/25-LDS" u="1"/>
        <s v="LEEDARSON 1197/10/25-LDS" u="1"/>
        <s v="LEEDARSON 1198/10/25-LDS" u="1"/>
        <s v="LEEDARSON 1200/10/25-LDS" u="1"/>
        <s v="LEEDARSON 1201/10/25-LDS" u="1"/>
        <s v="LEEDARSON 1205/10/25-LDS" u="1"/>
        <s v="LEEDARSON 1206/10/25-LDS" u="1"/>
        <s v="LEEDARSON 1209/10/25-LDS" u="1"/>
        <s v="LEEDARSON 1210/10/25-LDS" u="1"/>
        <s v="LEEDARSON 1214/10/25-LDS" u="1"/>
        <s v="LEEDARSON 1215/10/25-LDS" u="1"/>
        <s v=" BANQ 375/06/25-SZBQ" u="1"/>
        <s v=" BANQ 381/06/25-SZBQ" u="1"/>
        <s v="ZHL 27" u="1"/>
        <s v="KLITE 191/08/25-KLITE - CONT 2" u="1"/>
        <s v="KLITE 192/08/25-KLITE - CONT 2" u="1"/>
        <s v="KLITE 204/10/25-KLITE - CONT 2" u="1"/>
        <s v="HÀNG BÙ ĐG LEGEND 10/2025" u="1"/>
        <s v=" LEEDARSON 1200/10/25-LDS" u="1"/>
        <s v=" LEEDARSON 1203/10/25-LDS" u="1"/>
        <s v=" LEEDARSON 1204/10/25-LDS" u="1"/>
        <s v=" LEEDARSON 1207/10/25-LDS" u="1"/>
        <s v=" LEEDARSON 1208/10/25-LDS" u="1"/>
        <s v=" LEEDARSON 1212/10/25-LDS" u="1"/>
        <s v=" LEEDARSON 1213/10/25-LDS" u="1"/>
        <s v=" LEEDARSON 1219/10/25-LDS" u="1"/>
        <s v="ZHL 23/08/25-ZHL" u="1"/>
        <s v="HENT 50/10/25-HENT" u="1"/>
        <s v="FEIHE 03/05/25-FEIHE" u="1"/>
        <s v=" LEEDARSON 1226/11/25-LDS" u="1"/>
        <s v=" LEEDARSON 1227/11/25-LDS" u="1"/>
        <s v=" LEEDARSON 1230/11/25-LDS" u="1"/>
        <s v=" LEEDARSON 1233/11/25-LDS" u="1"/>
        <s v="KRIPAL 29/11/25-KRL" u="1"/>
        <s v="LONGJING 23/09/25-LJG" u="1"/>
        <s v="LEGEND 137/11/25-LGD" u="1"/>
        <s v="LEGEND 138/11/25-LGD" u="1"/>
        <s v=" WEIDASI 27/11/25-WD" u="1"/>
        <s v=" WEIDASI 29/11/25-WD" u="1"/>
        <s v=" DAYANG 02/08/25-DYANG (ĐỦ)" u="1"/>
        <s v="BANQ 373/06/25-SZBQ" u="1"/>
        <s v="BANQ 374/06/25-SZBQ" u="1"/>
        <s v="BANQ 377/06/25-SZBQ" u="1"/>
        <s v="BANQ 378/06/25-SZBQ" u="1"/>
        <s v="LANCESUN 05/07/25-LCS" u="1"/>
        <s v=" VGLINT 06/10/25-PSE (ĐỦ)" u="1"/>
        <s v="KEZE 65/07/25-KZ" u="1"/>
        <s v="SONGRI 113/06/25-SR" u="1"/>
        <s v=" KLITE 187/07/25-KLITE" u="1"/>
        <s v=" KLITE 188/08/25-KLITE" u="1"/>
        <s v=" KLITE 189/08/25-KLITE" u="1"/>
        <s v=" KLITE 190/08/25-KLITE" u="1"/>
        <s v=" KLITE 193/08/25-KLITE" u="1"/>
        <s v=" KLITE 194/08/25-KLITE" u="1"/>
        <s v=" KLITE 195/08/25-KLITE" u="1"/>
        <s v=" KLITE 196/08/25-KLITE" u="1"/>
        <s v=" KLITE 197/08/25-KLITE" u="1"/>
        <s v=" KLITE 201/10/25-KLITE" u="1"/>
        <s v=" KLITE 202/10/25-KLITE" u="1"/>
        <s v=" KLITE 203/10/25-KLITE" u="1"/>
        <s v=" KLITE 206/11/25-KLITE" u="1"/>
        <s v=" KLITE 210/11/25-KLITE" u="1"/>
        <s v=" KLITE 212/11/25-KLITE" u="1"/>
        <s v=" BANQ 385/08/25-SZBQ" u="1"/>
        <s v=" BANQ 387/08/25-SZBQ" u="1"/>
        <s v=" BANQ 388/08/25-SZBQ" u="1"/>
        <s v=" BANQ 390/08/25-SZBQ" u="1"/>
        <s v=" BANQ 391/08/25-SZBQ" u="1"/>
        <s v=" BANQ 392/08/25-SZBQ" u="1"/>
        <s v=" NARKEN 49/07/25-NK (ĐỦ)" u="1"/>
        <s v="KEZE 66/10/25-KZ - ĐỢT 1 (CONT" u="1"/>
        <s v="JINLING 17/07/25-JINLING-CONT" u="1"/>
        <s v="BANQ 382/07/25-SZBQ" u="1"/>
        <s v="BANQ 383/07/25-SZBQ" u="1"/>
        <s v=" BENHAO 20/06/25-BHO" u="1"/>
        <s v="OUYASHI 09/08/25-OYSHI -CONT 3" u="1"/>
        <s v="KEZE 66/10/25-KZ" u="1"/>
        <s v="HÀNG BÙ ĐG KRIPAL 09+10/2025" u="1"/>
        <s v="OML 16/08/25-OML" u="1"/>
        <s v="OML 17/08/25-OML" u="1"/>
        <s v="LEEDARSON 1133/06/25-LDS" u="1"/>
        <s v="OULI 04/08/25-OULI" u="1"/>
        <s v="BANQ 373-1" u="1"/>
        <s v="BANQ 384/08/25-SZBQ" u="1"/>
        <s v="BANQ 386/08/25-SZBQ" u="1"/>
        <s v="BANQ 389/08/25-SZBQ" u="1"/>
        <s v="BANQ 393/08/25-SZBQ" u="1"/>
        <s v="BANQ 394/08/25-SZBQ" u="1"/>
        <s v="BANQ 395/08/25-SZBQ" u="1"/>
        <s v="KEZE 64/07/25-KZ - ĐỢT 2" u="1"/>
        <s v=" LEEDARSON 1111/05/25-LDS" u="1"/>
        <s v="KEZE 67/11/25-KZ ( CONT 1)" u="1"/>
        <s v="SINCERE 36/06/25-SINCERE" u="1"/>
        <s v="SINCERE 37/06/25-SINCERE" u="1"/>
        <s v="SINCERE 39/11/25-SINCERE" u="1"/>
        <s v=" LEEDARSON 1137/08/25-LDS" u="1"/>
        <s v=" LEEDARSON 1140/08/25-LDS" u="1"/>
        <s v=" LEEDARSON 1142/08/25-LDS" u="1"/>
        <s v=" LEEDARSON 1148/08/25-LDS" u="1"/>
        <s v=" LEEDARSON 1150/08/25-LDS" u="1"/>
        <s v=" LEEDARSON 1151/08/25-LDS" u="1"/>
        <s v=" LEEDARSON 1153/08/25-LDS" u="1"/>
        <s v=" LEEDARSON 1154/08/25-LDS" u="1"/>
        <s v=" LEEDARSON 1160/08/25-LDS" u="1"/>
        <s v=" LEEDARSON 1163/08/25-LDS" u="1"/>
        <s v=" LEEDARSON 1165/08/25-LDS" u="1"/>
        <s v=" LEEDARSON 1168/08/25-LDS" u="1"/>
        <s v=" LEEDARSON 1169/08/25-LDS" u="1"/>
        <s v=" LEEDARSON 1170/08/25-LDS" u="1"/>
        <s v=" LEEDARSON 1171/08/25-LDS" u="1"/>
        <s v=" LEEDARSON 1177/08/25-LDS" u="1"/>
        <s v=" LEEDARSON 1178/08/25-LDS" u="1"/>
        <s v=" LEEDARSON 1179/08/25-LDS" u="1"/>
        <s v=" LEEDARSON 1180/08/25-LDS" u="1"/>
        <s v=" LEEDARSON 1181/08/25-LDS" u="1"/>
        <s v=" LEEDARSON 1187/08/25-LDS" u="1"/>
        <s v="KEZE 65/07/25-KZ ( CONT 2)" u="1"/>
        <s v="KEZE 67/11/25-KZ ( CONT 2)" u="1"/>
        <s v="KLITE 198/08/25-KLITE" u="1"/>
        <s v="KLITE 199/08/25-KLITE" u="1"/>
        <s v="KLITE 200/09/25-KLITE" u="1"/>
        <s v="KLITE 204/10/25-KLITE" u="1"/>
        <s v="KLITE 207/11/25-KLITE" u="1"/>
        <s v="KLITE 208/11/25-KLITE" u="1"/>
        <s v="KLITE 209/11/25-KLITE" u="1"/>
        <s v="KLITE 211/11/25-KLITE" u="1"/>
        <s v=" LEEDARSON 1190/09/25-LDS" u="1"/>
        <s v=" LEEDARSON 1193/09/25-LDS" u="1"/>
        <s v=" SINCERE 38/11/25-SINCERE" u="1"/>
        <s v="KEZE 66/10/25-KZ - CONT 1" u="1"/>
        <s v="BANQ 405/10/25-SZBQ" u="1"/>
        <s v="BANQ 406/10/25-SZBQ" u="1"/>
        <s v="JINLING 16/06/25-JINLING" u="1"/>
        <s v=" AXD 08/11/25-AXD" u="1"/>
        <s v="BANQ 396/09/25-SZBQ" u="1"/>
        <s v="BANQ 397/09/25-SZBQ" u="1"/>
        <s v="BANQ 398/09/25-SZBQ" u="1"/>
        <s v="BANQ 400/09/25-SZBQ" u="1"/>
        <s v="BANQ 403/09/25-SZBQ" u="1"/>
        <s v="KEZE 66/10/25-KZ - CONT 2" u="1"/>
        <s v=" ZHL 25/08/25-ZHL" u="1"/>
        <s v="HÀNG BÙ ĐG KEZE 62/05/25-KZ" u="1"/>
        <s v="LEEDARSON 1114/05/25-LDS" u="1"/>
        <s v="LEEDARSON 1117/05/25-LDS" u="1"/>
        <s v="LEEDARSON 1118/05/25-LDS" u="1"/>
        <s v="LEEDARSON 1125/05/25-LDS" u="1"/>
        <s v="BANQ 412/11/25-SZBQ" u="1"/>
        <s v="BANQ 413/11/25-SZBQ" u="1"/>
        <s v="BANQ 414/11/25-SZBQ" u="1"/>
        <s v="LEEDARSON 1189/09/25-LDS" u="1"/>
        <s v="LEEDARSON 1190/09/25-LDS" u="1"/>
        <s v="LEEDARSON 1191/09/25-LDS" u="1"/>
        <s v="LEEDARSON 1192/09/25-LDS" u="1"/>
        <s v="LEEDARSON 1195/09/25-LDS" u="1"/>
        <s v="LEEDARSON 1199/09/25-LDS" u="1"/>
        <s v=" ZHL 26/09/25-ZHL" u="1"/>
        <s v=" ZHL 27/09/25-ZHL" u="1"/>
        <s v="HÀNG BÙ ĐG KRIPAL PO17+19+20" u="1"/>
        <s v="SNC 06/08/24-SNC" u="1"/>
        <s v="HIGHSTAR 04/06/25-HSTAR" u="1"/>
        <s v=" ROULE 02/08/25-RL" u="1"/>
        <s v="ZHL 22/06/25-ZHL" u="1"/>
        <s v="WEIDASI 26/09/25-WD" u="1"/>
        <s v="LEEDARSON 1229/11/25-LDS" u="1"/>
        <s v="LEEDARSON 1236/11/25-LDS" u="1"/>
        <s v="LEEDARSON 1237/11/25-LDS" u="1"/>
        <s v=" LEGEND 136/10/25-LGD" u="1"/>
        <s v="SNC 06/08/24-SNC - ĐỢT 1" u="1"/>
        <s v=" SONGRI 115/08/25-SR" u="1"/>
        <s v="LEGEND 134/07/25-LGD" u="1"/>
      </sharedItems>
    </cacheField>
    <cacheField name="RMA" numFmtId="0">
      <sharedItems containsBlank="1"/>
    </cacheField>
    <cacheField name="SUSR1" numFmtId="0">
      <sharedItems containsBlank="1"/>
    </cacheField>
    <cacheField name="SUSR2" numFmtId="0">
      <sharedItems containsBlank="1" count="212">
        <s v="ASN Header UDF2"/>
        <s v="CMAU2068088"/>
        <s v="TEMU4975793"/>
        <s v="EISU2135561"/>
        <s v="EITU0003512"/>
        <s v="MSNU2516573"/>
        <s v=""/>
        <s v="BMOU5930378"/>
        <s v="GLDU3503099"/>
        <s v="TXGU7817520"/>
        <s v="OOCU7300079"/>
        <s v="UETU6535064"/>
        <s v="MSNU5586105"/>
        <s v="BHCU5000835"/>
        <m/>
        <s v="BEAU2658976" u="1"/>
        <s v="GESU6932357" u="1"/>
        <s v="TGBU4640716" u="1"/>
        <s v="TXGU5316983" u="1"/>
        <s v="MEDU4680629" u="1"/>
        <s v="TXGU5563704" u="1"/>
        <s v="WHSU6915080" u="1"/>
        <s v="HASU4202618" u="1"/>
        <s v="HASU4443195" u="1"/>
        <s v="MSBU7528800" u="1"/>
        <s v="WHLU0575876" u="1"/>
        <s v="EGSU2294493" u="1"/>
        <s v="SNBU8508091" u="1"/>
        <s v="CSNU6643365" u="1"/>
        <s v="MSBU6588851" u="1"/>
        <s v="MRSU4424929" u="1"/>
        <s v="MSDU6250286" u="1"/>
        <s v="CAIU9798296" u="1"/>
        <s v="FFAU6542980" u="1"/>
        <s v="TCLU7845287" u="1"/>
        <s v="TEMU7879134" u="1"/>
        <s v="GCXU5081327" u="1"/>
        <s v="MEDU4693354" u="1"/>
        <s v="TEMU8424103" u="1"/>
        <s v="TGBU5967663" u="1"/>
        <s v="BMOU5361749" u="1"/>
        <s v="BMOU6320826" u="1"/>
        <s v="MRSU7482132" u="1"/>
        <s v="NBYU0176970" u="1"/>
        <s v="SKHU8132310" u="1"/>
        <s v="HPCU4699191" u="1"/>
        <s v="MEDU7894481" u="1"/>
        <s v="MRKU3889261" u="1"/>
        <s v="TRHU5968236" u="1"/>
        <s v="MSCU4594859" u="1"/>
        <s v="TCNU3960309" u="1"/>
        <s v="MSBU6925398" u="1"/>
        <s v="SNBU8467921" u="1"/>
        <s v="HÀNG LẺ" u="1"/>
        <s v="EGSU9268794" u="1"/>
        <s v="EITU1347810" u="1"/>
        <s v="SKIU9100543" u="1"/>
        <s v="YMMU6919321" u="1"/>
        <s v="MSCU5213556" u="1"/>
        <s v="MSNU9302043" u="1"/>
        <s v="OOLU8766664" u="1"/>
        <s v="OOLU8878134" u="1"/>
        <s v="OOLU9396142" u="1"/>
        <s v="TIIU5340522" u="1"/>
        <s v="CSNU8433389" u="1"/>
        <s v="FCGU2324742" u="1"/>
        <s v="MRSU7276002" u="1"/>
        <s v="NBYU8216322" u="1"/>
        <s v="UETU5138139" u="1"/>
        <s v="WHLU5770427" u="1"/>
        <s v="OOCU8429292" u="1"/>
        <s v="TIIU5831850" u="1"/>
        <s v="PONU8209522" u="1"/>
        <s v="WHSU5970210" u="1"/>
        <s v="BEAU6404270" u="1"/>
        <s v="MEDU5083314" u="1"/>
        <s v="MSNU9110415" u="1"/>
        <s v="OOCU7654112" u="1"/>
        <s v="CRSU9313126" u="1"/>
        <s v="MRKU4035020" u="1"/>
        <s v="SEKU4462649" u="1"/>
        <s v="SNBU2393204" u="1"/>
        <s v="HASU4133800" u="1"/>
        <s v="MSKU1642778" u="1"/>
        <s v="YMLU8985118" u="1"/>
        <s v="MSBU1384372" u="1"/>
        <s v="MSDU7291187" u="1"/>
        <s v="SEGU6078366" u="1"/>
        <s v="SEGU6555725" u="1"/>
        <s v="TGBU2397886" u="1"/>
        <s v="UETU7283028" u="1"/>
        <s v="FFAU2852797" u="1"/>
        <s v="MSDU8702718" u="1"/>
        <s v="BHCU4996428" u="1"/>
        <s v="HASU4146833" u="1"/>
        <s v="MRSU7046015" u="1"/>
        <s v="TRHU5728045" u="1"/>
        <s v="CAAU5633187" u="1"/>
        <s v="TCNU6293220" u="1"/>
        <s v="FSCU8512260" u="1"/>
        <s v="MSKU9047447" u="1"/>
        <s v="CSNU8530769" u="1"/>
        <s v="FFAU3622952" u="1"/>
        <s v="OCGU8005525" u="1"/>
        <s v="YMLU8843052" u="1"/>
        <s v="CBHU9512355" u="1"/>
        <s v="MEDU8505774" u="1"/>
        <s v="TGBU9207463" u="1"/>
        <s v="TXGU7877772" u="1"/>
        <s v="MRKU4535431" u="1"/>
        <s v="OOLU8762294" u="1"/>
        <s v="SEGU5035138" u="1"/>
        <s v="SEGU6718340" u="1"/>
        <s v="TLLU7529435" u="1"/>
        <s v="CAAU4892199" u="1"/>
        <s v="CAAU5381697" u="1"/>
        <s v="FSCU8983070" u="1"/>
        <s v="FFAU5559078" u="1"/>
        <s v="MSDU7734140" u="1"/>
        <s v="OOLU9781827" u="1"/>
        <s v="CSNU5865408" u="1"/>
        <s v="SUDU8714894" u="1"/>
        <s v="TCLU7881469" u="1"/>
        <s v="TGBU8555633" u="1"/>
        <s v="BMOU6020813" u="1"/>
        <s v="MRSU8095293" u="1"/>
        <s v="MSDU6696046" u="1"/>
        <s v="MSMU4568280" u="1"/>
        <s v="MSMU8842640" u="1"/>
        <s v="MSNU9234993" u="1"/>
        <s v="CAAU5774544" u="1"/>
        <s v="CSLU6064392" u="1"/>
        <s v="MRKU3773292" u="1"/>
        <s v="CSNU7931031" u="1"/>
        <s v="TLLU7806458" u="1"/>
        <s v="TRHU4200080" u="1"/>
        <s v="BMOU1204588" u="1"/>
        <s v="CBHU8973521" u="1"/>
        <s v="MSNU1907547" u="1"/>
        <s v="MSNU8682545" u="1"/>
        <s v="OOLU8756650" u="1"/>
        <s v="UETU5372867" u="1"/>
        <s v="FFAU1744859" u="1"/>
        <s v="FFAU2790186" u="1"/>
        <s v="TIIU4307258" u="1"/>
        <s v="TXGU7848964" u="1"/>
        <s v="OOLU8772585" u="1"/>
        <s v="XINU8170792" u="1"/>
        <s v="MRSU8192420" u="1"/>
        <s v="TCNU6700603" u="1"/>
        <s v="CBHU9026918" u="1"/>
        <s v="CSLU6188222" u="1"/>
        <s v="MSDU8236420" u="1"/>
        <s v="MSNU8684698" u="1"/>
        <s v="MRSU6674850" u="1"/>
        <s v="MSDU1720453" u="1"/>
        <s v="MSDU5856598" u="1"/>
        <s v="TXGU8635644" u="1"/>
        <s v="CSNU8626156" u="1"/>
        <s v="MSNU5175465" u="1"/>
        <s v="SNBU8419754" u="1"/>
        <s v="OOLU9757158" u="1"/>
        <s v="SNBU8300298" u="1"/>
        <s v="TGBU8051273" u="1"/>
        <s v="TIIU5718438" u="1"/>
        <s v="IAAU1051645" u="1"/>
        <s v="NBYU8244920" u="1"/>
        <s v="OOLU9908845" u="1"/>
        <s v="YMLU8720649" u="1"/>
        <s v="SNBU8210300" u="1"/>
        <s v="TLLU5865209" u="1"/>
        <s v="EGSU9447228" u="1"/>
        <s v="FFAU5409355" u="1"/>
        <s v="HAHU5021056" u="1"/>
        <s v="OOCU7713724" u="1"/>
        <s v="MRKU3376058" u="1"/>
        <s v="MRKU3527576" u="1"/>
        <s v="SNBU8477730" u="1"/>
        <s v="SNBU8502489" u="1"/>
        <s v="TRHU5875200" u="1"/>
        <s v="WHSU5132578" u="1"/>
        <s v="ZCSU7462675" u="1"/>
        <s v="BMOU5115149" u="1"/>
        <s v="MSBU7607637" u="1"/>
        <s v="SNBU8440690" u="1"/>
        <s v="TCNU9730896" u="1"/>
        <s v="BMOU5583598" u="1"/>
        <s v="CSNU2150550" u="1"/>
        <s v="CSNU8779900" u="1"/>
        <s v="CSNU8473740" u="1"/>
        <s v="GLDU9467770" u="1"/>
        <s v="MRSU4954718" u="1"/>
        <s v="TRHU4669375" u="1"/>
        <s v="CCLU7933761" u="1"/>
        <s v="UETU7616068" u="1"/>
        <s v="YMLU8853364" u="1"/>
        <s v="MRKU4287119" u="1"/>
        <s v="OOCU7191907" u="1"/>
        <s v="BURU6662784" u="1"/>
        <s v="MEDU7096028" u="1"/>
        <s v="UETU2884540" u="1"/>
        <s v="BSIU9573438" u="1"/>
        <s v="MEDU5309090" u="1"/>
        <s v="OOLU8857131" u="1"/>
        <s v="FFAU7010765" u="1"/>
        <s v="TGHU9888013" u="1"/>
        <s v="TIIU4108554" u="1"/>
        <s v="EGSU6386643" u="1"/>
        <s v="CAAU5936898" u="1"/>
        <s v="CSNU5608879" u="1"/>
        <s v="MSKU9335382" u="1"/>
        <s v="MSMU7227440" u="1"/>
      </sharedItems>
    </cacheField>
    <cacheField name="SUSR3" numFmtId="0">
      <sharedItems containsBlank="1"/>
    </cacheField>
    <cacheField name="SUSR4" numFmtId="0">
      <sharedItems containsBlank="1"/>
    </cacheField>
    <cacheField name="SUSR5" numFmtId="0">
      <sharedItems containsBlank="1"/>
    </cacheField>
    <cacheField name="TRACKINVENTORYBY" numFmtId="0">
      <sharedItems containsBlank="1"/>
    </cacheField>
    <cacheField name="ShipFromAddressLine1" numFmtId="0">
      <sharedItems containsBlank="1"/>
    </cacheField>
    <cacheField name="ShipFromAddressLine2" numFmtId="0">
      <sharedItems containsBlank="1"/>
    </cacheField>
    <cacheField name="ShipFromAddressLine3" numFmtId="0">
      <sharedItems containsBlank="1"/>
    </cacheField>
    <cacheField name="ShipFromAddressLine4" numFmtId="0">
      <sharedItems containsBlank="1"/>
    </cacheField>
    <cacheField name="SHIPFROMADDRESSLINE5" numFmtId="0">
      <sharedItems containsBlank="1"/>
    </cacheField>
    <cacheField name="SHIPFROMADDRESSLINE6" numFmtId="0">
      <sharedItems containsBlank="1"/>
    </cacheField>
    <cacheField name="ShipFromCity" numFmtId="0">
      <sharedItems containsBlank="1"/>
    </cacheField>
    <cacheField name="ShipFromContact" numFmtId="0">
      <sharedItems containsBlank="1"/>
    </cacheField>
    <cacheField name="ShipFromEmail" numFmtId="0">
      <sharedItems containsBlank="1"/>
    </cacheField>
    <cacheField name="ShipFromISOCountry" numFmtId="0">
      <sharedItems containsBlank="1"/>
    </cacheField>
    <cacheField name="ShipFromPhone" numFmtId="0">
      <sharedItems containsBlank="1"/>
    </cacheField>
    <cacheField name="ShipFromState" numFmtId="0">
      <sharedItems containsBlank="1"/>
    </cacheField>
    <cacheField name="ShipFromZip" numFmtId="0">
      <sharedItems containsBlank="1"/>
    </cacheField>
    <cacheField name="SupplierCode" numFmtId="0">
      <sharedItems containsBlank="1"/>
    </cacheField>
    <cacheField name="SupplierName" numFmtId="0">
      <sharedItems containsBlank="1"/>
    </cacheField>
    <cacheField name="CARRIERADDRESS1" numFmtId="0">
      <sharedItems containsBlank="1"/>
    </cacheField>
    <cacheField name="CARRIERADDRESS2" numFmtId="0">
      <sharedItems containsBlank="1"/>
    </cacheField>
    <cacheField name="CARRIERCITY" numFmtId="0">
      <sharedItems containsBlank="1"/>
    </cacheField>
    <cacheField name="CarrierCountry" numFmtId="0">
      <sharedItems containsBlank="1"/>
    </cacheField>
    <cacheField name="CARRIERKEY" numFmtId="0">
      <sharedItems containsBlank="1"/>
    </cacheField>
    <cacheField name="CarrierPhone" numFmtId="0">
      <sharedItems containsBlank="1"/>
    </cacheField>
    <cacheField name="CARRIERSTATE" numFmtId="0">
      <sharedItems containsBlank="1"/>
    </cacheField>
    <cacheField name="CARRIERZIP" numFmtId="0">
      <sharedItems containsBlank="1"/>
    </cacheField>
    <cacheField name="DriverName" numFmtId="0">
      <sharedItems containsBlank="1"/>
    </cacheField>
    <cacheField name="TRAILERKEY" numFmtId="0">
      <sharedItems containsBlank="1"/>
    </cacheField>
    <cacheField name="TrailerNumber" numFmtId="0">
      <sharedItems containsBlank="1"/>
    </cacheField>
    <cacheField name="TrailerOwner" numFmtId="0">
      <sharedItems containsBlank="1"/>
    </cacheField>
    <cacheField name="TrailerType" numFmtId="0">
      <sharedItems containsBlank="1"/>
    </cacheField>
    <cacheField name="VEHICLENUMBER" numFmtId="0">
      <sharedItems containsBlank="1"/>
    </cacheField>
    <cacheField name="VEHICLEDATE" numFmtId="0">
      <sharedItems containsBlank="1"/>
    </cacheField>
    <cacheField name="TEMPERATURE" numFmtId="0">
      <sharedItems containsBlank="1"/>
    </cacheField>
    <cacheField name="CONTAINERQTY" numFmtId="0">
      <sharedItems containsBlank="1"/>
    </cacheField>
    <cacheField name="CONTAINERTYPE" numFmtId="0">
      <sharedItems containsBlank="1"/>
    </cacheField>
    <cacheField name="PRONUMBER" numFmtId="0">
      <sharedItems containsBlank="1"/>
    </cacheField>
    <cacheField name="DESTINATIONCOUNTRY" numFmtId="0">
      <sharedItems containsBlank="1"/>
    </cacheField>
    <cacheField name="INCOTERMS" numFmtId="0">
      <sharedItems containsBlank="1"/>
    </cacheField>
    <cacheField name="NOTES" numFmtId="0">
      <sharedItems containsBlank="1"/>
    </cacheField>
    <cacheField name="ORIGINCOUNTRY" numFmtId="0">
      <sharedItems containsBlank="1"/>
    </cacheField>
    <cacheField name="PLACEOFDELIVERY" numFmtId="0">
      <sharedItems containsBlank="1"/>
    </cacheField>
    <cacheField name="PLACEOFDISCHARGE" numFmtId="0">
      <sharedItems containsBlank="1"/>
    </cacheField>
    <cacheField name="PLACEOFLOADING" numFmtId="0">
      <sharedItems containsBlank="1"/>
    </cacheField>
    <cacheField name="TERMSNOTE" numFmtId="0">
      <sharedItems containsBlank="1"/>
    </cacheField>
    <cacheField name="TRANSPORTATIONMODE" numFmtId="0">
      <sharedItems containsBlank="1"/>
    </cacheField>
    <cacheField name="TRANSPORTATIONSERVICE" numFmtId="0">
      <sharedItems containsBlank="1"/>
    </cacheField>
    <cacheField name="CARRIERROUTESTATUS" numFmtId="0">
      <sharedItems containsBlank="1"/>
    </cacheField>
    <cacheField name="FREIGHTCHARGEAMOUNT" numFmtId="0">
      <sharedItems containsBlank="1"/>
    </cacheField>
    <cacheField name="TMFREIGHTCHARGECURRENCY" numFmtId="0">
      <sharedItems containsBlank="1"/>
    </cacheField>
    <cacheField name="FREIGHTCOSTAMOUNT" numFmtId="0">
      <sharedItems containsBlank="1"/>
    </cacheField>
    <cacheField name="TMFREIGHTCOSTCURRENCY" numFmtId="0">
      <sharedItems containsBlank="1"/>
    </cacheField>
    <cacheField name="ADDDATE" numFmtId="0">
      <sharedItems containsBlank="1"/>
    </cacheField>
    <cacheField name="ADDWHO" numFmtId="0">
      <sharedItems containsBlank="1"/>
    </cacheField>
    <cacheField name="EDITDATE" numFmtId="0">
      <sharedItems containsBlank="1"/>
    </cacheField>
    <cacheField name="EDITWHO" numFmtId="0">
      <sharedItems containsBlank="1"/>
    </cacheField>
    <cacheField name="SOURCELOCATION" numFmtId="0">
      <sharedItems containsBlank="1"/>
    </cacheField>
    <cacheField name="SOURCEVERSION" numFmtId="0">
      <sharedItems containsBlank="1"/>
    </cacheField>
    <cacheField name="REFERENCETYPE" numFmtId="0">
      <sharedItems containsBlank="1"/>
    </cacheField>
    <cacheField name="REFERENCEDOCUMENT" numFmtId="0">
      <sharedItems containsBlank="1"/>
    </cacheField>
    <cacheField name="REFERENCELOCATION" numFmtId="0">
      <sharedItems containsBlank="1"/>
    </cacheField>
    <cacheField name="REFERENCEVERSION" numFmtId="0">
      <sharedItems containsBlank="1"/>
    </cacheField>
    <cacheField name="USERAINBOW" numFmtId="0">
      <sharedItems containsBlank="1"/>
    </cacheField>
    <cacheField name="EXT_UDF_STR1" numFmtId="0">
      <sharedItems containsBlank="1"/>
    </cacheField>
    <cacheField name="EXT_UDF_STR2" numFmtId="0">
      <sharedItems containsBlank="1"/>
    </cacheField>
    <cacheField name="EXT_UDF_STR3" numFmtId="0">
      <sharedItems containsBlank="1"/>
    </cacheField>
    <cacheField name="EXT_UDF_STR4" numFmtId="0">
      <sharedItems containsBlank="1"/>
    </cacheField>
    <cacheField name="EXT_UDF_STR5" numFmtId="0">
      <sharedItems containsBlank="1"/>
    </cacheField>
    <cacheField name="EXT_UDF_STR6" numFmtId="0">
      <sharedItems containsBlank="1"/>
    </cacheField>
    <cacheField name="EXT_UDF_STR7" numFmtId="0">
      <sharedItems containsBlank="1"/>
    </cacheField>
    <cacheField name="EXT_UDF_STR8" numFmtId="0">
      <sharedItems containsBlank="1"/>
    </cacheField>
    <cacheField name="EXT_UDF_STR9" numFmtId="0">
      <sharedItems containsBlank="1"/>
    </cacheField>
    <cacheField name="EXT_UDF_STR10" numFmtId="0">
      <sharedItems containsBlank="1"/>
    </cacheField>
    <cacheField name="EXT_UDF_STR11" numFmtId="0">
      <sharedItems containsBlank="1"/>
    </cacheField>
    <cacheField name="EXT_UDF_STR12" numFmtId="0">
      <sharedItems containsBlank="1"/>
    </cacheField>
    <cacheField name="EXT_UDF_STR13" numFmtId="0">
      <sharedItems containsBlank="1"/>
    </cacheField>
    <cacheField name="EXT_UDF_STR14" numFmtId="0">
      <sharedItems containsBlank="1"/>
    </cacheField>
    <cacheField name="EXT_UDF_STR15" numFmtId="0">
      <sharedItems containsBlank="1"/>
    </cacheField>
    <cacheField name="EXT_UDF_DATE1" numFmtId="0">
      <sharedItems containsBlank="1"/>
    </cacheField>
    <cacheField name="EXT_UDF_DATE2" numFmtId="0">
      <sharedItems containsBlank="1"/>
    </cacheField>
    <cacheField name="EXT_UDF_DATE3" numFmtId="0">
      <sharedItems containsBlank="1"/>
    </cacheField>
    <cacheField name="EXT_UDF_DATE4" numFmtId="0">
      <sharedItems containsBlank="1"/>
    </cacheField>
    <cacheField name="EXT_UDF_DATE5" numFmtId="0">
      <sharedItems containsBlank="1"/>
    </cacheField>
    <cacheField name="EXT_UDF_FLOAT1" numFmtId="0">
      <sharedItems containsBlank="1"/>
    </cacheField>
    <cacheField name="EXT_UDF_FLOAT2" numFmtId="0">
      <sharedItems containsBlank="1"/>
    </cacheField>
    <cacheField name="EXT_UDF_FLOAT3" numFmtId="0">
      <sharedItems containsBlank="1"/>
    </cacheField>
    <cacheField name="EXT_UDF_FLOAT4" numFmtId="0">
      <sharedItems containsBlank="1"/>
    </cacheField>
    <cacheField name="EXT_UDF_FLOAT5" numFmtId="0">
      <sharedItems containsBlank="1"/>
    </cacheField>
    <cacheField name="EXT_UDF_LKUP1" numFmtId="0">
      <sharedItems containsBlank="1"/>
    </cacheField>
    <cacheField name="EXT_UDF_LKUP2" numFmtId="0">
      <sharedItems containsBlank="1"/>
    </cacheField>
    <cacheField name="EXT_UDF_LKUP3" numFmtId="0">
      <sharedItems containsBlank="1"/>
    </cacheField>
    <cacheField name="EXT_UDF_LKUP4" numFmtId="0">
      <sharedItems containsBlank="1"/>
    </cacheField>
    <cacheField name="EXT_UDF_LKUP5" numFmtId="0">
      <sharedItems containsBlank="1"/>
    </cacheField>
    <cacheField name="EXT_UDF_LKUP6" numFmtId="0">
      <sharedItems containsBlank="1"/>
    </cacheField>
    <cacheField name="EXT_UDF_LKUP7" numFmtId="0">
      <sharedItems containsBlank="1"/>
    </cacheField>
    <cacheField name="EXT_UDF_LKUP8" numFmtId="0">
      <sharedItems containsBlank="1"/>
    </cacheField>
    <cacheField name="EXT_UDF_LKUP9" numFmtId="0">
      <sharedItems containsBlank="1"/>
    </cacheField>
    <cacheField name="EXT_UDF_LKUP10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vu" refreshedDate="46065.52280590278" createdVersion="6" refreshedVersion="6" minRefreshableVersion="3" recordCount="69" xr:uid="{079B3647-24B3-420D-83D2-679AE67D7237}">
  <cacheSource type="worksheet">
    <worksheetSource ref="A1:W1048576" sheet="LISTBLOCK"/>
  </cacheSource>
  <cacheFields count="23">
    <cacheField name="ASN/Receipt" numFmtId="0">
      <sharedItems containsBlank="1"/>
    </cacheField>
    <cacheField name="Line #" numFmtId="0">
      <sharedItems containsBlank="1"/>
    </cacheField>
    <cacheField name="Item" numFmtId="0">
      <sharedItems containsBlank="1" count="524">
        <s v="SM_AFC2-250_001"/>
        <s v="SM_AFC2-130_001"/>
        <s v="SM_MAFC2-130_001"/>
        <s v="SM_MAFC2-250_001"/>
        <s v="SM_MAF2-150_001"/>
        <s v="SM_MAF2-200_001"/>
        <m/>
        <s v="SM_BKG-20_004" u="1"/>
        <s v="SM_HBE2-200T_001" u="1"/>
        <s v="SM_DLV-9T_004" u="1"/>
        <s v="SM_TSLB2-20N_002" u="1"/>
        <s v="SM_DLTL-9N_004" u="1"/>
        <s v="SM_LB-20N_001" u="1"/>
        <s v="SM_RPL-9SV_002" u="1"/>
        <s v="SM_LBD2-50T_003" u="1"/>
        <s v="SM_AFC2-300_001" u="1"/>
        <s v="SM_SRPL2-12V_002" u="1"/>
        <s v="SM_LDL2_001" u="1"/>
        <s v="SM_LBD3-50T_003" u="1"/>
        <s v="SM_DLT-7T_006" u="1"/>
        <s v="SM_BCL22835-AC_001" u="1"/>
        <s v="SM_DLT-9T_004" u="1"/>
        <s v="SM_TSLB2-20V_002" u="1"/>
        <s v="SM_FLD2-50T_101" u="1"/>
        <s v="SM_TSLB2-25N_002" u="1"/>
        <s v="SM_MWP-118_101" u="1"/>
        <s v="SM_FLM-3YL_002" u="1"/>
        <s v="SM_FLD2-50V_101" u="1"/>
        <s v="SM_LBD3-5V_001" u="1"/>
        <s v="SM_DLB-12T_004" u="1"/>
        <s v="SM_DLF-12V_002" u="1"/>
        <s v="SM_RPL-6N_101" u="1"/>
        <s v="SM_A6UESMV_001" u="1"/>
        <s v="SM_FLD2-150V_101" u="1"/>
        <s v="SM_SRPLB2-24T_001" u="1"/>
        <s v="SM_SSPLB2-24T_001" u="1"/>
        <s v="SM_AM6S_001" u="1"/>
        <s v="SM_RPL-9T/S_001" u="1"/>
        <s v="SM_A6M/1_004" u="1"/>
        <s v="SM_BN-40T_001" u="1"/>
        <s v="SM_DLV-9V_004" u="1"/>
        <s v="SM_LBD3-5T_001" u="1"/>
        <s v="SM_DLB-12N_006" u="1"/>
        <s v="SM_DLF-12T_002" u="1"/>
        <s v="SM_BN-60T_001" u="1"/>
        <s v="SM_VM1_002" u="1"/>
        <s v="SM_RPL-9ST_001" u="1"/>
        <s v="SM_DPL-12V_001" u="1"/>
        <s v="SM_DPL-20V_001" u="1"/>
        <s v="SM_DLT-9V_004" u="1"/>
        <s v="SM_RPL2-18T_001" u="1"/>
        <s v="SM_MWP-218_101" u="1"/>
        <s v="SM_LBD3-7V_001" u="1"/>
        <s v="SM_RPL-12ST/G_001" u="1"/>
        <s v="SM_MP10-C380_001" u="1"/>
        <s v="SM_A30RJ88_001" u="1"/>
        <s v="SM_AFC2-600_001" u="1"/>
        <s v="SM_DLB-9N_006" u="1"/>
        <s v="SM_DLF2-7N_001" u="1"/>
        <s v="SM_FPD-6060T_004" u="1"/>
        <s v="SM_MP10-C280_001" u="1"/>
        <s v="SM_MWP-136_101" u="1"/>
        <s v="SM_DLT-7/3C_005" u="1"/>
        <s v="SM_LBA-80T_001" u="1"/>
        <s v="SM_DLV-9T_006" u="1"/>
        <s v="SM_LBD3-7T_001" u="1"/>
        <s v="SM_FLD2-100V_101" u="1"/>
        <s v="SM_DLB-12N_004" u="1"/>
        <s v="SM_DLB-5/3C_004" u="1"/>
        <s v="SM_RPL-9S/3C/G_002" u="1"/>
        <s v="SM_DLT-9T_006" u="1"/>
        <s v="SM_DR/FPD-40_001" u="1"/>
        <s v="SM_SB-15A_101" u="1"/>
        <s v="SM_LBD3-9V_001" u="1"/>
        <s v="SM_RPL3-12N_001" u="1"/>
        <s v="SM_FLD2-200V_101" u="1"/>
        <s v="SM_FLD5-100V_001" u="1"/>
        <s v="SM_DLF-30T_001" u="1"/>
        <s v="SM_DLB-9T_004" u="1"/>
        <s v="SM_S223_001" u="1"/>
        <s v="SM_BHR-12_001" u="1"/>
        <s v="SM_TN-2_001" u="1"/>
        <s v="SM_RPL-9SN_001" u="1"/>
        <s v="SM_TN-4_001" u="1"/>
        <s v="SM_RPL2-12T_001" u="1"/>
        <s v="SM_TS-10_003" u="1"/>
        <s v="SM_TN-6_001" u="1"/>
        <s v="SM_RPL3-12T_001" u="1"/>
        <s v="SM_TS-20_003" u="1"/>
        <s v="SM_MWP-236_101" u="1"/>
        <s v="SM_DLV-9V_006" u="1"/>
        <s v="SM_LBD3-9T_001" u="1"/>
        <s v="SM_RPL3-12V_001" u="1"/>
        <s v="SM_TS-60_003" u="1"/>
        <s v="SM_RPL-7/3C/S_001" u="1"/>
        <s v="SM_RPL-9/3C/S_001" u="1"/>
        <s v="SM_LB-40T_001" u="1"/>
        <s v="SM_DLT-9V_006" u="1"/>
        <s v="SM_RPL-12S/3C_001" u="1"/>
        <s v="SM_RPL-6T_101" u="1"/>
        <s v="SM_DLV-9/3C_004" u="1"/>
        <s v="SM_SRPL-18T_101" u="1"/>
        <s v="SM_RPL-9N_101" u="1"/>
        <s v="SM_CM2/SC_001" u="1"/>
        <s v="SM_DLV-9/3C_005" u="1"/>
        <s v="SM_SRPL-18V_101" u="1"/>
        <s v="SM_DLV-9/3C_006" u="1"/>
        <s v="SM_SSPL-18T_101" u="1"/>
        <s v="SM_DLT-9/3C_005" u="1"/>
        <s v="SM_DLF-25T_001" u="1"/>
        <s v="SM_DLT-9/3C_006" u="1"/>
        <s v="SM_RMC1/SC_001" u="1"/>
        <s v="SM_LHB-100T_101" u="1"/>
        <s v="SM_F115_001" u="1"/>
        <s v="SM_TS-4_002" u="1"/>
        <s v="SM_TA8_002" u="1"/>
        <s v="SM_TSL2-12N_001" u="1"/>
        <s v="SM_TSL-8N_001" u="1"/>
        <s v="SM_DLB-12/3C_006" u="1"/>
        <s v="SM_DLT-12/3C_006" u="1"/>
        <s v="SM_DLV-12/3C_006" u="1"/>
        <s v="SM_AD1_001" u="1"/>
        <s v="SM_RPL-6V_101" u="1"/>
        <s v="SM_BHO-6_001" u="1"/>
        <s v="SM_A6NRDV_001" u="1"/>
        <s v="SM_A6USV_003" u="1"/>
        <s v="SM_DLB-9T_006" u="1"/>
        <s v="SM_TSL2-12T_001" u="1"/>
        <s v="SM_LRD1_001" u="1"/>
        <s v="SM_LS22835AC-V_001" u="1"/>
        <s v="SM_MC-LS2835AC_001" u="1"/>
        <s v="SM_TA6_001" u="1"/>
        <s v="SM_NL2_001" u="1"/>
        <s v="SM_TS-32_003" u="1"/>
        <s v="SM_DB5_001" u="1"/>
        <s v="SM_A20US2XX_001" u="1"/>
        <s v="SM_A20US2_001" u="1"/>
        <s v="SM_GT-60T_001" u="1"/>
        <s v="SM_SRPL-24T_101" u="1"/>
        <s v="SM_SRPL-12T_101" u="1"/>
        <s v="SM_HBV-80T_001" u="1"/>
        <s v="SM_DB3_001" u="1"/>
        <s v="SM_TSLB-12V_001" u="1"/>
        <s v="SM_DLE-7T_001" u="1"/>
        <s v="SM_SRPL-12V_101" u="1"/>
        <s v="SM_DLE-9N_002" u="1"/>
        <s v="SM_TS-10/P_001" u="1"/>
        <s v="SM_SSPL-24T_101" u="1"/>
        <s v="SM_GT8-120N_002" u="1"/>
        <s v="SM_A20US3_001" u="1"/>
        <s v="SM_SRDL-48T_001" u="1"/>
        <s v="SM_LS22835AC-T_001" u="1"/>
        <s v="SM_BHR-18_001" u="1"/>
        <s v="SM_SRDL-24T_001" u="1"/>
        <s v="SM_TSLB-20N_001" u="1"/>
        <s v="SM_A30/1_001" u="1"/>
        <s v="SM_GT8-120T_002" u="1"/>
        <s v="SM_LS25050AC-V_001" u="1"/>
        <s v="SM_RPL-9ST/S_001" u="1"/>
        <s v="SM_DLA2R-9T_001" u="1"/>
        <s v="SM_BTD-01_001" u="1"/>
        <s v="SM_GT8-120V_002" u="1"/>
        <s v="SM_BN2-18T_002" u="1"/>
        <s v="SM_DLB-9/3C_004" u="1"/>
        <s v="SM_MP6-C163_001" u="1"/>
        <s v="SM_RPL-12S/3C/G_001" u="1"/>
        <s v="SM_DLB-9/3C_005" u="1"/>
        <s v="SM_MP6-C150_001" u="1"/>
        <s v="SM_BRA_001" u="1"/>
        <s v="SM_DLB-9/3C_006" u="1"/>
        <s v="SM_RPL3-9/3C_001" u="1"/>
        <s v="SM_BKR-20_004" u="1"/>
        <s v="SM_KLSN2_001" u="1"/>
        <s v="SM_DLA2R-7T_001" u="1"/>
        <s v="SM_RPL-9T_101" u="1"/>
        <s v="SM_RPL-12/3C_101" u="1"/>
        <s v="SM_MP6-C140_001" u="1"/>
        <s v="SM_BN2-36V_002" u="1"/>
        <s v="SM_KLSAC-5050_001" u="1"/>
        <s v="SM_DLA2R-7V_001" u="1"/>
        <s v="SM_SSL-7V_001" u="1"/>
        <s v="SM_SRDL-32T_001" u="1"/>
        <s v="SM_MP6-C263_001" u="1"/>
        <s v="SM_MP6-C250_001" u="1"/>
        <s v="SM_TS-14_003" u="1"/>
        <s v="SM_TS-24_003" u="1"/>
        <s v="SM_MP6-C132_001" u="1"/>
        <s v="SM_SSDL-32T_001" u="1"/>
        <s v="SM_FPD-6060/SC_001" u="1"/>
        <s v="SM_LS25050AC-T_001" u="1"/>
        <s v="SM_DLA2R-5T_001" u="1"/>
        <s v="SM_SPL-9T_101" u="1"/>
        <s v="SM_MP6-C240_001" u="1"/>
        <s v="SM_MP6-C120_001" u="1"/>
        <s v="SM_BN2-36T_002" u="1"/>
        <s v="SM_DLA2R-5V_001" u="1"/>
        <s v="SM_TSL-8T_001" u="1"/>
        <s v="SM_MP6-C363_001" u="1"/>
        <s v="SM_RCBO2-30/263_001" u="1"/>
        <s v="SM_MP6-C350_001" u="1"/>
        <s v="SM_RPL-7/3C/G_001" u="1"/>
        <s v="SM_RPL-9/3C/G_001" u="1"/>
        <s v="SM_MP6-C110_001" u="1"/>
        <s v="SM_FPD3-6060T_003" u="1"/>
        <s v="SM_MP6-C125_001" u="1"/>
        <s v="SM_MP6-C232_001" u="1"/>
        <s v="SM_MP4-C363_001" u="1"/>
        <s v="SM_A20UESM2_001" u="1"/>
        <s v="SM_LBD-60T_001" u="1"/>
        <s v="SM_RPL-9V_101" u="1"/>
        <s v="SM_CKPD-60_001" u="1"/>
        <s v="SM_DLA2R-3T_001" u="1"/>
        <s v="SM_MP4-C350_001" u="1"/>
        <s v="SM_MP6-C340_001" u="1"/>
        <s v="SM_MP6-C220_001" u="1"/>
        <s v="SM_DLA2R-3V_001" u="1"/>
        <s v="SM_MP6-C463_001" u="1"/>
        <s v="SM_RPL-12T/MS_101" u="1"/>
        <s v="SM_MP6-C116_001" u="1"/>
        <s v="SM_FPD-3030/SC_001" u="1"/>
        <s v="SM_RPL-12S/3C/S_001" u="1"/>
        <s v="SM_MP6-C210_001" u="1"/>
        <s v="SM_A30/1_002" u="1"/>
        <s v="SM_RPL3-9V_001" u="1"/>
        <s v="SM_MP6-C225_001" u="1"/>
        <s v="SM_MP6-C332_001" u="1"/>
        <s v="SM_RCBO2-30/240_001" u="1"/>
        <s v="SM_BTD-03_002" u="1"/>
        <s v="SM_MP6-C106_001" u="1"/>
        <s v="SM_SPL-9V_101" u="1"/>
        <s v="SM_BN-36T_002" u="1"/>
        <s v="SM_MP6-C320_001" u="1"/>
        <s v="SM_SSPLB-24T_001" u="1"/>
        <s v="SM_TSL-8V_001" u="1"/>
        <s v="SM_MP6-C216_001" u="1"/>
        <s v="SM_LB-9T/MS_002" u="1"/>
        <s v="SM_DLE-9T_002" u="1"/>
        <s v="SM_BKD-20_004" u="1"/>
        <s v="SM_LT8-120T_001" u="1"/>
        <s v="SM_MP6-C310_001" u="1"/>
        <s v="SM_TS-4/P_001" u="1"/>
        <s v="SM_RPL2-9T_001" u="1"/>
        <s v="SM_MP6-C325_001" u="1"/>
        <s v="SM_RPL3-9T_001" u="1"/>
        <s v="SM_LNEB-36N_002" u="1"/>
        <s v="SM_TS-6/P_001" u="1"/>
        <s v="SM_SRDLB-16T_001" u="1"/>
        <s v="SM_TSLB2-12T_001" u="1"/>
        <s v="SM_DLEL-6T_001" u="1"/>
        <s v="SM_SSPLB-18T_001" u="1"/>
        <s v="SM_A6UES2_001" u="1"/>
        <s v="SM_MP6-C316_001" u="1"/>
        <s v="SM_RCBO2-30/232_001" u="1"/>
        <s v="SM_RPL3-9S/3C_002" u="1"/>
        <s v="SM_KLSAC-2835_001" u="1"/>
        <s v="SM_SRPLB2-18T_001" u="1"/>
        <s v="SM_SSPLB2-18T_001" u="1"/>
        <s v="SM_MP10-C3100_001" u="1"/>
        <s v="SM_LS3-2835AC-120-T_001" u="1"/>
        <s v="SM_TL2_101" u="1"/>
        <s v="SM_RCBO2-30/220_001" u="1"/>
        <s v="SM_BN-36T_003" u="1"/>
        <s v="SM_BN-48T_001" u="1"/>
        <s v="SM_BN2-48T_002" u="1"/>
        <s v="SM_MP10-C2100_001" u="1"/>
        <s v="SM_A6M/1V_002" u="1"/>
        <s v="SM_S-315_001" u="1"/>
        <s v="SM_A6M/2V_001" u="1"/>
        <s v="SM_MC-LSN2_001" u="1"/>
        <s v="SM_SMPL-12030_001" u="1"/>
        <s v="SM_AM5S_101" u="1"/>
        <s v="SM_LS3-2835AC-120-V_001" u="1"/>
        <s v="SM_TR2_001" u="1"/>
        <s v="SM_DBP_001" u="1"/>
        <s v="SM_RPL-18/3C_101" u="1"/>
        <s v="SM_RPL3-7/3C_002" u="1"/>
        <s v="SM_SSL-12V_001" u="1"/>
        <s v="SM_RCBO2-30/225_001" u="1"/>
        <s v="SM_TSLB-8V_001" u="1"/>
        <s v="SM_DLE-12T_001" u="1"/>
        <s v="SM_SRPL-6V_101" u="1"/>
        <s v="SM_RPL3-9N_001" u="1"/>
        <s v="SM_BN-36V_003" u="1"/>
        <s v="SM_DLEL-9T_001" u="1"/>
        <s v="SM_TSL-12V_001" u="1"/>
        <s v="SM_BKT_001" u="1"/>
        <s v="SM_A6M/2V_002" u="1"/>
        <s v="SM_DLA-20T_001" u="1"/>
        <s v="SM_SRPL-6T_101" u="1"/>
        <s v="SM_RCBO2-30/216_001" u="1"/>
        <s v="SM_RPL-12V_101" u="1"/>
        <s v="SM_DBM-03_001" u="1"/>
        <s v="SM_GT8-60T_002" u="1"/>
        <s v="SM_SRPL-18/3C_101" u="1"/>
        <s v="SM_TSL-12T_001" u="1"/>
        <s v="SM_KLS2AC-5050_001" u="1"/>
        <s v="SM_SSPLB2-18/3C_001" u="1"/>
        <s v="SM_SPL-12V_101" u="1"/>
        <s v="SM_RPL-12T_101" u="1"/>
        <s v="SM_LB-9T/AM_001" u="1"/>
        <s v="SM_SRDL-16/3C_001" u="1"/>
        <s v="SM_BN-18T_003" u="1"/>
        <s v="SM_A30M_002" u="1"/>
        <s v="SM_A223V_001" u="1"/>
        <s v="SM_DLV-7N_004" u="1"/>
        <s v="SM_BHO-12_001" u="1"/>
        <s v="SM_DLF2-12N_001" u="1"/>
        <s v="SM_MC2-LS5050AC_001" u="1"/>
        <s v="SM_DLE-12N_001" u="1"/>
        <s v="SM_DB_001" u="1"/>
        <s v="SM_TBS1_101" u="1"/>
        <s v="SM_DLT-7N_004" u="1"/>
        <s v="SM_DLE-7/3C_001" u="1"/>
        <s v="SM_SPL-12T_101" u="1"/>
        <s v="SM_DBM-05_001" u="1"/>
        <s v="SM_TL9-PK-BD_002" u="1"/>
        <s v="SM_FPD3-6060/40T_001" u="1"/>
        <s v="SM_RPL3-12/3C_001" u="1"/>
        <s v="SM_FPD-6060/50T_001" u="1"/>
        <s v="SM_FLM-4/A60_002" u="1"/>
        <s v="SM_DLTL-9/3C_004" u="1"/>
        <s v="SM_TR2B_001" u="1"/>
        <s v="SM_DLEL-9N_001" u="1"/>
        <s v="SM_TSLB-8N_001" u="1"/>
        <s v="SM_DLA-12N_001" u="1"/>
        <s v="SM_RPL-9S/3C/S_001" u="1"/>
        <s v="SM_MPN2-0342_001" u="1"/>
        <s v="SM_SRPL2-24T_002" u="1"/>
        <s v="SM_SSPL2-24T_002" u="1"/>
        <s v="SM_I_001" u="1"/>
        <s v="SM_MPN2-0352_001" u="1"/>
        <s v="SM_AF2-150_001" u="1"/>
        <s v="SM_SRPL-24/3C_101" u="1"/>
        <s v="SM_SRPL-12/3C_101" u="1"/>
        <s v="SM_DLB-12/3C_004" u="1"/>
        <s v="SM_DLT-12/3C_004" u="1"/>
        <s v="SM_DLV-12/3C_004" u="1"/>
        <s v="SM_LCD-3V_001" u="1"/>
        <s v="SM_A20UESMXX_002" u="1"/>
        <s v="SM_MPN2-0232_001" u="1"/>
        <s v="SM_TSL-12N_001" u="1"/>
        <s v="SM_TSL-20N_001" u="1"/>
        <s v="SM_DLT-5T_004" u="1"/>
        <s v="SM_MPN2-0242_001" u="1"/>
        <s v="SM_FLM-3PK_002" u="1"/>
        <s v="SM_BCL3-2835AC-120_001" u="1"/>
        <s v="SM_MPN2-0252_001" u="1"/>
        <s v="SM_AD2_001" u="1"/>
        <s v="SM_SRPLB-12V_001" u="1"/>
        <s v="SM_SRDLB-16N_001" u="1"/>
        <s v="SM_MPN2-0132_001" u="1"/>
        <s v="SM_RPL-12N_101" u="1"/>
        <s v="SM_FPD-6060/60T_001" u="1"/>
        <s v="SM_MPN2-0142_001" u="1"/>
        <s v="SM_SRPL2-18T_002" u="1"/>
        <s v="SM_SSPL2-18T_002" u="1"/>
        <s v="SM_MPN2-0152_001" u="1"/>
        <s v="SM_DLF2-20T_001" u="1"/>
        <s v="SM_DLT-12V_006" u="1"/>
        <s v="SM_SRPLB2-12T_001" u="1"/>
        <s v="SM_SSPLB2-12T_001" u="1"/>
        <s v="SM_MC2-LS2835AC_001" u="1"/>
        <s v="SM_DLE-18T_001" u="1"/>
        <s v="SM_FLD2-150T_101" u="1"/>
        <s v="SM_MPN2-1232_001" u="1"/>
        <s v="SM_LBD3-15T_001" u="1"/>
        <s v="SM_MPN2-1242_001" u="1"/>
        <s v="SM_NL3_001" u="1"/>
        <s v="SM_LBD3-15V_001" u="1"/>
        <s v="SM_DLV-12T_006" u="1"/>
        <s v="SM_RPL-24T_101" u="1"/>
        <s v="SM_MPN2-1132_001" u="1"/>
        <s v="SM_A30NRD_001" u="1"/>
        <s v="SM_DLTL-9V_006" u="1"/>
        <s v="SM_MPN2-2342_001" u="1"/>
        <s v="SM_SRDL-32/3C_001" u="1"/>
        <s v="SM_MPN2-1152_001" u="1"/>
        <s v="SM_DLV-9N_004" u="1"/>
        <s v="SM_DLT-12T_006" u="1"/>
        <s v="SM_MPN2-2232_001" u="1"/>
        <s v="SM_FLD5-150T_001" u="1"/>
        <s v="SM_CAT5E-4P_101" u="1"/>
        <s v="SM_MPN2-2242_001" u="1"/>
        <s v="SM_CAT6E-4P_101" u="1"/>
        <s v="SM_DLT-7N_006" u="1"/>
        <s v="SM_RPL-12ST/S_001" u="1"/>
        <s v="SM_DLT-9N_004" u="1"/>
        <s v="SM_SB-20A_101" u="1"/>
        <s v="SM_SB-30A_101" u="1"/>
        <s v="SM_TA1_001" u="1"/>
        <s v="SM_SB-40A_101" u="1"/>
        <s v="SM_SPL-24T_101" u="1"/>
        <s v="SM_MPN2-2132_001" u="1"/>
        <s v="SM_LBD3-12T_001" u="1"/>
        <s v="SM_DLTL-9T_006" u="1"/>
        <s v="SM_MPN2-2142_001" u="1"/>
        <s v="SM_DLE-9/3C_002" u="1"/>
        <s v="SM_FLM-6/A60_002" u="1"/>
        <s v="SM_MPN2-024_001" u="1"/>
        <s v="SM_RPL-9/3C_101" u="1"/>
        <s v="SM_BKY-20_004" u="1"/>
        <s v="SM_LBD3-12V_001" u="1"/>
        <s v="SM_RPL-9ST/G_001" u="1"/>
        <s v="SM_MPN2-023_002" u="1"/>
        <s v="SM_MPN2-025_001" u="1"/>
        <s v="SM_DLT-12V_004" u="1"/>
        <s v="SM_MPN2-3232_001" u="1"/>
        <s v="SM_DLB-7N_004" u="1"/>
        <s v="SM_MPN2-024_002" u="1"/>
        <s v="SM_F2A-60_001" u="1"/>
        <s v="SM_TL9-BL-BD_002" u="1"/>
        <s v="SM_MPN2-013_001" u="1"/>
        <s v="SM_MPN2-014_001" u="1"/>
        <s v="SM_BKW-20_004" u="1"/>
        <s v="SM_AMHP-3S_001" u="1"/>
        <s v="SM_IB_001" u="1"/>
        <s v="SM_RPL-18T_101" u="1"/>
        <s v="SM_MPN2-015_001" u="1"/>
        <s v="SM_DL65-12V_001" u="1"/>
        <s v="SM_DLV-12T_004" u="1"/>
        <s v="SM_MPN2-3132_001" u="1"/>
        <s v="SM_RPL3-9SN_002" u="1"/>
        <s v="SM_MPN2-4342_001" u="1"/>
        <s v="SM_FLD2-100T_101" u="1"/>
        <s v="SM_MPN2-123_001" u="1"/>
        <s v="SM_SW-132_001" u="1"/>
        <s v="SM_FLD5-20V_001" u="1"/>
        <s v="SM_MPN2-125_001" u="1"/>
        <s v="SM_DLF-7T_002" u="1"/>
        <s v="SM_SW-332_001" u="1"/>
        <s v="SM_MPN2-4232_001" u="1"/>
        <s v="SM_DLT-12T_004" u="1"/>
        <s v="SM_HBE2-150T_001" u="1"/>
        <s v="SM_LCD-5V_001" u="1"/>
        <s v="SM_MPN2-4242_001" u="1"/>
        <s v="SM_MPN2-113_001" u="1"/>
        <s v="SM_RPL-12SN_001" u="1"/>
        <s v="SM_DLT-7T_004" u="1"/>
        <s v="SM_MPN2-4252_001" u="1"/>
        <s v="SM_MPN2-114_001" u="1"/>
        <s v="SM_DPL-7V_001" u="1"/>
        <s v="SM_FLD2-10T_101" u="1"/>
        <s v="SM_SPL-18T_101" u="1"/>
        <s v="SM_DRDL-7/3C_001" u="1"/>
        <s v="SM_MPN2-115_001" u="1"/>
        <s v="SM_MPN2-4132_001" u="1"/>
        <s v="SM_FLD5-30T_001" u="1"/>
        <s v="SM_FLD2-200T_101" u="1"/>
        <s v="SM_RPL-24N_101" u="1"/>
        <s v="SM_MPN2-223_001" u="1"/>
        <s v="SM_BN3-18T_001" u="1"/>
        <s v="SM_FLD2-10V_101" u="1"/>
        <s v="SM_FLD5-100T_001" u="1"/>
        <s v="SM_DLTL-9T_004" u="1"/>
        <s v="SM_MPN2-224_001" u="1"/>
        <s v="SM_FLD5-30V_001" u="1"/>
        <s v="SM_GT3-120T_002" u="1"/>
        <s v="SM_MPN2-225_001" u="1"/>
        <s v="SM_SSPLB2-12/3C_001" u="1"/>
        <s v="SM_RPL-12ST_001" u="1"/>
        <s v="SM_DLT-12N_006" u="1"/>
        <s v="SM_LBD2-20T_003" u="1"/>
        <s v="SM_LBD3-20T_003" u="1"/>
        <s v="SM_MPN2-213_001" u="1"/>
        <s v="SM_SMPL-6060_001" u="1"/>
        <s v="SM_FLD2-20T_101" u="1"/>
        <s v="SM_LBD3-20V_003" u="1"/>
        <s v="SM_A6M/1_003" u="1"/>
        <s v="SM_A601BV/G_001" u="1"/>
        <s v="SM_MPN2-323_001" u="1"/>
        <s v="SM_FLD2-20V_101" u="1"/>
        <s v="SM_FLD5-200T_001" u="1"/>
        <s v="SM_A602BV/G_001" u="1"/>
        <s v="SM_A603BV/G_001" u="1"/>
        <s v="SM_DLV-9N_006" u="1"/>
        <s v="SM_DLTL-9N_006" u="1"/>
        <s v="SM_MPN2-325_001" u="1"/>
        <s v="SM_FLM-3RD_002" u="1"/>
        <s v="SM_A6US_002" u="1"/>
        <s v="SM_DLF-7V_002" u="1"/>
        <s v="SM_SW-350_001" u="1"/>
        <s v="SM_LBD2-30T_003" u="1"/>
        <s v="SM_LBD3-30T_003" u="1"/>
        <s v="SM_MPN2-313_001" u="1"/>
        <s v="SM_DLT-7V_004" u="1"/>
        <s v="SM_A20US2X_001" u="1"/>
        <s v="SM_DLA-35N_001" u="1"/>
        <s v="SM_DLT-9N_006" u="1"/>
        <s v="SM_LE-120T_001" u="1"/>
        <s v="SM_FLD2-30T_101" u="1"/>
        <s v="SM_DLEL-9/3C_001" u="1"/>
        <s v="SM_DRDL-9/3C_001" u="1"/>
        <s v="SM_LBD3-30V_003" u="1"/>
        <s v="SM_MPN2-315_001" u="1"/>
        <s v="SM_SSPL2-24/3C_002" u="1"/>
        <s v="SM_RPL-18N_101" u="1"/>
        <s v="SM_RPL-9S/3C_001" u="1"/>
        <s v="SM_FLD5-50T_001" u="1"/>
        <s v="SM_MPN2-423_001" u="1"/>
        <s v="SM_FLD2-30V_101" u="1"/>
        <s v="SM_DLB-12T_006" u="1"/>
        <s v="SM_BN3-36T_001" u="1"/>
        <s v="SM_LBD3-3V_001" u="1"/>
        <s v="SM_SRPLB-12/3C_001" u="1"/>
        <s v="SM_SSPLB-12/3C_001" u="1"/>
        <s v="SM_FLD5-50V_001" u="1"/>
        <s v="SM_DLB-5V_004" u="1"/>
        <s v="SM_FLM-2/P45_002" u="1"/>
        <s v="SM_MPN2-425_001" u="1"/>
        <s v="SM_RPL-6SV_101" u="1"/>
        <s v="SM_LBD2-40T_003" u="1"/>
        <s v="SM_DLB-9N_004" u="1"/>
        <s v="SM_LBD3-40T_003" u="1"/>
        <s v="SM_MPN2-413_001" u="1"/>
        <s v="SM_DLT-12N_004" u="1"/>
        <s v="SM_RPL-6SN_001" u="1"/>
        <s v="SM_A602BV/S_001" u="1"/>
        <s v="SM_MPN2-414_001" u="1"/>
        <s v="SM_A603BV/S_001" u="1"/>
        <s v="SM_SRDLB-16/3C_001" u="1"/>
        <s v="SM_SSDLB-16/3C_001" u="1"/>
        <s v="SM_LBD3-40V_003" u="1"/>
        <s v="SM_MPN2-415_001" u="1"/>
        <s v="SM_BCL2835-AC_001" u="1"/>
      </sharedItems>
    </cacheField>
    <cacheField name="Hold Code" numFmtId="0">
      <sharedItems containsBlank="1"/>
    </cacheField>
    <cacheField name="LPN" numFmtId="0">
      <sharedItems containsBlank="1" count="8000">
        <s v=""/>
        <s v="01PL260211262"/>
        <s v="01PL260211263"/>
        <s v="01PL260211264"/>
        <s v="01PL260211265"/>
        <s v="01PL260211267"/>
        <s v="01PL260211266"/>
        <s v="01PL260211276"/>
        <s v="01PL260211274"/>
        <s v="01PL260211277"/>
        <s v="01PL260211273"/>
        <s v="01PL260211270"/>
        <s v="01PL260211275"/>
        <s v="01PL260211271"/>
        <s v="01PL260211272"/>
        <s v="01PL260211268"/>
        <s v="01PL260211269"/>
        <s v="01PL260211254"/>
        <s v="01PL260211255"/>
        <s v="01PL260211256"/>
        <s v="01PL260211257"/>
        <s v="01PL260211258"/>
        <s v="01PL260211259"/>
        <s v="01PL260211260"/>
        <s v="01PL260211237"/>
        <s v="01PL260211236"/>
        <s v="01PL260211223"/>
        <s v="01PL260211235"/>
        <s v="01PL260211222"/>
        <s v="01PL260211234"/>
        <s v="01PL260211221"/>
        <s v="01PL260211233"/>
        <s v="01PL260211220"/>
        <s v="01PL260211232"/>
        <s v="01PL260211219"/>
        <s v="01PL260211231"/>
        <s v="01PL260211218"/>
        <s v="01PL260211217"/>
        <s v="01PL260211253"/>
        <s v="01PL260211230"/>
        <s v="01PL260211252"/>
        <s v="01PL260211229"/>
        <s v="01PL260211238"/>
        <s v="01PL260211228"/>
        <s v="01PL260211241"/>
        <s v="01PL260211227"/>
        <s v="01PL260211240"/>
        <s v="01PL260211226"/>
        <s v="01PL260211239"/>
        <s v="01PL260211225"/>
        <s v="01PL260211224"/>
        <s v="01PL260211251"/>
        <s v="01PL260211250"/>
        <s v="01PL260211249"/>
        <s v="01PL260211248"/>
        <s v="01PL260211247"/>
        <s v="01PL260211246"/>
        <s v="01PL260211245"/>
        <s v="01PL260211242"/>
        <s v="01PL260211244"/>
        <s v="01PL260211243"/>
        <s v="01PL260211261"/>
        <m/>
        <s v="01PL2512316" u="1"/>
        <s v="01PL25102539" u="1"/>
        <s v="01PL25120128" u="1"/>
        <s v="01PL25122538" u="1"/>
        <s v="01PL26010575" u="1"/>
        <s v="01PL25102571" u="1"/>
        <s v="01PL25120160" u="1"/>
        <s v="01PL25120971" u="1"/>
        <s v="01PL26012034" u="1"/>
        <s v="01PL26012845" u="1"/>
        <s v="01PL25120831" u="1"/>
        <s v="01PL25122430" u="1"/>
        <s v="01PL260128199" u="1"/>
        <s v="01PL260128243" u="1"/>
        <s v="01PL25101339" u="1"/>
        <s v="01PL25121338" u="1"/>
        <s v="01PL26011785" u="1"/>
        <s v="01PL26020985" u="1"/>
        <s v="01PL26011645" u="1"/>
        <s v="01PL25110431" u="1"/>
        <s v="01PL25112841" u="1"/>
        <s v="01PL251217366" u="1"/>
        <s v="01PL25111078" u="1"/>
        <s v="01PL25111889" u="1"/>
        <s v="01PL260204142" u="1"/>
        <s v="01PL2512317" u="1"/>
        <s v="01PL25102549" u="1"/>
        <s v="01PL25120138" u="1"/>
        <s v="01PL25122548" u="1"/>
        <s v="01PL26010585" u="1"/>
        <s v="01PL251104103" u="1"/>
        <s v="01PL260119128" u="1"/>
        <s v="01PL25102581" u="1"/>
        <s v="01PL25120170" u="1"/>
        <s v="01PL25120981" u="1"/>
        <s v="01PL26012044" u="1"/>
        <s v="01PL26012855" u="1"/>
        <s v="01PL25120841" u="1"/>
        <s v="01PL25122440" u="1"/>
        <s v="01PL26012715" u="1"/>
        <s v="01PL25112288" u="1"/>
        <s v="01PL25123087" u="1"/>
        <s v="01PL260120141" u="1"/>
        <s v="01PL25101349" u="1"/>
        <s v="01PL25121348" u="1"/>
        <s v="01PL26011795" u="1"/>
        <s v="01PL26020995" u="1"/>
        <s v="01PL251008213" u="1"/>
        <s v="01PL251204102" u="1"/>
        <s v="01PL251208111" u="1"/>
        <s v="01PL251224101" u="1"/>
        <s v="01PL25112819" u="1"/>
        <s v="01PL25121380" u="1"/>
        <s v="01PL26011655" u="1"/>
        <s v="01PL25110441" u="1"/>
        <s v="01PL25112851" u="1"/>
        <s v="01PL26020715" u="1"/>
        <s v="01PL251217374" u="1"/>
        <s v="01PL260204198" u="1"/>
        <s v="01PL25111088" u="1"/>
        <s v="01PL25111899" u="1"/>
        <s v="01PL251120149" u="1"/>
        <s v="01PL251124158" u="1"/>
        <s v="01PL260204150" u="1"/>
        <s v="01PL260204518" u="1"/>
        <s v="01PL2512318" u="1"/>
        <s v="01PL25102559" u="1"/>
        <s v="01PL25120148" u="1"/>
        <s v="01PL25122558" u="1"/>
        <s v="01PL26010595" u="1"/>
        <s v="01PL251104111" u="1"/>
        <s v="01PL251124202" u="1"/>
        <s v="01PL260115219" u="1"/>
        <s v="01PL260119136" u="1"/>
        <s v="01PL260119228" u="1"/>
        <s v="01PL260203118" u="1"/>
        <s v="01PL260207219" u="1"/>
        <s v="01PL25102591" u="1"/>
        <s v="01PL25120180" u="1"/>
        <s v="01PL25120819" u="1"/>
        <s v="01PL25120991" u="1"/>
        <s v="01PL25122418" u="1"/>
        <s v="01PL26012054" u="1"/>
        <s v="01PL26012865" u="1"/>
        <s v="01PL25120851" u="1"/>
        <s v="01PL26012725" u="1"/>
        <s v="01PL25122310" u="1"/>
        <s v="01PL25123097" u="1"/>
        <s v="01PL251008269" u="1"/>
        <s v="01PL251204158" u="1"/>
        <s v="01PL251220148" u="1"/>
        <s v="01PL25121358" u="1"/>
        <s v="01PL251008221" u="1"/>
        <s v="01PL251204110" u="1"/>
        <s v="01PL25110419" u="1"/>
        <s v="01PL25112829" u="1"/>
        <s v="01PL26011665" u="1"/>
        <s v="01PL26020725" u="1"/>
        <s v="01PL251217382" u="1"/>
        <s v="01PL260116399" u="1"/>
        <s v="01PL25101111" u="1"/>
        <s v="01PL25110311" u="1"/>
        <s v="01PL25111098" u="1"/>
        <s v="01PL25121921" u="1"/>
        <s v="01PL251120157" u="1"/>
        <s v="01PL260204526" u="1"/>
        <s v="01PL2512319" u="1"/>
        <s v="01PL25102569" u="1"/>
        <s v="01PL25120158" u="1"/>
        <s v="01PL25120969" u="1"/>
        <s v="01PL251120201" u="1"/>
        <s v="01PL251212201" u="1"/>
        <s v="01PL260115227" u="1"/>
        <s v="01PL260115319" u="1"/>
        <s v="01PL260119236" u="1"/>
        <s v="01PL260203126" u="1"/>
        <s v="01PL260207227" u="1"/>
        <s v="01PL25120829" u="1"/>
        <s v="01PL25122428" u="1"/>
        <s v="01PL26012064" u="1"/>
        <s v="01PL26012875" u="1"/>
        <s v="01PL26010325" u="1"/>
        <s v="01PL26012735" u="1"/>
        <s v="01PL25122320" u="1"/>
        <s v="01PL251008277" u="1"/>
        <s v="01PL251204166" u="1"/>
        <s v="01PL251220156" u="1"/>
        <s v="01PL25110429" u="1"/>
        <s v="01PL25112839" u="1"/>
        <s v="01PL26011675" u="1"/>
        <s v="01PL26020735" u="1"/>
        <s v="01PL25101121" u="1"/>
        <s v="01PL25110321" u="1"/>
        <s v="01PL25121931" u="1"/>
        <s v="01PL251120165" u="1"/>
        <s v="01PL251124174" u="1"/>
        <s v="01PL251212165" u="1"/>
        <s v="01PL260204534" u="1"/>
        <s v="01PL25102579" u="1"/>
        <s v="01PL25120168" u="1"/>
        <s v="01PL25120979" u="1"/>
        <s v="01PL260115235" u="1"/>
        <s v="01PL260119244" u="1"/>
        <s v="01PL260203134" u="1"/>
        <s v="01PL260207235" u="1"/>
        <s v="01PL25120839" u="1"/>
        <s v="01PL25122438" u="1"/>
        <s v="01PL26012885" u="1"/>
        <s v="01PL251107104" u="1"/>
        <s v="01PL26010335" u="1"/>
        <s v="01PL26021134" u="1"/>
        <s v="01PL25122330" u="1"/>
        <s v="01PL251204174" u="1"/>
        <s v="01PL251220164" u="1"/>
        <s v="01PL25110439" u="1"/>
        <s v="01PL25112849" u="1"/>
        <s v="01PL251003104" u="1"/>
        <s v="01PL251227102" u="1"/>
        <s v="01PL260126119" u="1"/>
        <s v="01PL25110471" u="1"/>
        <s v="01PL26020745" u="1"/>
        <s v="01PL260204498" u="1"/>
        <s v="01PL25101131" u="1"/>
        <s v="01PL25110331" u="1"/>
        <s v="01PL25121130" u="1"/>
        <s v="01PL25121941" u="1"/>
        <s v="01PL251120173" u="1"/>
        <s v="01PL251124182" u="1"/>
        <s v="01PL251212173" u="1"/>
        <s v="01PL260115199" u="1"/>
        <s v="01PL260207199" u="1"/>
        <s v="01PL25102589" u="1"/>
        <s v="01PL25120989" u="1"/>
        <s v="01PL251219159" u="1"/>
        <s v="01PL260115243" u="1"/>
        <s v="01PL260119252" u="1"/>
        <s v="01PL260203142" u="1"/>
        <s v="01PL260207243" u="1"/>
        <s v="01PL25120849" u="1"/>
        <s v="01PL251107112" u="1"/>
        <s v="01PL251215102" u="1"/>
        <s v="01PL251219203" u="1"/>
        <s v="01PL26010345" u="1"/>
        <s v="01PL26021144" u="1"/>
        <s v="01PL25122340" u="1"/>
        <s v="01PL251204182" u="1"/>
        <s v="01PL251220172" u="1"/>
        <s v="01PL25121388" u="1"/>
        <s v="01PL26011695" u="1"/>
        <s v="01PL251003112" u="1"/>
        <s v="01PL251203102" u="1"/>
        <s v="01PL251227110" u="1"/>
        <s v="01PL260102119" u="1"/>
        <s v="01PL260106128" u="1"/>
        <s v="01PL260126127" u="1"/>
        <s v="01PL260210109" u="1"/>
        <s v="01PL25110481" u="1"/>
        <s v="01PL25121919" u="1"/>
        <s v="01PL26020755" u="1"/>
        <s v="01PL25101141" u="1"/>
        <s v="01PL25110341" u="1"/>
        <s v="01PL25121140" u="1"/>
        <s v="01PL25121951" u="1"/>
        <s v="01PL251120181" u="1"/>
        <s v="01PL251124190" u="1"/>
        <s v="01PL251212181" u="1"/>
        <s v="01PL260115299" u="1"/>
        <s v="01PL25112611" u="1"/>
        <s v="01PL25120999" u="1"/>
        <s v="01PL251216602" u="1"/>
        <s v="01PL251219167" u="1"/>
        <s v="01PL251219259" u="1"/>
        <s v="01PL251231148" u="1"/>
        <s v="01PL260115251" u="1"/>
        <s v="01PL260119260" u="1"/>
        <s v="01PL260203150" u="1"/>
        <s v="01PL25120859" u="1"/>
        <s v="01PL251103111" u="1"/>
        <s v="01PL251107120" u="1"/>
        <s v="01PL251127211" u="1"/>
        <s v="01PL251211101" u="1"/>
        <s v="01PL251219211" u="1"/>
        <s v="01PL260110118" u="1"/>
        <s v="01PL25122318" u="1"/>
        <s v="01PL26010355" u="1"/>
        <s v="01PL26021154" u="1"/>
        <s v="01PL251204190" u="1"/>
        <s v="01PL251220180" u="1"/>
        <s v="01PL25100612" u="1"/>
        <s v="01PL25122210" u="1"/>
        <s v="01PL251003120" u="1"/>
        <s v="01PL251203110" u="1"/>
        <s v="01PL260102127" u="1"/>
        <s v="01PL260102219" u="1"/>
        <s v="01PL260122218" u="1"/>
        <s v="01PL260210117" u="1"/>
        <s v="01PL25101119" u="1"/>
        <s v="01PL25110319" u="1"/>
        <s v="01PL25110491" u="1"/>
        <s v="01PL25121929" u="1"/>
        <s v="01PL26020765" u="1"/>
        <s v="01PL25101151" u="1"/>
        <s v="01PL25110351" u="1"/>
        <s v="01PL25121150" u="1"/>
        <s v="01PL25121961" u="1"/>
        <s v="01PL26020625" u="1"/>
        <s v="01PL25101011" u="1"/>
        <s v="01PL25112621" u="1"/>
        <s v="01PL251216610" u="1"/>
        <s v="01PL251219175" u="1"/>
        <s v="01PL260110126" u="1"/>
        <s v="01PL260110218" u="1"/>
        <s v="01PL260130125" u="1"/>
        <s v="01PL260202218" u="1"/>
        <s v="01PL25122328" u="1"/>
        <s v="01PL26010365" u="1"/>
        <s v="01PL26021164" u="1"/>
        <s v="01PL25122360" u="1"/>
        <s v="01PL25100622" u="1"/>
        <s v="01PL25122220" u="1"/>
        <s v="01PL25110469" u="1"/>
        <s v="01PL260102135" u="1"/>
        <s v="01PL260102227" u="1"/>
        <s v="01PL260122226" u="1"/>
        <s v="01PL25101129" u="1"/>
        <s v="01PL25110329" u="1"/>
        <s v="01PL25121939" u="1"/>
        <s v="01PL251118104" u="1"/>
        <s v="01PL25110361" u="1"/>
        <s v="01PL25121160" u="1"/>
        <s v="01PL25121971" u="1"/>
        <s v="01PL26020635" u="1"/>
        <s v="01PL25101021" u="1"/>
        <s v="01PL25112631" u="1"/>
        <s v="01PL251127183" u="1"/>
        <s v="01PL260110134" u="1"/>
        <s v="01PL260110226" u="1"/>
        <s v="01PL260114235" u="1"/>
        <s v="01PL260130133" u="1"/>
        <s v="01PL260202226" u="1"/>
        <s v="01PL260202318" u="1"/>
        <s v="01PL25122338" u="1"/>
        <s v="01PL26010375" u="1"/>
        <s v="01PL26021174" u="1"/>
        <s v="01PL251106104" u="1"/>
        <s v="01PL251218103" u="1"/>
        <s v="01PL25122370" u="1"/>
        <s v="01PL25100632" u="1"/>
        <s v="01PL25122230" u="1"/>
        <s v="01PL25110479" u="1"/>
        <s v="01PL260102143" u="1"/>
        <s v="01PL260122234" u="1"/>
        <s v="01PL260126151" u="1"/>
        <s v="01PL25101139" u="1"/>
        <s v="01PL25110339" u="1"/>
        <s v="01PL25121138" u="1"/>
        <s v="01PL25121949" u="1"/>
        <s v="01PL251022103" u="1"/>
        <s v="01PL251118112" u="1"/>
        <s v="01PL251118204" u="1"/>
        <s v="01PL260109129" u="1"/>
        <s v="01PL25121170" u="1"/>
        <s v="01PL26020645" u="1"/>
        <s v="01PL251216582" u="1"/>
        <s v="01PL25101031" u="1"/>
        <s v="01PL25112641" u="1"/>
        <s v="01PL251219191" u="1"/>
        <s v="01PL251126159" u="1"/>
        <s v="01PL260110142" u="1"/>
        <s v="01PL260110234" u="1"/>
        <s v="01PL260114151" u="1"/>
        <s v="01PL260114243" u="1"/>
        <s v="01PL260130141" u="1"/>
        <s v="01PL260202234" u="1"/>
        <s v="01PL26010385" u="1"/>
        <s v="01PL260209128" u="1"/>
        <s v="01PL25122380" u="1"/>
        <s v="01PL25100642" u="1"/>
        <s v="01PL25122240" u="1"/>
        <s v="01PL260102199" u="1"/>
        <s v="01PL260122198" u="1"/>
        <s v="01PL25102912" u="1"/>
        <s v="01PL25110489" u="1"/>
        <s v="01PL25122911" u="1"/>
        <s v="01PL251222149" u="1"/>
        <s v="01PL251226158" u="1"/>
        <s v="01PL260102151" u="1"/>
        <s v="01PL25101149" u="1"/>
        <s v="01PL25110349" u="1"/>
        <s v="01PL25121148" u="1"/>
        <s v="01PL25121959" u="1"/>
        <s v="01PL251022203" u="1"/>
        <s v="01PL251110102" u="1"/>
        <s v="01PL251118120" u="1"/>
        <s v="01PL251118212" u="1"/>
        <s v="01PL251222101" u="1"/>
        <s v="01PL251226202" u="1"/>
        <s v="01PL260105128" u="1"/>
        <s v="01PL260109137" u="1"/>
        <s v="01PL25112619" u="1"/>
        <s v="01PL25121180" u="1"/>
        <s v="01PL25121819" u="1"/>
        <s v="01PL26011455" u="1"/>
        <s v="01PL26020655" u="1"/>
        <s v="01PL251216590" u="1"/>
        <s v="01PL25101041" u="1"/>
        <s v="01PL25112651" u="1"/>
        <s v="01PL26011315" u="1"/>
        <s v="01PL26020515" u="1"/>
        <s v="01PL260110198" u="1"/>
        <s v="01PL260114299" u="1"/>
        <s v="01PL25112511" u="1"/>
        <s v="01PL25122498" u="1"/>
        <s v="01PL251010159" u="1"/>
        <s v="01PL260110150" u="1"/>
        <s v="01PL260114251" u="1"/>
        <s v="01PL260202242" u="1"/>
        <s v="01PL25122358" u="1"/>
        <s v="01PL26010395" u="1"/>
        <s v="01PL251010203" u="1"/>
        <s v="01PL251106120" u="1"/>
        <s v="01PL251230100" u="1"/>
        <s v="01PL260209136" u="1"/>
        <s v="01PL25122218" u="1"/>
        <s v="01PL25122390" u="1"/>
        <s v="01PL25100652" u="1"/>
        <s v="01PL25122250" u="1"/>
        <s v="01PL25102111" u="1"/>
        <s v="01PL25102922" u="1"/>
        <s v="01PL25110499" u="1"/>
        <s v="01PL25120511" u="1"/>
        <s v="01PL25122921" u="1"/>
        <s v="01PL251022259" u="1"/>
        <s v="01PL251118176" u="1"/>
        <s v="01PL251202158" u="1"/>
        <s v="01PL251206259" u="1"/>
        <s v="01PL251222157" u="1"/>
        <s v="01PL25110359" u="1"/>
        <s v="01PL25121158" u="1"/>
        <s v="01PL25121969" u="1"/>
        <s v="01PL251022211" u="1"/>
        <s v="01PL251110110" u="1"/>
        <s v="01PL251202202" u="1"/>
        <s v="01PL251222201" u="1"/>
        <s v="01PL251226210" u="1"/>
        <s v="01PL260129328" u="1"/>
        <s v="01PL25101019" u="1"/>
        <s v="01PL25110391" u="1"/>
        <s v="01PL25112629" u="1"/>
        <s v="01PL25121190" u="1"/>
        <s v="01PL25121829" u="1"/>
        <s v="01PL26011465" u="1"/>
        <s v="01PL26020665" u="1"/>
        <s v="01PL25101051" u="1"/>
        <s v="01PL25112661" u="1"/>
        <s v="01PL26011325" u="1"/>
        <s v="01PL26020525" u="1"/>
        <s v="01PL25110111" u="1"/>
        <s v="01PL25112521" u="1"/>
        <s v="01PL251010167" u="1"/>
        <s v="01PL251230156" u="1"/>
        <s v="01PL260202250" u="1"/>
        <s v="01PL25122368" u="1"/>
        <s v="01PL251230200" u="1"/>
        <s v="01PL260209144" u="1"/>
        <s v="01PL25122228" u="1"/>
        <s v="01PL26012675" u="1"/>
        <s v="01PL26021064" u="1"/>
        <s v="01PL251017105" u="1"/>
        <s v="01PL25102261" u="1"/>
        <s v="01PL25122260" u="1"/>
        <s v="01PL25102121" u="1"/>
        <s v="01PL25102932" u="1"/>
        <s v="01PL25120521" u="1"/>
        <s v="01PL25122931" u="1"/>
        <s v="01PL251022267" u="1"/>
        <s v="01PL251118184" u="1"/>
        <s v="01PL251202166" u="1"/>
        <s v="01PL251202258" u="1"/>
        <s v="01PL251222165" u="1"/>
        <s v="01PL251226174" u="1"/>
        <s v="01PL25110369" u="1"/>
        <s v="01PL25121168" u="1"/>
        <s v="01PL25121979" u="1"/>
        <s v="01PL251202210" u="1"/>
        <s v="01PL251202302" u="1"/>
        <s v="01PL260129336" u="1"/>
        <s v="01PL25101029" u="1"/>
        <s v="01PL25112639" u="1"/>
        <s v="01PL25121839" u="1"/>
        <s v="01PL26011475" u="1"/>
        <s v="01PL251209104" u="1"/>
        <s v="01PL251229103" u="1"/>
        <s v="01PL25101061" u="1"/>
        <s v="01PL26011335" u="1"/>
        <s v="01PL26020535" u="1"/>
        <s v="01PL25101732" u="1"/>
        <s v="01PL25110121" u="1"/>
        <s v="01PL25112531" u="1"/>
        <s v="01PL251010175" u="1"/>
        <s v="01PL251230164" u="1"/>
        <s v="01PL25122378" u="1"/>
        <s v="01PL25122238" u="1"/>
        <s v="01PL26012685" u="1"/>
        <s v="01PL26021074" u="1"/>
        <s v="01PL251125103" u="1"/>
        <s v="01PL25102271" u="1"/>
        <s v="01PL25102131" u="1"/>
        <s v="01PL25102942" u="1"/>
        <s v="01PL25120531" u="1"/>
        <s v="01PL25122941" u="1"/>
        <s v="01PL251022275" u="1"/>
        <s v="01PL251114459" u="1"/>
        <s v="01PL251118192" u="1"/>
        <s v="01PL251202266" u="1"/>
        <s v="01PL251226182" u="1"/>
        <s v="01PL25121178" u="1"/>
        <s v="01PL251114411" u="1"/>
        <s v="01PL251202310" u="1"/>
        <s v="01PL251206411" u="1"/>
        <s v="01PL251229159" u="1"/>
        <s v="01PL260109161" u="1"/>
        <s v="01PL25101039" u="1"/>
        <s v="01PL25112649" u="1"/>
        <s v="01PL25121849" u="1"/>
        <s v="01PL26011485" u="1"/>
        <s v="01PL251205103" u="1"/>
        <s v="01PL251209112" u="1"/>
        <s v="01PL251229111" u="1"/>
        <s v="01PL26011345" u="1"/>
        <s v="01PL26020545" u="1"/>
        <s v="01PL25101742" u="1"/>
        <s v="01PL25110131" u="1"/>
        <s v="01PL25112541" u="1"/>
        <s v="01PL251010183" u="1"/>
        <s v="01PL251230172" u="1"/>
        <s v="01PL25122388" u="1"/>
        <s v="01PL251125159" u="1"/>
        <s v="01PL25122248" u="1"/>
        <s v="01PL26012695" u="1"/>
        <s v="01PL26021084" u="1"/>
        <s v="01PL251125111" u="1"/>
        <s v="01PL260204119" u="1"/>
        <s v="01PL25102281" u="1"/>
        <s v="01PL25122280" u="1"/>
        <s v="01PL25122919" u="1"/>
        <s v="01PL25102141" u="1"/>
        <s v="01PL25120541" u="1"/>
        <s v="01PL25122951" u="1"/>
        <s v="01PL26010816" u="1"/>
        <s v="01PL251022191" u="1"/>
        <s v="01PL251202182" u="1"/>
        <s v="01PL251222181" u="1"/>
        <s v="01PL251226190" u="1"/>
        <s v="01PL25110389" u="1"/>
        <s v="01PL25121188" u="1"/>
        <s v="01PL260129352" u="1"/>
        <s v="01PL25101049" u="1"/>
        <s v="01PL25112659" u="1"/>
        <s v="01PL25121859" u="1"/>
        <s v="01PL26011495" u="1"/>
        <s v="01PL251205111" u="1"/>
        <s v="01PL251209120" u="1"/>
        <s v="01PL25112519" u="1"/>
        <s v="01PL26011355" u="1"/>
        <s v="01PL26020555" u="1"/>
        <s v="01PL25110141" u="1"/>
        <s v="01PL25112551" u="1"/>
        <s v="01PL26011215" u="1"/>
        <s v="01PL251010191" u="1"/>
        <s v="01PL251230180" u="1"/>
        <s v="01PL25110812" u="1"/>
        <s v="01PL25112411" u="1"/>
        <s v="01PL25121611" u="1"/>
        <s v="01PL251125167" u="1"/>
        <s v="01PL25102259" u="1"/>
        <s v="01PL25122258" u="1"/>
        <s v="01PL26021094" u="1"/>
        <s v="01PL260204127" u="1"/>
        <s v="01PL25102119" u="1"/>
        <s v="01PL25102291" u="1"/>
        <s v="01PL25120519" u="1"/>
        <s v="01PL25122290" u="1"/>
        <s v="01PL25122929" u="1"/>
        <s v="01PL25120551" u="1"/>
        <s v="01PL25122961" u="1"/>
        <s v="01PL26010826" u="1"/>
        <s v="01PL251022291" u="1"/>
        <s v="01PL251202190" u="1"/>
        <s v="01PL251202282" u="1"/>
        <s v="01PL25100412" u="1"/>
        <s v="01PL25110399" u="1"/>
        <s v="01PL25111211" u="1"/>
        <s v="01PL25121198" u="1"/>
        <s v="01PL260129360" u="1"/>
        <s v="01PL25101059" u="1"/>
        <s v="01PL25121869" u="1"/>
        <s v="01PL260128236" u="1"/>
        <s v="01PL25110119" u="1"/>
        <s v="01PL25112529" u="1"/>
        <s v="01PL26011365" u="1"/>
        <s v="01PL26020565" u="1"/>
        <s v="01PL25101762" u="1"/>
        <s v="01PL26011225" u="1"/>
        <s v="01PL25110822" u="1"/>
        <s v="01PL25112421" u="1"/>
        <s v="01PL25121621" u="1"/>
        <s v="01PL251105268" u="1"/>
        <s v="01PL251125175" u="1"/>
        <s v="01PL251217359" u="1"/>
        <s v="01PL25102269" u="1"/>
        <s v="01PL25122268" u="1"/>
        <s v="01PL251105220" u="1"/>
        <s v="01PL251105312" u="1"/>
        <s v="01PL260116144" u="1"/>
        <s v="01PL260204135" u="1"/>
        <s v="01PL25102129" u="1"/>
        <s v="01PL25120529" u="1"/>
        <s v="01PL25122939" u="1"/>
        <s v="01PL25120561" u="1"/>
        <s v="01PL25122971" u="1"/>
        <s v="01PL26010836" u="1"/>
        <s v="01PL251202290" u="1"/>
        <s v="01PL25100422" u="1"/>
        <s v="01PL25111221" u="1"/>
        <s v="01PL25121879" u="1"/>
        <s v="01PL260128244" u="1"/>
        <s v="01PL25110129" u="1"/>
        <s v="01PL25112539" u="1"/>
        <s v="01PL26011375" u="1"/>
        <s v="01PL26020575" u="1"/>
        <s v="01PL25101772" u="1"/>
        <s v="01PL25112571" u="1"/>
        <s v="01PL26011235" u="1"/>
        <s v="01PL25110832" u="1"/>
        <s v="01PL25112431" u="1"/>
        <s v="01PL25121631" u="1"/>
        <s v="01PL251217367" u="1"/>
        <s v="01PL25102279" u="1"/>
        <s v="01PL251105320" u="1"/>
        <s v="01PL260204143" u="1"/>
        <s v="01PL25102139" u="1"/>
        <s v="01PL25120539" u="1"/>
        <s v="01PL25122949" u="1"/>
        <s v="01PL251104104" u="1"/>
        <s v="01PL260119129" u="1"/>
        <s v="01PL25120571" u="1"/>
        <s v="01PL25122981" u="1"/>
        <s v="01PL26010846" u="1"/>
        <s v="01PL26012445" u="1"/>
        <s v="01PL25100432" u="1"/>
        <s v="01PL25111231" u="1"/>
        <s v="01PL25121889" u="1"/>
        <s v="01PL260120142" u="1"/>
        <s v="01PL25110139" u="1"/>
        <s v="01PL25112549" u="1"/>
        <s v="01PL26011385" u="1"/>
        <s v="01PL26020585" u="1"/>
        <s v="01PL251008214" u="1"/>
        <s v="01PL251204103" u="1"/>
        <s v="01PL251208112" u="1"/>
        <s v="01PL251224102" u="1"/>
        <s v="01PL25101782" u="1"/>
        <s v="01PL25112581" u="1"/>
        <s v="01PL26011245" u="1"/>
        <s v="01PL25110842" u="1"/>
        <s v="01PL25112441" u="1"/>
        <s v="01PL25121641" u="1"/>
        <s v="01PL26011916" u="1"/>
        <s v="01PL251217375" u="1"/>
        <s v="01PL260204199" u="1"/>
        <s v="01PL25102289" u="1"/>
        <s v="01PL25122288" u="1"/>
        <s v="01PL251124159" u="1"/>
        <s v="01PL260204151" u="1"/>
        <s v="01PL260204519" u="1"/>
        <s v="01PL25120549" u="1"/>
        <s v="01PL25122959" u="1"/>
        <s v="01PL26010996" u="1"/>
        <s v="01PL251104112" u="1"/>
        <s v="01PL251124203" u="1"/>
        <s v="01PL260119137" u="1"/>
        <s v="01PL260119229" u="1"/>
        <s v="01PL260203119" u="1"/>
        <s v="01PL25120581" u="1"/>
        <s v="01PL25122991" u="1"/>
        <s v="01PL26012455" u="1"/>
        <s v="01PL25100442" u="1"/>
        <s v="01PL25111241" u="1"/>
        <s v="01PL25111912" u="1"/>
        <s v="01PL25121899" u="1"/>
        <s v="01PL25122711" u="1"/>
        <s v="01PL251204159" u="1"/>
        <s v="01PL251220149" u="1"/>
        <s v="01PL260120150" u="1"/>
        <s v="01PL25110149" u="1"/>
        <s v="01PL26020595" u="1"/>
        <s v="01PL251008222" u="1"/>
        <s v="01PL251204111" u="1"/>
        <s v="01PL251208120" u="1"/>
        <s v="01PL251224110" u="1"/>
        <s v="01PL25101792" u="1"/>
        <s v="01PL25112419" u="1"/>
        <s v="01PL25112591" u="1"/>
        <s v="01PL25121619" u="1"/>
        <s v="01PL26011255" u="1"/>
        <s v="01PL25110852" u="1"/>
        <s v="01PL25121651" u="1"/>
        <s v="01PL26011926" u="1"/>
        <s v="01PL251217383" u="1"/>
        <s v="01PL25102299" u="1"/>
        <s v="01PL25110712" u="1"/>
        <s v="01PL25122298" u="1"/>
        <s v="01PL25123110" u="1"/>
        <s v="01PL251124167" u="1"/>
        <s v="01PL260204527" u="1"/>
        <s v="01PL25120559" u="1"/>
        <s v="01PL25122969" u="1"/>
        <s v="01PL251120202" u="1"/>
        <s v="01PL251212202" u="1"/>
        <s v="01PL260115228" u="1"/>
        <s v="01PL260119237" u="1"/>
        <s v="01PL260207228" u="1"/>
        <s v="01PL25102019" u="1"/>
        <s v="01PL25111219" u="1"/>
        <s v="01PL25120591" u="1"/>
        <s v="01PL26010866" u="1"/>
        <s v="01PL26012465" u="1"/>
        <s v="01PL25111111" u="1"/>
        <s v="01PL25111922" u="1"/>
        <s v="01PL25120311" u="1"/>
        <s v="01PL25122721" u="1"/>
        <s v="01PL251220157" u="1"/>
        <s v="01PL25112569" u="1"/>
        <s v="01PL251008230" u="1"/>
        <s v="01PL25112429" u="1"/>
        <s v="01PL25121629" u="1"/>
        <s v="01PL25110862" u="1"/>
        <s v="01PL25121661" u="1"/>
        <s v="01PL26011936" u="1"/>
        <s v="01PL251217391" u="1"/>
        <s v="01PL25101522" u="1"/>
        <s v="01PL25110722" u="1"/>
        <s v="01PL25123120" u="1"/>
        <s v="01PL251120166" u="1"/>
        <s v="01PL251124175" u="1"/>
        <s v="01PL251212166" u="1"/>
        <s v="01PL260204535" u="1"/>
        <s v="01PL25120569" u="1"/>
        <s v="01PL25122979" u="1"/>
        <s v="01PL251120210" u="1"/>
        <s v="01PL260115236" u="1"/>
        <s v="01PL260119245" u="1"/>
        <s v="01PL260203135" u="1"/>
        <s v="01PL260207236" u="1"/>
        <s v="01PL25102029" u="1"/>
        <s v="01PL25111229" u="1"/>
        <s v="01PL26010876" u="1"/>
        <s v="01PL26012475" u="1"/>
        <s v="01PL251107105" u="1"/>
        <s v="01PL25111121" u="1"/>
        <s v="01PL25111932" u="1"/>
        <s v="01PL25120321" u="1"/>
        <s v="01PL25122731" u="1"/>
        <s v="01PL251204175" u="1"/>
        <s v="01PL251220165" u="1"/>
        <s v="01PL25112579" u="1"/>
        <s v="01PL25112439" u="1"/>
        <s v="01PL25121639" u="1"/>
        <s v="01PL251227103" u="1"/>
        <s v="01PL25110872" u="1"/>
        <s v="01PL26011946" u="1"/>
        <s v="01PL260204499" u="1"/>
        <s v="01PL25101532" u="1"/>
        <s v="01PL25110732" u="1"/>
        <s v="01PL25123130" u="1"/>
        <s v="01PL251120174" u="1"/>
        <s v="01PL251124183" u="1"/>
        <s v="01PL251212174" u="1"/>
        <s v="01PL25120579" u="1"/>
        <s v="01PL25122989" u="1"/>
        <s v="01PL260119253" u="1"/>
        <s v="01PL260203143" u="1"/>
        <s v="01PL260207244" u="1"/>
        <s v="01PL25102039" u="1"/>
        <s v="01PL25111239" u="1"/>
        <s v="01PL26010886" u="1"/>
        <s v="01PL26012485" u="1"/>
        <s v="01PL251103104" u="1"/>
        <s v="01PL251107113" u="1"/>
        <s v="01PL251127204" u="1"/>
        <s v="01PL251215103" u="1"/>
        <s v="01PL251219204" u="1"/>
        <s v="01PL25111131" u="1"/>
        <s v="01PL25111942" u="1"/>
        <s v="01PL25120331" u="1"/>
        <s v="01PL25122741" u="1"/>
        <s v="01PL251204183" u="1"/>
        <s v="01PL251220173" u="1"/>
        <s v="01PL25112589" u="1"/>
        <s v="01PL260127160" u="1"/>
        <s v="01PL25112449" u="1"/>
        <s v="01PL25121649" u="1"/>
        <s v="01PL251227111" u="1"/>
        <s v="01PL260106129" u="1"/>
        <s v="01PL260126128" u="1"/>
        <s v="01PL26011956" u="1"/>
        <s v="01PL25101542" u="1"/>
        <s v="01PL25110742" u="1"/>
        <s v="01PL25123140" u="1"/>
        <s v="01PL251120182" u="1"/>
        <s v="01PL251124191" u="1"/>
        <s v="01PL251212182" u="1"/>
        <s v="01PL25120589" u="1"/>
        <s v="01PL25122999" u="1"/>
        <s v="01PL251216603" u="1"/>
        <s v="01PL251219168" u="1"/>
        <s v="01PL251231149" u="1"/>
        <s v="01PL260115160" u="1"/>
        <s v="01PL260115252" u="1"/>
        <s v="01PL260119261" u="1"/>
        <s v="01PL260203151" u="1"/>
        <s v="01PL25102049" u="1"/>
        <s v="01PL26010896" u="1"/>
        <s v="01PL251103112" u="1"/>
        <s v="01PL251107121" u="1"/>
        <s v="01PL251127212" u="1"/>
        <s v="01PL251211102" u="1"/>
        <s v="01PL251215111" u="1"/>
        <s v="01PL251219212" u="1"/>
        <s v="01PL251231101" u="1"/>
        <s v="01PL260110119" u="1"/>
        <s v="01PL25122719" u="1"/>
        <s v="01PL25111141" u="1"/>
        <s v="01PL25120341" u="1"/>
        <s v="01PL25122751" u="1"/>
        <s v="01PL251220181" u="1"/>
        <s v="01PL25112599" u="1"/>
        <s v="01PL25122611" u="1"/>
        <s v="01PL25121659" u="1"/>
        <s v="01PL251003121" u="1"/>
        <s v="01PL251203111" u="1"/>
        <s v="01PL260102128" u="1"/>
        <s v="01PL260122219" u="1"/>
        <s v="01PL260126136" u="1"/>
        <s v="01PL260210118" u="1"/>
        <s v="01PL25123118" u="1"/>
        <s v="01PL26011966" u="1"/>
        <s v="01PL25101552" u="1"/>
        <s v="01PL25123150" u="1"/>
        <s v="01PL26020215" u="1"/>
        <s v="01PL251120190" u="1"/>
        <s v="01PL251212190" u="1"/>
        <s v="01PL25110612" u="1"/>
        <s v="01PL25112211" u="1"/>
        <s v="01PL25120599" u="1"/>
        <s v="01PL251127176" u="1"/>
        <s v="01PL251216611" u="1"/>
        <s v="01PL251219176" u="1"/>
        <s v="01PL251103120" u="1"/>
        <s v="01PL251127220" u="1"/>
        <s v="01PL251211110" u="1"/>
        <s v="01PL251219220" u="1"/>
        <s v="01PL260110127" u="1"/>
        <s v="01PL260110219" u="1"/>
        <s v="01PL260130126" u="1"/>
        <s v="01PL260202219" u="1"/>
        <s v="01PL25111119" u="1"/>
        <s v="01PL25120319" u="1"/>
        <s v="01PL25122729" u="1"/>
        <s v="01PL25111151" u="1"/>
        <s v="01PL25120351" u="1"/>
        <s v="01PL25122761" u="1"/>
        <s v="01PL25111011" u="1"/>
        <s v="01PL25122621" u="1"/>
        <s v="01PL260102136" u="1"/>
        <s v="01PL260122227" u="1"/>
        <s v="01PL260126144" u="1"/>
        <s v="01PL25123128" u="1"/>
        <s v="01PL251118105" u="1"/>
        <s v="01PL25101562" u="1"/>
        <s v="01PL25121561" u="1"/>
        <s v="01PL25123160" u="1"/>
        <s v="01PL26020225" u="1"/>
        <s v="01PL251216575" u="1"/>
        <s v="01PL25110622" u="1"/>
        <s v="01PL25112221" u="1"/>
        <s v="01PL251127184" u="1"/>
        <s v="01PL251219184" u="1"/>
        <s v="01PL260110135" u="1"/>
        <s v="01PL260110227" u="1"/>
        <s v="01PL260114236" u="1"/>
        <s v="01PL260130134" u="1"/>
        <s v="01PL260202227" u="1"/>
        <s v="01PL260202319" u="1"/>
        <s v="01PL25111129" u="1"/>
        <s v="01PL25120329" u="1"/>
        <s v="01PL25122739" u="1"/>
        <s v="01PL26010776" u="1"/>
        <s v="01PL251106105" u="1"/>
        <s v="01PL251218104" u="1"/>
        <s v="01PL25111161" u="1"/>
        <s v="01PL25120361" u="1"/>
        <s v="01PL25122771" u="1"/>
        <s v="01PL25111021" u="1"/>
        <s v="01PL25122631" u="1"/>
        <s v="01PL260102144" u="1"/>
        <s v="01PL260122235" u="1"/>
        <s v="01PL260126152" u="1"/>
        <s v="01PL25123138" u="1"/>
        <s v="01PL26011986" u="1"/>
        <s v="01PL26020375" u="1"/>
        <s v="01PL251022104" u="1"/>
        <s v="01PL251118113" u="1"/>
        <s v="01PL251118205" u="1"/>
        <s v="01PL25103171" u="1"/>
        <s v="01PL25121571" u="1"/>
        <s v="01PL25123170" u="1"/>
        <s v="01PL26020235" u="1"/>
        <s v="01PL251216583" u="1"/>
        <s v="01PL25110632" u="1"/>
        <s v="01PL25112231" u="1"/>
        <s v="01PL251219192" u="1"/>
        <s v="01PL260110143" u="1"/>
        <s v="01PL260110235" u="1"/>
        <s v="01PL260114152" u="1"/>
        <s v="01PL260114244" u="1"/>
        <s v="01PL260130142" u="1"/>
        <s v="01PL260202235" u="1"/>
        <s v="01PL25111139" u="1"/>
        <s v="01PL25120339" u="1"/>
        <s v="01PL25122749" u="1"/>
        <s v="01PL251106113" u="1"/>
        <s v="01PL260209129" u="1"/>
        <s v="01PL25100372" u="1"/>
        <s v="01PL25120371" u="1"/>
        <s v="01PL25122781" u="1"/>
        <s v="01PL25111031" u="1"/>
        <s v="01PL25122641" u="1"/>
        <s v="01PL260122199" u="1"/>
        <s v="01PL251226159" u="1"/>
        <s v="01PL260102152" u="1"/>
        <s v="01PL260126160" u="1"/>
        <s v="01PL25123148" u="1"/>
        <s v="01PL26011996" u="1"/>
        <s v="01PL26020385" u="1"/>
        <s v="01PL251022204" u="1"/>
        <s v="01PL251110103" u="1"/>
        <s v="01PL251118121" u="1"/>
        <s v="01PL251118213" u="1"/>
        <s v="01PL251222102" u="1"/>
        <s v="01PL251226203" u="1"/>
        <s v="01PL260109138" u="1"/>
        <s v="01PL25121581" u="1"/>
        <s v="01PL25123180" u="1"/>
        <s v="01PL26020245" u="1"/>
        <s v="01PL251216591" u="1"/>
        <s v="01PL25110642" u="1"/>
        <s v="01PL25112241" u="1"/>
        <s v="01PL26011716" u="1"/>
        <s v="01PL26020916" u="1"/>
        <s v="01PL260110199" u="1"/>
        <s v="01PL260110151" u="1"/>
        <s v="01PL260114160" u="1"/>
        <s v="01PL260114252" u="1"/>
        <s v="01PL260130150" u="1"/>
        <s v="01PL260202243" u="1"/>
        <s v="01PL25111149" u="1"/>
        <s v="01PL25120349" u="1"/>
        <s v="01PL25122759" u="1"/>
        <s v="01PL251010204" u="1"/>
        <s v="01PL251106121" u="1"/>
        <s v="01PL251230101" u="1"/>
        <s v="01PL260209137" u="1"/>
        <s v="01PL25100382" u="1"/>
        <s v="01PL25120381" u="1"/>
        <s v="01PL25122619" u="1"/>
        <s v="01PL25122791" u="1"/>
        <s v="01PL25111041" u="1"/>
        <s v="01PL26010516" u="1"/>
        <s v="01PL25102512" u="1"/>
        <s v="01PL25122511" u="1"/>
        <s v="01PL251118177" u="1"/>
        <s v="01PL251202159" u="1"/>
        <s v="01PL251222158" u="1"/>
        <s v="01PL260102160" u="1"/>
        <s v="01PL25121559" u="1"/>
        <s v="01PL25123158" u="1"/>
        <s v="01PL26020395" u="1"/>
        <s v="01PL251022212" u="1"/>
        <s v="01PL251110111" u="1"/>
        <s v="01PL251202203" u="1"/>
        <s v="01PL251222110" u="1"/>
        <s v="01PL251222202" u="1"/>
        <s v="01PL260109146" u="1"/>
        <s v="01PL260129329" u="1"/>
        <s v="01PL25112219" u="1"/>
        <s v="01PL25121591" u="1"/>
        <s v="01PL25123190" u="1"/>
        <s v="01PL26020255" u="1"/>
        <s v="01PL25110652" u="1"/>
        <s v="01PL26011726" u="1"/>
        <s v="01PL26020926" u="1"/>
        <s v="01PL260202299" u="1"/>
        <s v="01PL25101312" u="1"/>
        <s v="01PL25121311" u="1"/>
        <s v="01PL251010168" u="1"/>
        <s v="01PL251230157" u="1"/>
        <s v="01PL260114260" u="1"/>
        <s v="01PL260202251" u="1"/>
        <s v="01PL25111159" u="1"/>
        <s v="01PL25120359" u="1"/>
        <s v="01PL25122769" u="1"/>
        <s v="01PL251230201" u="1"/>
        <s v="01PL25100392" u="1"/>
        <s v="01PL25111019" u="1"/>
        <s v="01PL25120391" u="1"/>
        <s v="01PL25122629" u="1"/>
        <s v="01PL26010666" u="1"/>
        <s v="01PL251017106" u="1"/>
        <s v="01PL26010526" u="1"/>
        <s v="01PL25100923" u="1"/>
        <s v="01PL25102522" u="1"/>
        <s v="01PL25120111" u="1"/>
        <s v="01PL25122521" u="1"/>
        <s v="01PL251022268" u="1"/>
        <s v="01PL251118185" u="1"/>
        <s v="01PL251202167" u="1"/>
        <s v="01PL251202259" u="1"/>
        <s v="01PL251222166" u="1"/>
        <s v="01PL251226175" u="1"/>
        <s v="01PL25103169" u="1"/>
        <s v="01PL25121569" u="1"/>
        <s v="01PL25123168" u="1"/>
        <s v="01PL251022220" u="1"/>
        <s v="01PL251202211" u="1"/>
        <s v="01PL251202303" u="1"/>
        <s v="01PL251206220" u="1"/>
        <s v="01PL251206404" u="1"/>
        <s v="01PL260129337" u="1"/>
        <s v="01PL25112229" u="1"/>
        <s v="01PL26011065" u="1"/>
        <s v="01PL251209105" u="1"/>
        <s v="01PL251229104" u="1"/>
        <s v="01PL25112261" u="1"/>
        <s v="01PL26011736" u="1"/>
        <s v="01PL26020936" u="1"/>
        <s v="01PL25101322" u="1"/>
        <s v="01PL25120369" u="1"/>
        <s v="01PL25122779" u="1"/>
        <s v="01PL25111029" u="1"/>
        <s v="01PL25122639" u="1"/>
        <s v="01PL26010676" u="1"/>
        <s v="01PL251125104" u="1"/>
        <s v="01PL26010536" u="1"/>
        <s v="01PL25100933" u="1"/>
        <s v="01PL25102532" u="1"/>
        <s v="01PL25120121" u="1"/>
        <s v="01PL25122531" u="1"/>
        <s v="01PL251022184" u="1"/>
        <s v="01PL251022276" u="1"/>
        <s v="01PL251118193" u="1"/>
        <s v="01PL251202175" u="1"/>
        <s v="01PL251202267" u="1"/>
        <s v="01PL251222174" u="1"/>
        <s v="01PL251226183" u="1"/>
        <s v="01PL25121579" u="1"/>
        <s v="01PL25123178" u="1"/>
        <s v="01PL251114412" u="1"/>
        <s v="01PL251202311" u="1"/>
        <s v="01PL260109162" u="1"/>
        <s v="01PL260129345" u="1"/>
        <s v="01PL25112239" u="1"/>
        <s v="01PL26011075" u="1"/>
        <s v="01PL251205104" u="1"/>
        <s v="01PL251209113" u="1"/>
        <s v="01PL251229112" u="1"/>
        <s v="01PL25112271" u="1"/>
        <s v="01PL26011746" u="1"/>
        <s v="01PL26020946" u="1"/>
        <s v="01PL25101332" u="1"/>
        <s v="01PL25121331" u="1"/>
        <s v="01PL251010184" u="1"/>
        <s v="01PL251230173" u="1"/>
        <s v="01PL25120379" u="1"/>
        <s v="01PL25122789" u="1"/>
        <s v="01PL25111039" u="1"/>
        <s v="01PL26010686" u="1"/>
        <s v="01PL251125112" u="1"/>
        <s v="01PL25100943" u="1"/>
        <s v="01PL25102542" u="1"/>
        <s v="01PL25120131" u="1"/>
        <s v="01PL25122541" u="1"/>
        <s v="01PL26012816" u="1"/>
        <s v="01PL251022192" u="1"/>
        <s v="01PL251022284" u="1"/>
        <s v="01PL251202183" u="1"/>
        <s v="01PL251222182" u="1"/>
        <s v="01PL251226191" u="1"/>
        <s v="01PL25121589" u="1"/>
        <s v="01PL25123188" u="1"/>
        <s v="01PL251114420" u="1"/>
        <s v="01PL260109170" u="1"/>
        <s v="01PL260129353" u="1"/>
        <s v="01PL26011085" u="1"/>
        <s v="01PL251205112" u="1"/>
        <s v="01PL260128229" u="1"/>
        <s v="01PL25112281" u="1"/>
        <s v="01PL26011756" u="1"/>
        <s v="01PL26020956" u="1"/>
        <s v="01PL25101342" u="1"/>
        <s v="01PL25121341" u="1"/>
        <s v="01PL26011616" u="1"/>
        <s v="01PL251010192" u="1"/>
        <s v="01PL251230181" u="1"/>
        <s v="01PL25112812" u="1"/>
        <s v="01PL25120389" u="1"/>
        <s v="01PL25122799" u="1"/>
        <s v="01PL251125168" u="1"/>
        <s v="01PL25111049" u="1"/>
        <s v="01PL26010696" u="1"/>
        <s v="01PL251125120" u="1"/>
        <s v="01PL260116137" u="1"/>
        <s v="01PL260204128" u="1"/>
        <s v="01PL25111081" u="1"/>
        <s v="01PL25122519" u="1"/>
        <s v="01PL26010556" u="1"/>
        <s v="01PL25100953" u="1"/>
        <s v="01PL25102552" u="1"/>
        <s v="01PL25120141" u="1"/>
        <s v="01PL25122551" u="1"/>
        <s v="01PL26012015" u="1"/>
        <s v="01PL26012826" u="1"/>
        <s v="01PL251022292" u="1"/>
        <s v="01PL251202191" u="1"/>
        <s v="01PL251202283" u="1"/>
        <s v="01PL251222190" u="1"/>
        <s v="01PL25120812" u="1"/>
        <s v="01PL25121599" u="1"/>
        <s v="01PL25122411" u="1"/>
        <s v="01PL25123198" u="1"/>
        <s v="01PL260129361" u="1"/>
        <s v="01PL25112259" u="1"/>
        <s v="01PL26011095" u="1"/>
        <s v="01PL260128237" u="1"/>
        <s v="01PL25112291" u="1"/>
        <s v="01PL25123090" u="1"/>
        <s v="01PL26011766" u="1"/>
        <s v="01PL26020966" u="1"/>
        <s v="01PL25101352" u="1"/>
        <s v="01PL25121351" u="1"/>
        <s v="01PL26011626" u="1"/>
        <s v="01PL25112822" u="1"/>
        <s v="01PL25120399" u="1"/>
        <s v="01PL251105269" u="1"/>
        <s v="01PL251125176" u="1"/>
        <s v="01PL251105221" u="1"/>
        <s v="01PL251105313" u="1"/>
        <s v="01PL260116145" u="1"/>
        <s v="01PL260204136" u="1"/>
        <s v="01PL25111091" u="1"/>
        <s v="01PL25120119" u="1"/>
        <s v="01PL25122529" u="1"/>
        <s v="01PL26010566" u="1"/>
        <s v="01PL25100963" u="1"/>
        <s v="01PL25102562" u="1"/>
        <s v="01PL25120151" u="1"/>
        <s v="01PL25122561" u="1"/>
        <s v="01PL26012025" u="1"/>
        <s v="01PL26012836" u="1"/>
        <s v="01PL251202291" u="1"/>
        <s v="01PL25120822" u="1"/>
        <s v="01PL25122421" u="1"/>
        <s v="01PL25112269" u="1"/>
        <s v="01PL25121329" u="1"/>
        <s v="01PL26011776" u="1"/>
        <s v="01PL26020976" u="1"/>
        <s v="01PL25121361" u="1"/>
        <s v="01PL26011636" u="1"/>
        <s v="01PL25112832" u="1"/>
        <s v="01PL251217368" u="1"/>
        <s v="01PL251105321" u="1"/>
        <s v="01PL260204144" u="1"/>
        <s v="01PL25120129" u="1"/>
        <s v="01PL25122539" u="1"/>
        <s v="01PL26010576" u="1"/>
        <s v="01PL251104105" u="1"/>
        <s v="01PL25102572" u="1"/>
        <s v="01PL25120161" u="1"/>
        <s v="01PL25120972" u="1"/>
        <s v="01PL26012035" u="1"/>
        <s v="01PL26012846" u="1"/>
        <s v="01PL25120832" u="1"/>
        <s v="01PL25122431" u="1"/>
        <s v="01PL25112279" u="1"/>
        <s v="01PL260108162" u="1"/>
        <s v="01PL260120143" u="1"/>
        <s v="01PL25121339" u="1"/>
        <s v="01PL26011786" u="1"/>
        <s v="01PL26020986" u="1"/>
        <s v="01PL251008215" u="1"/>
        <s v="01PL251204104" u="1"/>
        <s v="01PL251208113" u="1"/>
        <s v="01PL251224103" u="1"/>
        <s v="01PL26011646" u="1"/>
        <s v="01PL25112842" u="1"/>
        <s v="01PL251217376" u="1"/>
        <s v="01PL25111079" u="1"/>
        <s v="01PL260204152" u="1"/>
        <s v="01PL25120139" u="1"/>
        <s v="01PL25122549" u="1"/>
        <s v="01PL26010586" u="1"/>
        <s v="01PL251104113" u="1"/>
        <s v="01PL251124204" u="1"/>
        <s v="01PL25102582" u="1"/>
        <s v="01PL25120982" u="1"/>
        <s v="01PL26012045" u="1"/>
        <s v="01PL26012856" u="1"/>
        <s v="01PL25120842" u="1"/>
        <s v="01PL25122441" u="1"/>
        <s v="01PL26012716" u="1"/>
        <s v="01PL25112289" u="1"/>
        <s v="01PL25123088" u="1"/>
        <s v="01PL260108170" u="1"/>
        <s v="01PL260120151" u="1"/>
        <s v="01PL25121349" u="1"/>
        <s v="01PL26011796" u="1"/>
        <s v="01PL26020996" u="1"/>
        <s v="01PL251008223" u="1"/>
        <s v="01PL251204112" u="1"/>
        <s v="01PL251208121" u="1"/>
        <s v="01PL251224111" u="1"/>
        <s v="01PL25121381" u="1"/>
        <s v="01PL25112852" u="1"/>
        <s v="01PL26020716" u="1"/>
        <s v="01PL251217384" u="1"/>
        <s v="01PL25111089" u="1"/>
        <s v="01PL251120159" u="1"/>
        <s v="01PL251124168" u="1"/>
        <s v="01PL260204160" u="1"/>
        <s v="01PL260204528" u="1"/>
        <s v="01PL25120149" u="1"/>
        <s v="01PL25122559" u="1"/>
        <s v="01PL26010596" u="1"/>
        <s v="01PL251120111" u="1"/>
        <s v="01PL251212203" u="1"/>
        <s v="01PL260115229" u="1"/>
        <s v="01PL260119238" u="1"/>
        <s v="01PL260203128" u="1"/>
        <s v="01PL260207229" u="1"/>
        <s v="01PL25102592" u="1"/>
        <s v="01PL25120992" u="1"/>
        <s v="01PL25122419" u="1"/>
        <s v="01PL26012055" u="1"/>
        <s v="01PL26012866" u="1"/>
        <s v="01PL25120852" u="1"/>
        <s v="01PL26012726" u="1"/>
        <s v="01PL26021115" u="1"/>
        <s v="01PL25122311" u="1"/>
        <s v="01PL25123098" u="1"/>
        <s v="01PL251204168" u="1"/>
        <s v="01PL251220158" u="1"/>
        <s v="01PL25121359" u="1"/>
        <s v="01PL251008231" u="1"/>
        <s v="01PL251204120" u="1"/>
        <s v="01PL26011666" u="1"/>
        <s v="01PL26020726" u="1"/>
        <s v="01PL251217392" u="1"/>
        <s v="01PL25101112" u="1"/>
        <s v="01PL25110312" u="1"/>
        <s v="01PL25111099" u="1"/>
        <s v="01PL25121922" u="1"/>
        <s v="01PL251120167" u="1"/>
        <s v="01PL251124176" u="1"/>
        <s v="01PL251212167" u="1"/>
        <s v="01PL260204536" u="1"/>
        <s v="01PL25120159" u="1"/>
        <s v="01PL260115237" u="1"/>
        <s v="01PL260119154" u="1"/>
        <s v="01PL260119246" u="1"/>
        <s v="01PL260203136" u="1"/>
        <s v="01PL260207237" u="1"/>
        <s v="01PL25122429" u="1"/>
        <s v="01PL26012065" u="1"/>
        <s v="01PL26012876" u="1"/>
        <s v="01PL251107106" u="1"/>
        <s v="01PL26010326" u="1"/>
        <s v="01PL26012736" u="1"/>
        <s v="01PL26021125" u="1"/>
        <s v="01PL25122321" u="1"/>
        <s v="01PL251204176" u="1"/>
        <s v="01PL251220166" u="1"/>
        <s v="01PL26011676" u="1"/>
        <s v="01PL251003106" u="1"/>
        <s v="01PL251227104" u="1"/>
        <s v="01PL26020736" u="1"/>
        <s v="01PL25101122" u="1"/>
        <s v="01PL25110322" u="1"/>
        <s v="01PL25121932" u="1"/>
        <s v="01PL251120175" u="1"/>
        <s v="01PL251124184" u="1"/>
        <s v="01PL251212175" u="1"/>
        <s v="01PL25120169" u="1"/>
        <s v="01PL260115245" u="1"/>
        <s v="01PL260119254" u="1"/>
        <s v="01PL260203144" u="1"/>
        <s v="01PL260207245" u="1"/>
        <s v="01PL25122439" u="1"/>
        <s v="01PL26012886" u="1"/>
        <s v="01PL251103105" u="1"/>
        <s v="01PL251107114" u="1"/>
        <s v="01PL251127205" u="1"/>
        <s v="01PL251215104" u="1"/>
        <s v="01PL251219205" u="1"/>
        <s v="01PL26010336" u="1"/>
        <s v="01PL26021135" u="1"/>
        <s v="01PL25122331" u="1"/>
        <s v="01PL251204184" u="1"/>
        <s v="01PL251220174" u="1"/>
        <s v="01PL26011686" u="1"/>
        <s v="01PL251003114" u="1"/>
        <s v="01PL251203104" u="1"/>
        <s v="01PL251227112" u="1"/>
        <s v="01PL260126129" u="1"/>
        <s v="01PL26020746" u="1"/>
        <s v="01PL25101132" u="1"/>
        <s v="01PL25110332" u="1"/>
        <s v="01PL25121131" u="1"/>
        <s v="01PL25121942" u="1"/>
        <s v="01PL251120183" u="1"/>
        <s v="01PL251124192" u="1"/>
        <s v="01PL251212183" u="1"/>
        <s v="01PL25120179" u="1"/>
        <s v="01PL251216604" u="1"/>
        <s v="01PL251219169" u="1"/>
        <s v="01PL260115161" u="1"/>
        <s v="01PL260115253" u="1"/>
        <s v="01PL260119262" u="1"/>
        <s v="01PL260203152" u="1"/>
        <s v="01PL251107122" u="1"/>
        <s v="01PL251127213" u="1"/>
        <s v="01PL251211103" u="1"/>
        <s v="01PL251215112" u="1"/>
        <s v="01PL251219213" u="1"/>
        <s v="01PL251231102" u="1"/>
        <s v="01PL26010346" u="1"/>
        <s v="01PL26021145" u="1"/>
        <s v="01PL25122341" u="1"/>
        <s v="01PL251220182" u="1"/>
        <s v="01PL25121389" u="1"/>
        <s v="01PL26011696" u="1"/>
        <s v="01PL251003122" u="1"/>
        <s v="01PL251203112" u="1"/>
        <s v="01PL251227120" u="1"/>
        <s v="01PL260102129" u="1"/>
        <s v="01PL260126137" u="1"/>
        <s v="01PL260210119" u="1"/>
        <s v="01PL26020756" u="1"/>
        <s v="01PL25101142" u="1"/>
        <s v="01PL25110342" u="1"/>
        <s v="01PL25121141" u="1"/>
        <s v="01PL25121952" u="1"/>
        <s v="01PL26020616" u="1"/>
        <s v="01PL251120191" u="1"/>
        <s v="01PL251212191" u="1"/>
        <s v="01PL25112612" u="1"/>
        <s v="01PL251127177" u="1"/>
        <s v="01PL251216612" u="1"/>
        <s v="01PL260203160" u="1"/>
        <s v="01PL251031120" u="1"/>
        <s v="01PL251103121" u="1"/>
        <s v="01PL251107130" u="1"/>
        <s v="01PL251127221" u="1"/>
        <s v="01PL251211111" u="1"/>
        <s v="01PL251219221" u="1"/>
        <s v="01PL251231110" u="1"/>
        <s v="01PL260110128" u="1"/>
        <s v="01PL260130127" u="1"/>
        <s v="01PL26010356" u="1"/>
        <s v="01PL26021155" u="1"/>
        <s v="01PL25100613" u="1"/>
        <s v="01PL25122211" u="1"/>
        <s v="01PL251003130" u="1"/>
        <s v="01PL251203120" u="1"/>
        <s v="01PL260102137" u="1"/>
        <s v="01PL260122228" u="1"/>
        <s v="01PL26020766" u="1"/>
        <s v="01PL251118106" u="1"/>
        <s v="01PL25101152" u="1"/>
        <s v="01PL25110352" u="1"/>
        <s v="01PL25121151" u="1"/>
        <s v="01PL25121962" u="1"/>
        <s v="01PL26020626" u="1"/>
        <s v="01PL251216576" u="1"/>
        <s v="01PL25101012" u="1"/>
        <s v="01PL25112622" u="1"/>
        <s v="01PL251127185" u="1"/>
        <s v="01PL251216620" u="1"/>
        <s v="01PL251219185" u="1"/>
        <s v="01PL260110136" u="1"/>
        <s v="01PL260110228" u="1"/>
        <s v="01PL260114237" u="1"/>
        <s v="01PL260130135" u="1"/>
        <s v="01PL260202228" u="1"/>
        <s v="01PL26010366" u="1"/>
        <s v="01PL251106106" u="1"/>
        <s v="01PL251218105" u="1"/>
        <s v="01PL25122361" u="1"/>
        <s v="01PL25100623" u="1"/>
        <s v="01PL25122221" u="1"/>
        <s v="01PL260102145" u="1"/>
        <s v="01PL260122236" u="1"/>
        <s v="01PL260126153" u="1"/>
        <s v="01PL25121129" u="1"/>
        <s v="01PL251022105" u="1"/>
        <s v="01PL251118114" u="1"/>
        <s v="01PL251118206" u="1"/>
        <s v="01PL25110362" u="1"/>
        <s v="01PL25121161" u="1"/>
        <s v="01PL25121972" u="1"/>
        <s v="01PL26020636" u="1"/>
        <s v="01PL251216584" u="1"/>
        <s v="01PL25101022" u="1"/>
        <s v="01PL25112632" u="1"/>
        <s v="01PL251219193" u="1"/>
        <s v="01PL260110144" u="1"/>
        <s v="01PL260110236" u="1"/>
        <s v="01PL260114153" u="1"/>
        <s v="01PL260114245" u="1"/>
        <s v="01PL260130143" u="1"/>
        <s v="01PL260202236" u="1"/>
        <s v="01PL26010376" u="1"/>
        <s v="01PL26021175" u="1"/>
        <s v="01PL251106114" u="1"/>
        <s v="01PL25122371" u="1"/>
        <s v="01PL25100633" u="1"/>
        <s v="01PL25122231" u="1"/>
        <s v="01PL260102153" u="1"/>
        <s v="01PL260126161" u="1"/>
        <s v="01PL251022205" u="1"/>
        <s v="01PL251110104" u="1"/>
        <s v="01PL251118122" u="1"/>
        <s v="01PL251118214" u="1"/>
        <s v="01PL251222103" u="1"/>
        <s v="01PL251226204" u="1"/>
        <s v="01PL260109139" u="1"/>
        <s v="01PL25121171" u="1"/>
        <s v="01PL26020646" u="1"/>
        <s v="01PL251216592" u="1"/>
        <s v="01PL25101032" u="1"/>
        <s v="01PL25112642" u="1"/>
        <s v="01PL260110152" u="1"/>
        <s v="01PL260114161" u="1"/>
        <s v="01PL260114253" u="1"/>
        <s v="01PL260130151" u="1"/>
        <s v="01PL260202244" u="1"/>
        <s v="01PL26010386" u="1"/>
        <s v="01PL251010205" u="1"/>
        <s v="01PL251230102" u="1"/>
        <s v="01PL260209138" u="1"/>
        <s v="01PL25122381" u="1"/>
        <s v="01PL25100643" u="1"/>
        <s v="01PL25122241" u="1"/>
        <s v="01PL25102913" u="1"/>
        <s v="01PL25122912" u="1"/>
        <s v="01PL251118178" u="1"/>
        <s v="01PL251222159" u="1"/>
        <s v="01PL251226168" u="1"/>
        <s v="01PL260102161" u="1"/>
        <s v="01PL25121149" u="1"/>
        <s v="01PL251022213" u="1"/>
        <s v="01PL251110112" u="1"/>
        <s v="01PL251202204" u="1"/>
        <s v="01PL251222111" u="1"/>
        <s v="01PL251222203" u="1"/>
        <s v="01PL251226120" u="1"/>
        <s v="01PL251226212" u="1"/>
        <s v="01PL260109147" u="1"/>
        <s v="01PL25121181" u="1"/>
        <s v="01PL26011456" u="1"/>
        <s v="01PL26020656" u="1"/>
        <s v="01PL25101042" u="1"/>
        <s v="01PL25112652" u="1"/>
        <s v="01PL26011316" u="1"/>
        <s v="01PL26020516" u="1"/>
        <s v="01PL25112512" u="1"/>
        <s v="01PL25122499" u="1"/>
        <s v="01PL251010169" u="1"/>
        <s v="01PL251230158" u="1"/>
        <s v="01PL260110160" u="1"/>
        <s v="01PL260114261" u="1"/>
        <s v="01PL260202252" u="1"/>
        <s v="01PL26010396" u="1"/>
        <s v="01PL251106130" u="1"/>
        <s v="01PL251230110" u="1"/>
        <s v="01PL251230202" u="1"/>
        <s v="01PL260209146" u="1"/>
        <s v="01PL25122219" u="1"/>
        <s v="01PL25122391" u="1"/>
        <s v="01PL26021055" u="1"/>
        <s v="01PL25100653" u="1"/>
        <s v="01PL25122251" u="1"/>
        <s v="01PL25102923" u="1"/>
        <s v="01PL25120512" u="1"/>
        <s v="01PL25122922" u="1"/>
        <s v="01PL251022269" u="1"/>
        <s v="01PL251118186" u="1"/>
        <s v="01PL251202168" u="1"/>
        <s v="01PL251222167" u="1"/>
        <s v="01PL251226176" u="1"/>
        <s v="01PL25121159" u="1"/>
        <s v="01PL251022221" u="1"/>
        <s v="01PL251114405" u="1"/>
        <s v="01PL251202212" u="1"/>
        <s v="01PL251202304" u="1"/>
        <s v="01PL251206221" u="1"/>
        <s v="01PL251206405" u="1"/>
        <s v="01PL251226220" u="1"/>
        <s v="01PL260129338" u="1"/>
        <s v="01PL25110392" u="1"/>
        <s v="01PL25121191" u="1"/>
        <s v="01PL26011466" u="1"/>
        <s v="01PL251209106" u="1"/>
        <s v="01PL251229105" u="1"/>
        <s v="01PL25101052" u="1"/>
        <s v="01PL25112662" u="1"/>
        <s v="01PL26011326" u="1"/>
        <s v="01PL26020526" u="1"/>
        <s v="01PL25110112" u="1"/>
        <s v="01PL25112522" u="1"/>
        <s v="01PL251010177" u="1"/>
        <s v="01PL251230166" u="1"/>
        <s v="01PL260202260" u="1"/>
        <s v="01PL251230210" u="1"/>
        <s v="01PL25122229" u="1"/>
        <s v="01PL26012676" u="1"/>
        <s v="01PL26021065" u="1"/>
        <s v="01PL251125105" u="1"/>
        <s v="01PL25102262" u="1"/>
        <s v="01PL25122261" u="1"/>
        <s v="01PL25102933" u="1"/>
        <s v="01PL25120522" u="1"/>
        <s v="01PL25122932" u="1"/>
        <s v="01PL251022185" u="1"/>
        <s v="01PL251022277" u="1"/>
        <s v="01PL251118194" u="1"/>
        <s v="01PL251202176" u="1"/>
        <s v="01PL251202268" u="1"/>
        <s v="01PL251222175" u="1"/>
        <s v="01PL251226184" u="1"/>
        <s v="01PL25121169" u="1"/>
        <s v="01PL251114413" u="1"/>
        <s v="01PL251202220" u="1"/>
        <s v="01PL251202312" u="1"/>
        <s v="01PL251206413" u="1"/>
        <s v="01PL260109163" u="1"/>
        <s v="01PL260129346" u="1"/>
        <s v="01PL26011476" u="1"/>
        <s v="01PL251205105" u="1"/>
        <s v="01PL251209114" u="1"/>
        <s v="01PL251229113" u="1"/>
        <s v="01PL25101062" u="1"/>
        <s v="01PL26011336" u="1"/>
        <s v="01PL26020536" u="1"/>
        <s v="01PL25101733" u="1"/>
        <s v="01PL25110122" u="1"/>
        <s v="01PL25112532" u="1"/>
        <s v="01PL251010185" u="1"/>
        <s v="01PL251230174" u="1"/>
        <s v="01PL25122239" u="1"/>
        <s v="01PL26012686" u="1"/>
        <s v="01PL26021075" u="1"/>
        <s v="01PL251125113" u="1"/>
        <s v="01PL25102272" u="1"/>
        <s v="01PL25102943" u="1"/>
        <s v="01PL25120532" u="1"/>
        <s v="01PL25122942" u="1"/>
        <s v="01PL251022285" u="1"/>
        <s v="01PL251202276" u="1"/>
        <s v="01PL251226192" u="1"/>
        <s v="01PL25121179" u="1"/>
        <s v="01PL251114421" u="1"/>
        <s v="01PL251202320" u="1"/>
        <s v="01PL260109171" u="1"/>
        <s v="01PL26011486" u="1"/>
        <s v="01PL251209122" u="1"/>
        <s v="01PL251229121" u="1"/>
        <s v="01PL26011346" u="1"/>
        <s v="01PL26020546" u="1"/>
        <s v="01PL25101743" u="1"/>
        <s v="01PL25110132" u="1"/>
        <s v="01PL25112542" u="1"/>
        <s v="01PL251010193" u="1"/>
        <s v="01PL251230182" u="1"/>
        <s v="01PL251125169" u="1"/>
        <s v="01PL25122249" u="1"/>
        <s v="01PL26012696" u="1"/>
        <s v="01PL26021085" u="1"/>
        <s v="01PL251125121" u="1"/>
        <s v="01PL260116138" u="1"/>
        <s v="01PL260204129" u="1"/>
        <s v="01PL25102282" u="1"/>
        <s v="01PL25122281" u="1"/>
        <s v="01PL25120542" u="1"/>
        <s v="01PL25122952" u="1"/>
        <s v="01PL26010817" u="1"/>
        <s v="01PL251202192" u="1"/>
        <s v="01PL251222191" u="1"/>
        <s v="01PL25121189" u="1"/>
        <s v="01PL260129270" u="1"/>
        <s v="01PL260129362" u="1"/>
        <s v="01PL26011496" u="1"/>
        <s v="01PL260128238" u="1"/>
        <s v="01PL26011356" u="1"/>
        <s v="01PL26020556" u="1"/>
        <s v="01PL25110142" u="1"/>
        <s v="01PL25112552" u="1"/>
        <s v="01PL26011216" u="1"/>
        <s v="01PL251230190" u="1"/>
        <s v="01PL25110813" u="1"/>
        <s v="01PL25112412" u="1"/>
        <s v="01PL25121612" u="1"/>
        <s v="01PL251125177" u="1"/>
        <s v="01PL25122259" u="1"/>
        <s v="01PL26021095" u="1"/>
        <s v="01PL251105222" u="1"/>
        <s v="01PL251105314" u="1"/>
        <s v="01PL260204137" u="1"/>
        <s v="01PL25102292" u="1"/>
        <s v="01PL25122291" u="1"/>
        <s v="01PL25120552" u="1"/>
        <s v="01PL25122962" u="1"/>
        <s v="01PL26010827" u="1"/>
        <s v="01PL251202292" u="1"/>
        <s v="01PL25102012" u="1"/>
        <s v="01PL25111212" u="1"/>
        <s v="01PL25121199" u="1"/>
        <s v="01PL260129370" u="1"/>
        <s v="01PL26011366" u="1"/>
        <s v="01PL26020566" u="1"/>
        <s v="01PL25101763" u="1"/>
        <s v="01PL26011226" u="1"/>
        <s v="01PL2601092" u="1"/>
        <s v="01PL25110823" u="1"/>
        <s v="01PL25112422" u="1"/>
        <s v="01PL25121622" u="1"/>
        <s v="01PL251217369" u="1"/>
        <s v="01PL25122269" u="1"/>
        <s v="01PL251105230" u="1"/>
        <s v="01PL251105322" u="1"/>
        <s v="01PL260204145" u="1"/>
        <s v="01PL251104106" u="1"/>
        <s v="01PL25120562" u="1"/>
        <s v="01PL25122972" u="1"/>
        <s v="01PL26010837" u="1"/>
        <s v="01PL25102022" u="1"/>
        <s v="01PL25111222" u="1"/>
        <s v="01PL260108163" u="1"/>
        <s v="01PL26011376" u="1"/>
        <s v="01PL26020576" u="1"/>
        <s v="01PL251008216" u="1"/>
        <s v="01PL251204105" u="1"/>
        <s v="01PL251208114" u="1"/>
        <s v="01PL251224104" u="1"/>
        <s v="01PL25101773" u="1"/>
        <s v="01PL25112572" u="1"/>
        <s v="01PL26011236" u="1"/>
        <s v="01PL25110833" u="1"/>
        <s v="01PL25112432" u="1"/>
        <s v="01PL25121632" u="1"/>
        <s v="01PL251217377" u="1"/>
        <s v="01PL251105330" u="1"/>
        <s v="01PL251104114" u="1"/>
        <s v="01PL251124205" u="1"/>
        <s v="01PL25120572" u="1"/>
        <s v="01PL25122982" u="1"/>
        <s v="01PL26010847" u="1"/>
        <s v="01PL26012446" u="1"/>
        <s v="01PL25102032" u="1"/>
        <s v="01PL25111232" u="1"/>
        <s v="01PL260108171" u="1"/>
        <s v="01PL260120152" u="1"/>
        <s v="01PL26011386" u="1"/>
        <s v="01PL26020586" u="1"/>
        <s v="01PL251008224" u="1"/>
        <s v="01PL251204113" u="1"/>
        <s v="01PL251208122" u="1"/>
        <s v="01PL251224112" u="1"/>
        <s v="01PL25101783" u="1"/>
        <s v="01PL25112582" u="1"/>
        <s v="01PL26011246" u="1"/>
        <s v="01PL25110843" u="1"/>
        <s v="01PL25112442" u="1"/>
        <s v="01PL25121642" u="1"/>
        <s v="01PL251217385" u="1"/>
        <s v="01PL25122289" u="1"/>
        <s v="01PL251124169" u="1"/>
        <s v="01PL260204529" u="1"/>
        <s v="01PL26010997" u="1"/>
        <s v="01PL251120112" u="1"/>
        <s v="01PL251120204" u="1"/>
        <s v="01PL251212204" u="1"/>
        <s v="01PL260119239" u="1"/>
        <s v="01PL260203129" u="1"/>
        <s v="01PL25120582" u="1"/>
        <s v="01PL25122992" u="1"/>
        <s v="01PL26012456" u="1"/>
        <s v="01PL25102042" u="1"/>
        <s v="01PL25111242" u="1"/>
        <s v="01PL25111913" u="1"/>
        <s v="01PL25122712" u="1"/>
        <s v="01PL251204169" u="1"/>
        <s v="01PL251220159" u="1"/>
        <s v="01PL26020596" u="1"/>
        <s v="01PL251008232" u="1"/>
        <s v="01PL251204121" u="1"/>
        <s v="01PL251208130" u="1"/>
        <s v="01PL251224120" u="1"/>
        <s v="01PL25101793" u="1"/>
        <s v="01PL25112592" u="1"/>
        <s v="01PL26011256" u="1"/>
        <s v="01PL25110853" u="1"/>
        <s v="01PL25121652" u="1"/>
        <s v="01PL251217393" u="1"/>
        <s v="01PL25110713" u="1"/>
        <s v="01PL25122299" u="1"/>
        <s v="01PL25123111" u="1"/>
        <s v="01PL251120168" u="1"/>
        <s v="01PL251124177" u="1"/>
        <s v="01PL251212168" u="1"/>
        <s v="01PL260204537" u="1"/>
        <s v="01PL251120120" u="1"/>
        <s v="01PL251212212" u="1"/>
        <s v="01PL260115238" u="1"/>
        <s v="01PL260119155" u="1"/>
        <s v="01PL260119247" u="1"/>
        <s v="01PL260207238" u="1"/>
        <s v="01PL25120592" u="1"/>
        <s v="01PL26010867" u="1"/>
        <s v="01PL26012466" u="1"/>
        <s v="01PL251107107" u="1"/>
        <s v="01PL25102052" u="1"/>
        <s v="01PL25111112" u="1"/>
        <s v="01PL25111923" u="1"/>
        <s v="01PL25120312" u="1"/>
        <s v="01PL25122722" u="1"/>
        <s v="01PL251204177" u="1"/>
        <s v="01PL251220167" u="1"/>
        <s v="01PL251008240" u="1"/>
        <s v="01PL26020466" u="1"/>
        <s v="01PL251003107" u="1"/>
        <s v="01PL251227105" u="1"/>
        <s v="01PL25110863" u="1"/>
        <s v="01PL25121662" u="1"/>
        <s v="01PL25101523" u="1"/>
        <s v="01PL25110723" u="1"/>
        <s v="01PL25123121" u="1"/>
        <s v="01PL251120176" u="1"/>
        <s v="01PL251124185" u="1"/>
        <s v="01PL251212176" u="1"/>
        <s v="01PL251212220" u="1"/>
        <s v="01PL260115246" u="1"/>
        <s v="01PL260119255" u="1"/>
        <s v="01PL260203145" u="1"/>
        <s v="01PL260207246" u="1"/>
        <s v="01PL26010877" u="1"/>
        <s v="01PL26012476" u="1"/>
        <s v="01PL251103106" u="1"/>
        <s v="01PL251107115" u="1"/>
        <s v="01PL251127206" u="1"/>
        <s v="01PL251215105" u="1"/>
        <s v="01PL251219206" u="1"/>
        <s v="01PL25111122" u="1"/>
        <s v="01PL25111933" u="1"/>
        <s v="01PL25120322" u="1"/>
        <s v="01PL25122732" u="1"/>
        <s v="01PL251204185" u="1"/>
        <s v="01PL251220175" u="1"/>
        <s v="01PL260127162" u="1"/>
        <s v="01PL26020476" u="1"/>
        <s v="01PL251003115" u="1"/>
        <s v="01PL251203105" u="1"/>
        <s v="01PL251227113" u="1"/>
        <s v="01PL25110873" u="1"/>
        <s v="01PL25101533" u="1"/>
        <s v="01PL25110733" u="1"/>
        <s v="01PL25123131" u="1"/>
        <s v="01PL251120184" u="1"/>
        <s v="01PL251124193" u="1"/>
        <s v="01PL251212184" u="1"/>
        <s v="01PL251216605" u="1"/>
        <s v="01PL260115162" u="1"/>
        <s v="01PL260119263" u="1"/>
        <s v="01PL260203153" u="1"/>
        <s v="01PL26010887" u="1"/>
        <s v="01PL26012486" u="1"/>
        <s v="01PL251103114" u="1"/>
        <s v="01PL251107123" u="1"/>
        <s v="01PL251127214" u="1"/>
        <s v="01PL251211104" u="1"/>
        <s v="01PL251219214" u="1"/>
        <s v="01PL251231103" u="1"/>
        <s v="01PL25111132" u="1"/>
        <s v="01PL25111943" u="1"/>
        <s v="01PL25120332" u="1"/>
        <s v="01PL25122742" u="1"/>
        <s v="01PL251220183" u="1"/>
        <s v="01PL260127170" u="1"/>
        <s v="01PL26020486" u="1"/>
        <s v="01PL251027131" u="1"/>
        <s v="01PL251227121" u="1"/>
        <s v="01PL260126138" u="1"/>
        <s v="01PL25101543" u="1"/>
        <s v="01PL25110743" u="1"/>
        <s v="01PL25123141" u="1"/>
        <s v="01PL251120192" u="1"/>
        <s v="01PL251212192" u="1"/>
        <s v="01PL251216569" u="1"/>
        <s v="01PL251127178" u="1"/>
        <s v="01PL251216613" u="1"/>
        <s v="01PL251219178" u="1"/>
        <s v="01PL260115170" u="1"/>
        <s v="01PL260203161" u="1"/>
        <s v="01PL26010897" u="1"/>
        <s v="01PL251031121" u="1"/>
        <s v="01PL251103122" u="1"/>
        <s v="01PL251107131" u="1"/>
        <s v="01PL251127222" u="1"/>
        <s v="01PL251211112" u="1"/>
        <s v="01PL251219130" u="1"/>
        <s v="01PL251219222" u="1"/>
        <s v="01PL251231111" u="1"/>
        <s v="01PL260110129" u="1"/>
        <s v="01PL260130128" u="1"/>
        <s v="01PL25102082" u="1"/>
        <s v="01PL25111142" u="1"/>
        <s v="01PL25120342" u="1"/>
        <s v="01PL251220191" u="1"/>
        <s v="01PL25122612" u="1"/>
        <s v="01PL26020496" u="1"/>
        <s v="01PL251003131" u="1"/>
        <s v="01PL251203121" u="1"/>
        <s v="01PL260102138" u="1"/>
        <s v="01PL260122229" u="1"/>
        <s v="01PL260126146" u="1"/>
        <s v="01PL25123119" u="1"/>
        <s v="01PL251118107" u="1"/>
        <s v="01PL25101553" u="1"/>
        <s v="01PL25123151" u="1"/>
        <s v="01PL26020216" u="1"/>
        <s v="01PL251216577" u="1"/>
        <s v="01PL25110613" u="1"/>
        <s v="01PL25112212" u="1"/>
        <s v="01PL251127186" u="1"/>
        <s v="01PL251216621" u="1"/>
        <s v="01PL251219186" u="1"/>
        <s v="01PL260115270" u="1"/>
        <s v="01PL251103130" u="1"/>
        <s v="01PL251127230" u="1"/>
        <s v="01PL251219230" u="1"/>
        <s v="01PL260110137" u="1"/>
        <s v="01PL260110229" u="1"/>
        <s v="01PL260130136" u="1"/>
        <s v="01PL260202229" u="1"/>
        <s v="01PL251106107" u="1"/>
        <s v="01PL251218106" u="1"/>
        <s v="01PL25111152" u="1"/>
        <s v="01PL25120352" u="1"/>
        <s v="01PL25122762" u="1"/>
        <s v="01PL25111012" u="1"/>
        <s v="01PL25122622" u="1"/>
        <s v="01PL260102146" u="1"/>
        <s v="01PL260122237" u="1"/>
        <s v="01PL260126154" u="1"/>
        <s v="01PL25123129" u="1"/>
        <s v="01PL251022106" u="1"/>
        <s v="01PL251118115" u="1"/>
        <s v="01PL251118207" u="1"/>
        <s v="01PL25101563" u="1"/>
        <s v="01PL25121562" u="1"/>
        <s v="01PL25123161" u="1"/>
        <s v="01PL26020226" u="1"/>
        <s v="01PL251216585" u="1"/>
        <s v="01PL25110623" u="1"/>
        <s v="01PL25112222" u="1"/>
        <s v="01PL251127194" u="1"/>
        <s v="01PL251219194" u="1"/>
        <s v="01PL260110145" u="1"/>
        <s v="01PL260110237" u="1"/>
        <s v="01PL260114154" u="1"/>
        <s v="01PL260114246" u="1"/>
        <s v="01PL260130144" u="1"/>
        <s v="01PL260202237" u="1"/>
        <s v="01PL26010777" u="1"/>
        <s v="01PL251106115" u="1"/>
        <s v="01PL25111162" u="1"/>
        <s v="01PL25120362" u="1"/>
        <s v="01PL25122772" u="1"/>
        <s v="01PL25111022" u="1"/>
        <s v="01PL25122632" u="1"/>
        <s v="01PL260102154" u="1"/>
        <s v="01PL260126162" u="1"/>
        <s v="01PL25123139" u="1"/>
        <s v="01PL26020376" u="1"/>
        <s v="01PL251022206" u="1"/>
        <s v="01PL251110105" u="1"/>
        <s v="01PL251118123" u="1"/>
        <s v="01PL251118215" u="1"/>
        <s v="01PL251222104" u="1"/>
        <s v="01PL251226205" u="1"/>
        <s v="01PL25103172" u="1"/>
        <s v="01PL25121572" u="1"/>
        <s v="01PL25123171" u="1"/>
        <s v="01PL26020236" u="1"/>
        <s v="01PL251216593" u="1"/>
        <s v="01PL25110633" u="1"/>
        <s v="01PL25112232" u="1"/>
        <s v="01PL260110153" u="1"/>
        <s v="01PL260114162" u="1"/>
        <s v="01PL260114254" u="1"/>
        <s v="01PL260130152" u="1"/>
        <s v="01PL260202245" u="1"/>
        <s v="01PL251010206" u="1"/>
        <s v="01PL251106123" u="1"/>
        <s v="01PL251230103" u="1"/>
        <s v="01PL260209139" u="1"/>
        <s v="01PL25100373" u="1"/>
        <s v="01PL25111172" u="1"/>
        <s v="01PL25120372" u="1"/>
        <s v="01PL25122782" u="1"/>
        <s v="01PL25111032" u="1"/>
        <s v="01PL25122642" u="1"/>
        <s v="01PL251118179" u="1"/>
        <s v="01PL251226169" u="1"/>
        <s v="01PL260102162" u="1"/>
        <s v="01PL260126170" u="1"/>
        <s v="01PL25123149" u="1"/>
        <s v="01PL26020386" u="1"/>
        <s v="01PL251022214" u="1"/>
        <s v="01PL251110113" u="1"/>
        <s v="01PL251202205" u="1"/>
        <s v="01PL251206214" u="1"/>
        <s v="01PL251222112" u="1"/>
        <s v="01PL251222204" u="1"/>
        <s v="01PL251226213" u="1"/>
        <s v="01PL260109148" u="1"/>
        <s v="01PL25103182" u="1"/>
        <s v="01PL25121582" u="1"/>
        <s v="01PL25123181" u="1"/>
        <s v="01PL26020246" u="1"/>
        <s v="01PL260109100" u="1"/>
        <s v="01PL25110643" u="1"/>
        <s v="01PL25112242" u="1"/>
        <s v="01PL26011717" u="1"/>
        <s v="01PL26020917" u="1"/>
        <s v="01PL251230159" u="1"/>
        <s v="01PL260110161" u="1"/>
        <s v="01PL260114170" u="1"/>
        <s v="01PL260114262" u="1"/>
        <s v="01PL260130160" u="1"/>
        <s v="01PL260202253" u="1"/>
        <s v="01PL2508299" u="1"/>
        <s v="01PL251106131" u="1"/>
        <s v="01PL251126130" u="1"/>
        <s v="01PL251230111" u="1"/>
        <s v="01PL251230203" u="1"/>
        <s v="01PL25100383" u="1"/>
        <s v="01PL25120382" u="1"/>
        <s v="01PL25122792" u="1"/>
        <s v="01PL251017108" u="1"/>
        <s v="01PL25111042" u="1"/>
        <s v="01PL26010517" u="1"/>
        <s v="01PL25102513" u="1"/>
        <s v="01PL25122512" u="1"/>
        <s v="01PL251022178" u="1"/>
        <s v="01PL251118187" u="1"/>
        <s v="01PL251202169" u="1"/>
        <s v="01PL251222168" u="1"/>
        <s v="01PL251226177" u="1"/>
        <s v="01PL260102170" u="1"/>
        <s v="01PL25123159" u="1"/>
        <s v="01PL26020396" u="1"/>
        <s v="01PL251022222" u="1"/>
        <s v="01PL251114406" u="1"/>
        <s v="01PL251202213" u="1"/>
        <s v="01PL251202305" u="1"/>
        <s v="01PL251222120" u="1"/>
        <s v="01PL260109156" u="1"/>
        <s v="01PL260129339" u="1"/>
        <s v="01PL2601089" u="1"/>
        <s v="01PL25121592" u="1"/>
        <s v="01PL25123191" u="1"/>
        <s v="01PL26020256" u="1"/>
        <s v="01PL251209107" u="1"/>
        <s v="01PL251229106" u="1"/>
        <s v="01PL260109200" u="1"/>
        <s v="01PL25110653" u="1"/>
        <s v="01PL26011727" u="1"/>
        <s v="01PL26020927" u="1"/>
        <s v="01PL25101313" u="1"/>
        <s v="01PL25121312" u="1"/>
        <s v="01PL251230167" u="1"/>
        <s v="01PL260114270" u="1"/>
        <s v="01PL260202261" u="1"/>
        <s v="01PL251230211" u="1"/>
        <s v="01PL25100393" u="1"/>
        <s v="01PL25120392" u="1"/>
        <s v="01PL26010667" u="1"/>
        <s v="01PL251125106" u="1"/>
        <s v="01PL26010527" u="1"/>
        <s v="01PL25100924" u="1"/>
        <s v="01PL25102523" u="1"/>
        <s v="01PL25120112" u="1"/>
        <s v="01PL25122522" u="1"/>
        <s v="01PL251022186" u="1"/>
        <s v="01PL251022278" u="1"/>
        <s v="01PL251118195" u="1"/>
        <s v="01PL251202177" u="1"/>
        <s v="01PL251222176" u="1"/>
        <s v="01PL251226185" u="1"/>
        <s v="01PL25123169" u="1"/>
        <s v="01PL251114414" u="1"/>
        <s v="01PL251202221" u="1"/>
        <s v="01PL251202313" u="1"/>
        <s v="01PL251206230" u="1"/>
        <s v="01PL251206414" u="1"/>
        <s v="01PL260109164" u="1"/>
        <s v="01PL260129347" u="1"/>
        <s v="01PL26011066" u="1"/>
        <s v="01PL251205106" u="1"/>
        <s v="01PL25112262" u="1"/>
        <s v="01PL26011737" u="1"/>
        <s v="01PL26020937" u="1"/>
        <s v="01PL25101323" u="1"/>
        <s v="01PL26010677" u="1"/>
        <s v="01PL251125114" u="1"/>
        <s v="01PL25100934" u="1"/>
        <s v="01PL25102533" u="1"/>
        <s v="01PL25120122" u="1"/>
        <s v="01PL25122532" u="1"/>
        <s v="01PL251022194" u="1"/>
        <s v="01PL251022286" u="1"/>
        <s v="01PL251202185" u="1"/>
        <s v="01PL251202277" u="1"/>
        <s v="01PL251222184" u="1"/>
        <s v="01PL251226193" u="1"/>
        <s v="01PL26" u="1"/>
        <s v="01PL25123179" u="1"/>
        <s v="01PL251114422" u="1"/>
        <s v="01PL251202321" u="1"/>
        <s v="01PL260109172" u="1"/>
        <s v="01PL260129355" u="1"/>
        <s v="01PL26011076" u="1"/>
        <s v="01PL251229122" u="1"/>
        <s v="01PL25112272" u="1"/>
        <s v="01PL25123071" u="1"/>
        <s v="01PL26011747" u="1"/>
        <s v="01PL26020947" u="1"/>
        <s v="01PL25101333" u="1"/>
        <s v="01PL25121332" u="1"/>
        <s v="01PL251010194" u="1"/>
        <s v="01PL251230183" u="1"/>
        <s v="01PL26010687" u="1"/>
        <s v="01PL251105307" u="1"/>
        <s v="01PL251125122" u="1"/>
        <s v="01PL260116139" u="1"/>
        <s v="01PL26010547" u="1"/>
        <s v="01PL25100944" u="1"/>
        <s v="01PL25102543" u="1"/>
        <s v="01PL25120132" u="1"/>
        <s v="01PL25122542" u="1"/>
        <s v="01PL26012817" u="1"/>
        <s v="01PL251022294" u="1"/>
        <s v="01PL251202193" u="1"/>
        <s v="01PL251202285" u="1"/>
        <s v="01PL251222192" u="1"/>
        <s v="01PL25123189" u="1"/>
        <s v="01PL251114430" u="1"/>
        <s v="01PL260109180" u="1"/>
        <s v="01PL260129271" u="1"/>
        <s v="01PL260129363" u="1"/>
        <s v="01PL26011086" u="1"/>
        <s v="01PL251229130" u="1"/>
        <s v="01PL260128239" u="1"/>
        <s v="01PL25112282" u="1"/>
        <s v="01PL25123081" u="1"/>
        <s v="01PL26011757" u="1"/>
        <s v="01PL26020957" u="1"/>
        <s v="01PL260108100" u="1"/>
        <s v="01PL25101343" u="1"/>
        <s v="01PL25121342" u="1"/>
        <s v="01PL26011617" u="1"/>
        <s v="01PL251230191" u="1"/>
        <s v="01PL25112813" u="1"/>
        <s v="01PL26010697" u="1"/>
        <s v="01PL251105223" u="1"/>
        <s v="01PL251105315" u="1"/>
        <s v="01PL251125130" u="1"/>
        <s v="01PL260204138" u="1"/>
        <s v="01PL25111082" u="1"/>
        <s v="01PL25100954" u="1"/>
        <s v="01PL25102553" u="1"/>
        <s v="01PL25120142" u="1"/>
        <s v="01PL25122552" u="1"/>
        <s v="01PL26012016" u="1"/>
        <s v="01PL26012827" u="1"/>
        <s v="01PL251202293" u="1"/>
        <s v="01PL25120813" u="1"/>
        <s v="01PL25122412" u="1"/>
        <s v="01PL260129371" u="1"/>
        <s v="01PL26011096" u="1"/>
        <s v="01PL25112292" u="1"/>
        <s v="01PL25123091" u="1"/>
        <s v="01PL26011767" u="1"/>
        <s v="01PL26020967" u="1"/>
        <s v="01PL260108200" u="1"/>
        <s v="01PL25101353" u="1"/>
        <s v="01PL25121352" u="1"/>
        <s v="01PL26011627" u="1"/>
        <s v="01PL2601051" u="1"/>
        <s v="01PL25112823" u="1"/>
        <s v="01PL251105231" u="1"/>
        <s v="01PL251105323" u="1"/>
        <s v="01PL251217322" u="1"/>
        <s v="01PL260204146" u="1"/>
        <s v="01PL25111092" u="1"/>
        <s v="01PL26010567" u="1"/>
        <s v="01PL251104107" u="1"/>
        <s v="01PL25102563" u="1"/>
        <s v="01PL25120152" u="1"/>
        <s v="01PL25120963" u="1"/>
        <s v="01PL25122562" u="1"/>
        <s v="01PL26012026" u="1"/>
        <s v="01PL26012837" u="1"/>
        <s v="01PL25120823" u="1"/>
        <s v="01PL25122422" u="1"/>
        <s v="01PL260108164" u="1"/>
        <s v="01PL260120145" u="1"/>
        <s v="01PL26011777" u="1"/>
        <s v="01PL26020977" u="1"/>
        <s v="01PL251008217" u="1"/>
        <s v="01PL251204106" u="1"/>
        <s v="01PL251208115" u="1"/>
        <s v="01PL251224105" u="1"/>
        <s v="01PL26011637" u="1"/>
        <s v="01PL2601052" u="1"/>
        <s v="01PL25112833" u="1"/>
        <s v="01PL251217378" u="1"/>
        <s v="01PL251105331" u="1"/>
        <s v="01PL251217330" u="1"/>
        <s v="01PL260204154" u="1"/>
        <s v="01PL26010577" u="1"/>
        <s v="01PL251104115" u="1"/>
        <s v="01PL251124206" u="1"/>
        <s v="01PL25102573" u="1"/>
        <s v="01PL25120162" u="1"/>
        <s v="01PL25120973" u="1"/>
        <s v="01PL26012036" u="1"/>
        <s v="01PL26012847" u="1"/>
        <s v="01PL2601173" u="1"/>
        <s v="01PL25120833" u="1"/>
        <s v="01PL25122432" u="1"/>
        <s v="01PL25123079" u="1"/>
        <s v="01PL260108172" u="1"/>
        <s v="01PL260120153" u="1"/>
        <s v="01PL26011787" u="1"/>
        <s v="01PL26020987" u="1"/>
        <s v="01PL251008225" u="1"/>
        <s v="01PL251204114" u="1"/>
        <s v="01PL251208123" u="1"/>
        <s v="01PL251224113" u="1"/>
        <s v="01PL26011647" u="1"/>
        <s v="01PL2601053" u="1"/>
        <s v="01PL25112843" u="1"/>
        <s v="01PL251105295" u="1"/>
        <s v="01PL251217386" u="1"/>
        <s v="01PL260204162" u="1"/>
        <s v="01PL26010587" u="1"/>
        <s v="01PL251120205" u="1"/>
        <s v="01PL251212205" u="1"/>
        <s v="01PL25102583" u="1"/>
        <s v="01PL25120983" u="1"/>
        <s v="01PL26012046" u="1"/>
        <s v="01PL26012857" u="1"/>
        <s v="01PL260119100" u="1"/>
        <s v="01PL2601174" u="1"/>
        <s v="01PL25120843" u="1"/>
        <s v="01PL25122442" u="1"/>
        <s v="01PL26012717" u="1"/>
        <s v="01PL25123089" u="1"/>
        <s v="01PL260108180" u="1"/>
        <s v="01PL26011797" u="1"/>
        <s v="01PL26020997" u="1"/>
        <s v="01PL251008233" u="1"/>
        <s v="01PL251204122" u="1"/>
        <s v="01PL251208131" u="1"/>
        <s v="01PL251224121" u="1"/>
        <s v="01PL25121382" u="1"/>
        <s v="01PL2601054" u="1"/>
        <s v="01PL25112853" u="1"/>
        <s v="01PL26020717" u="1"/>
        <s v="01PL251120169" u="1"/>
        <s v="01PL251124178" u="1"/>
        <s v="01PL251212169" u="1"/>
        <s v="01PL260204170" u="1"/>
        <s v="01PL26010597" u="1"/>
        <s v="01PL251120121" u="1"/>
        <s v="01PL251212213" u="1"/>
        <s v="01PL260115239" u="1"/>
        <s v="01PL260119156" u="1"/>
        <s v="01PL260119248" u="1"/>
        <s v="01PL260203138" u="1"/>
        <s v="01PL260207239" u="1"/>
        <s v="01PL25102593" u="1"/>
        <s v="01PL25120993" u="1"/>
        <s v="01PL26012056" u="1"/>
        <s v="01PL26012867" u="1"/>
        <s v="01PL251107108" u="1"/>
        <s v="01PL2601175" u="1"/>
        <s v="01PL25120853" u="1"/>
        <s v="01PL26010317" u="1"/>
        <s v="01PL26012727" u="1"/>
        <s v="01PL25122312" u="1"/>
        <s v="01PL25123099" u="1"/>
        <s v="01PL251204178" u="1"/>
        <s v="01PL251220168" u="1"/>
        <s v="01PL251008241" u="1"/>
        <s v="01PL251204130" u="1"/>
        <s v="01PL260127155" u="1"/>
        <s v="01PL26011667" u="1"/>
        <s v="01PL251003108" u="1"/>
        <s v="01PL251227106" u="1"/>
        <s v="01PL2601055" u="1"/>
        <s v="01PL26020727" u="1"/>
        <s v="01PL2601282" u="1"/>
        <s v="01PL25101113" u="1"/>
        <s v="01PL25110313" u="1"/>
        <s v="01PL25121923" u="1"/>
        <s v="01PL251120177" u="1"/>
        <s v="01PL251124186" u="1"/>
        <s v="01PL251212177" u="1"/>
        <s v="01PL260116371" u="1"/>
        <s v="01PL260115247" u="1"/>
        <s v="01PL260119256" u="1"/>
        <s v="01PL260203146" u="1"/>
        <s v="01PL260207247" u="1"/>
        <s v="01PL26012066" u="1"/>
        <s v="01PL26012877" u="1"/>
        <s v="01PL251103107" u="1"/>
        <s v="01PL251107116" u="1"/>
        <s v="01PL251127207" u="1"/>
        <s v="01PL251215106" u="1"/>
        <s v="01PL251219207" u="1"/>
        <s v="01PL2601176" u="1"/>
        <s v="01PL26010327" u="1"/>
        <s v="01PL26012737" u="1"/>
        <s v="01PL26021126" u="1"/>
        <s v="01PL2601162" u="1"/>
        <s v="01PL25122322" u="1"/>
        <s v="01PL251204186" u="1"/>
        <s v="01PL251220176" u="1"/>
        <s v="01PL260127163" u="1"/>
        <s v="01PL26011677" u="1"/>
        <s v="01PL251003116" u="1"/>
        <s v="01PL251203106" u="1"/>
        <s v="01PL251227114" u="1"/>
        <s v="01PL2601056" u="1"/>
        <s v="01PL26020737" u="1"/>
        <s v="01PL2601283" u="1"/>
        <s v="01PL25101123" u="1"/>
        <s v="01PL25110323" u="1"/>
        <s v="01PL25121933" u="1"/>
        <s v="01PL251120185" u="1"/>
        <s v="01PL251124194" u="1"/>
        <s v="01PL251212185" u="1"/>
        <s v="01PL251216606" u="1"/>
        <s v="01PL260115163" u="1"/>
        <s v="01PL260115255" u="1"/>
        <s v="01PL260119264" u="1"/>
        <s v="01PL260203154" u="1"/>
        <s v="01PL26012887" u="1"/>
        <s v="01PL251103115" u="1"/>
        <s v="01PL251107124" u="1"/>
        <s v="01PL251127215" u="1"/>
        <s v="01PL251219215" u="1"/>
        <s v="01PL2601177" u="1"/>
        <s v="01PL26010337" u="1"/>
        <s v="01PL26021136" u="1"/>
        <s v="01PL2601163" u="1"/>
        <s v="01PL25122332" u="1"/>
        <s v="01PL251220184" u="1"/>
        <s v="01PL26011687" u="1"/>
        <s v="01PL251003124" u="1"/>
        <s v="01PL251027132" u="1"/>
        <s v="01PL251203114" u="1"/>
        <s v="01PL251227122" u="1"/>
        <s v="01PL260126139" u="1"/>
        <s v="01PL2601057" u="1"/>
        <s v="01PL26020747" u="1"/>
        <s v="01PL2601284" u="1"/>
        <s v="01PL25101133" u="1"/>
        <s v="01PL25110333" u="1"/>
        <s v="01PL25121943" u="1"/>
        <s v="01PL251120193" u="1"/>
        <s v="01PL251212193" u="1"/>
        <s v="01PL251216614" u="1"/>
        <s v="01PL251219179" u="1"/>
        <s v="01PL260115171" u="1"/>
        <s v="01PL260203162" u="1"/>
        <s v="01PL251031122" u="1"/>
        <s v="01PL251107132" u="1"/>
        <s v="01PL251127223" u="1"/>
        <s v="01PL251219131" u="1"/>
        <s v="01PL251219223" u="1"/>
        <s v="01PL251231112" u="1"/>
        <s v="01PL260130129" u="1"/>
        <s v="01PL2601178" u="1"/>
        <s v="01PL26010347" u="1"/>
        <s v="01PL26021146" u="1"/>
        <s v="01PL2601164" u="1"/>
        <s v="01PL25122342" u="1"/>
        <s v="01PL251220192" u="1"/>
        <s v="01PL26011697" u="1"/>
        <s v="01PL251003132" u="1"/>
        <s v="01PL251027140" u="1"/>
        <s v="01PL251203122" u="1"/>
        <s v="01PL260102139" u="1"/>
        <s v="01PL260126147" u="1"/>
        <s v="01PL2601058" u="1"/>
        <s v="01PL26020757" u="1"/>
        <s v="01PL251118108" u="1"/>
        <s v="01PL260106100" u="1"/>
        <s v="01PL2601285" u="1"/>
        <s v="01PL25101143" u="1"/>
        <s v="01PL25110343" u="1"/>
        <s v="01PL25121142" u="1"/>
        <s v="01PL25121953" u="1"/>
        <s v="01PL26020617" u="1"/>
        <s v="01PL2601271" u="1"/>
        <s v="01PL25112613" u="1"/>
        <s v="01PL251127187" u="1"/>
        <s v="01PL251216622" u="1"/>
        <s v="01PL260115271" u="1"/>
        <s v="01PL260203170" u="1"/>
        <s v="01PL251103131" u="1"/>
        <s v="01PL251107140" u="1"/>
        <s v="01PL251127231" u="1"/>
        <s v="01PL251219231" u="1"/>
        <s v="01PL251231120" u="1"/>
        <s v="01PL260110138" u="1"/>
        <s v="01PL260114239" u="1"/>
        <s v="01PL260130137" u="1"/>
        <s v="01PL2601179" u="1"/>
        <s v="01PL26010357" u="1"/>
        <s v="01PL26021156" u="1"/>
        <s v="01PL251106108" u="1"/>
        <s v="01PL251218107" u="1"/>
        <s v="01PL2601165" u="1"/>
        <s v="01PL25122352" u="1"/>
        <s v="01PL2602071" u="1"/>
        <s v="01PL25100614" u="1"/>
        <s v="01PL25122212" u="1"/>
        <s v="01PL251003140" u="1"/>
        <s v="01PL251203130" u="1"/>
        <s v="01PL260102147" u="1"/>
        <s v="01PL260122238" u="1"/>
        <s v="01PL2601059" u="1"/>
        <s v="01PL26020767" u="1"/>
        <s v="01PL251022107" u="1"/>
        <s v="01PL251118116" u="1"/>
        <s v="01PL251118208" u="1"/>
        <s v="01PL2601286" u="1"/>
        <s v="01PL25101153" u="1"/>
        <s v="01PL25110353" u="1"/>
        <s v="01PL25121152" u="1"/>
        <s v="01PL25121963" u="1"/>
        <s v="01PL26020627" u="1"/>
        <s v="01PL251216586" u="1"/>
        <s v="01PL2601272" u="1"/>
        <s v="01PL25101013" u="1"/>
        <s v="01PL25112623" u="1"/>
        <s v="01PL251216630" u="1"/>
        <s v="01PL251219195" u="1"/>
        <s v="01PL260110146" u="1"/>
        <s v="01PL260110238" u="1"/>
        <s v="01PL260114155" u="1"/>
        <s v="01PL260114247" u="1"/>
        <s v="01PL260130145" u="1"/>
        <s v="01PL260202238" u="1"/>
        <s v="01PL26010367" u="1"/>
        <s v="01PL26021166" u="1"/>
        <s v="01PL2601166" u="1"/>
        <s v="01PL25122362" u="1"/>
        <s v="01PL2602072" u="1"/>
        <s v="01PL25100624" u="1"/>
        <s v="01PL25122222" u="1"/>
        <s v="01PL260102155" u="1"/>
        <s v="01PL260126163" u="1"/>
        <s v="01PL251022207" u="1"/>
        <s v="01PL251110106" u="1"/>
        <s v="01PL251118124" u="1"/>
        <s v="01PL251118216" u="1"/>
        <s v="01PL251222105" u="1"/>
        <s v="01PL251226206" u="1"/>
        <s v="01PL2601287" u="1"/>
        <s v="01PL25110363" u="1"/>
        <s v="01PL25121162" u="1"/>
        <s v="01PL25121973" u="1"/>
        <s v="01PL26020637" u="1"/>
        <s v="01PL251216594" u="1"/>
        <s v="01PL2601273" u="1"/>
        <s v="01PL25101023" u="1"/>
        <s v="01PL25112633" u="1"/>
        <s v="01PL260110154" u="1"/>
        <s v="01PL260114163" u="1"/>
        <s v="01PL260114255" u="1"/>
        <s v="01PL260130153" u="1"/>
        <s v="01PL260202246" u="1"/>
        <s v="01PL26010377" u="1"/>
        <s v="01PL26021176" u="1"/>
        <s v="01PL251106124" u="1"/>
        <s v="01PL251230104" u="1"/>
        <s v="01PL2601167" u="1"/>
        <s v="01PL25122372" u="1"/>
        <s v="01PL2602073" u="1"/>
        <s v="01PL25100634" u="1"/>
        <s v="01PL25122232" u="1"/>
        <s v="01PL260126171" u="1"/>
        <s v="01PL251022215" u="1"/>
        <s v="01PL251110114" u="1"/>
        <s v="01PL251202206" u="1"/>
        <s v="01PL251206215" u="1"/>
        <s v="01PL251222113" u="1"/>
        <s v="01PL251222205" u="1"/>
        <s v="01PL251226122" u="1"/>
        <s v="01PL251226214" u="1"/>
        <s v="01PL2601288" u="1"/>
        <s v="01PL25121172" u="1"/>
        <s v="01PL26020647" u="1"/>
        <s v="01PL260109101" u="1"/>
        <s v="01PL2601274" u="1"/>
        <s v="01PL25101033" u="1"/>
        <s v="01PL25112643" u="1"/>
        <s v="01PL260114171" u="1"/>
        <s v="01PL260114263" u="1"/>
        <s v="01PL260202254" u="1"/>
        <s v="01PL26010387" u="1"/>
        <s v="01PL251106132" u="1"/>
        <s v="01PL251126131" u="1"/>
        <s v="01PL251230112" u="1"/>
        <s v="01PL251230204" u="1"/>
        <s v="01PL2601168" u="1"/>
        <s v="01PL25122382" u="1"/>
        <s v="01PL251017109" u="1"/>
        <s v="01PL260117100" u="1"/>
        <s v="01PL260209100" u="1"/>
        <s v="01PL2602074" u="1"/>
        <s v="01PL25100644" u="1"/>
        <s v="01PL25122242" u="1"/>
        <s v="01PL25102914" u="1"/>
        <s v="01PL25122913" u="1"/>
        <s v="01PL251022179" u="1"/>
        <s v="01PL251118188" u="1"/>
        <s v="01PL251222169" u="1"/>
        <s v="01PL251226178" u="1"/>
        <s v="01PL260102171" u="1"/>
        <s v="01PL26010810" u="1"/>
        <s v="01PL251114407" u="1"/>
        <s v="01PL251202214" u="1"/>
        <s v="01PL251202306" u="1"/>
        <s v="01PL251206223" u="1"/>
        <s v="01PL251222121" u="1"/>
        <s v="01PL251226130" u="1"/>
        <s v="01PL251226222" u="1"/>
        <s v="01PL260109157" u="1"/>
        <s v="01PL2601289" u="1"/>
        <s v="01PL25121182" u="1"/>
        <s v="01PL26011457" u="1"/>
        <s v="01PL26020657" u="1"/>
        <s v="01PL251209108" u="1"/>
        <s v="01PL260105100" u="1"/>
        <s v="01PL260109201" u="1"/>
        <s v="01PL2601275" u="1"/>
        <s v="01PL25101043" u="1"/>
        <s v="01PL25112653" u="1"/>
        <s v="01PL26011317" u="1"/>
        <s v="01PL25112513" u="1"/>
        <s v="01PL251010179" u="1"/>
        <s v="01PL251230168" u="1"/>
        <s v="01PL260110170" u="1"/>
        <s v="01PL260114271" u="1"/>
        <s v="01PL260202262" u="1"/>
        <s v="01PL26010397" u="1"/>
        <s v="01PL251106140" u="1"/>
        <s v="01PL251230120" u="1"/>
        <s v="01PL2601169" u="1"/>
        <s v="01PL25122392" u="1"/>
        <s v="01PL26021056" u="1"/>
        <s v="01PL251125107" u="1"/>
        <s v="01PL2602075" u="1"/>
        <s v="01PL25100654" u="1"/>
        <s v="01PL25122252" u="1"/>
        <s v="01PL25102924" u="1"/>
        <s v="01PL25120513" u="1"/>
        <s v="01PL25122923" u="1"/>
        <s v="01PL251022279" u="1"/>
        <s v="01PL251118196" u="1"/>
        <s v="01PL251226186" u="1"/>
        <s v="01PL26010820" u="1"/>
        <s v="01PL251114415" u="1"/>
        <s v="01PL251202222" u="1"/>
        <s v="01PL251202314" u="1"/>
        <s v="01PL251206231" u="1"/>
        <s v="01PL251226230" u="1"/>
        <s v="01PL260109165" u="1"/>
        <s v="01PL25110393" u="1"/>
        <s v="01PL25121192" u="1"/>
        <s v="01PL26011467" u="1"/>
        <s v="01PL251205107" u="1"/>
        <s v="01PL251209116" u="1"/>
        <s v="01PL251229115" u="1"/>
        <s v="01PL260129300" u="1"/>
        <s v="01PL2601276" u="1"/>
        <s v="01PL25101053" u="1"/>
        <s v="01PL25112663" u="1"/>
        <s v="01PL26011327" u="1"/>
        <s v="01PL25110113" u="1"/>
        <s v="01PL25112523" u="1"/>
        <s v="01PL251010187" u="1"/>
        <s v="01PL251230176" u="1"/>
        <s v="01PL26012677" u="1"/>
        <s v="01PL26021066" u="1"/>
        <s v="01PL251125115" u="1"/>
        <s v="01PL2602076" u="1"/>
        <s v="01PL25102263" u="1"/>
        <s v="01PL25122262" u="1"/>
        <s v="01PL25102934" u="1"/>
        <s v="01PL25120523" u="1"/>
        <s v="01PL25122933" u="1"/>
        <s v="01PL251022195" u="1"/>
        <s v="01PL251202186" u="1"/>
        <s v="01PL251222185" u="1"/>
        <s v="01PL251226194" u="1"/>
        <s v="01PL26010830" u="1"/>
        <s v="01PL251114423" u="1"/>
        <s v="01PL251202230" u="1"/>
        <s v="01PL251202322" u="1"/>
        <s v="01PL260109173" u="1"/>
        <s v="01PL260129356" u="1"/>
        <s v="01PL26011477" u="1"/>
        <s v="01PL251229123" u="1"/>
        <s v="01PL2601277" u="1"/>
        <s v="01PL25101063" u="1"/>
        <s v="01PL26011337" u="1"/>
        <s v="01PL25101734" u="1"/>
        <s v="01PL25110123" u="1"/>
        <s v="01PL25112533" u="1"/>
        <s v="01PL251010195" u="1"/>
        <s v="01PL251230184" u="1"/>
        <s v="01PL26012687" u="1"/>
        <s v="01PL26021076" u="1"/>
        <s v="01PL251105216" u="1"/>
        <s v="01PL251105308" u="1"/>
        <s v="01PL251125123" u="1"/>
        <s v="01PL2602077" u="1"/>
        <s v="01PL25102273" u="1"/>
        <s v="01PL25102944" u="1"/>
        <s v="01PL25120533" u="1"/>
        <s v="01PL25122943" u="1"/>
        <s v="01PL251202194" u="1"/>
        <s v="01PL251202286" u="1"/>
        <s v="01PL251222193" u="1"/>
        <s v="01PL26010840" u="1"/>
        <s v="01PL251114431" u="1"/>
        <s v="01PL251202330" u="1"/>
        <s v="01PL260109181" u="1"/>
        <s v="01PL260129272" u="1"/>
        <s v="01PL260129364" u="1"/>
        <s v="01PL26011487" u="1"/>
        <s v="01PL251229131" u="1"/>
        <s v="01PL2601278" u="1"/>
        <s v="01PL26011347" u="1"/>
        <s v="01PL25101744" u="1"/>
        <s v="01PL25110133" u="1"/>
        <s v="01PL25112543" u="1"/>
        <s v="01PL251230192" u="1"/>
        <s v="01PL26012697" u="1"/>
        <s v="01PL26021086" u="1"/>
        <s v="01PL251105224" u="1"/>
        <s v="01PL251105316" u="1"/>
        <s v="01PL251125131" u="1"/>
        <s v="01PL260204139" u="1"/>
        <s v="01PL2602078" u="1"/>
        <s v="01PL25102283" u="1"/>
        <s v="01PL25122282" u="1"/>
        <s v="01PL260116100" u="1"/>
        <s v="01PL25120543" u="1"/>
        <s v="01PL25122953" u="1"/>
        <s v="01PL26010818" u="1"/>
        <s v="01PL26010990" u="1"/>
        <s v="01PL251202294" u="1"/>
        <s v="01PL26010850" u="1"/>
        <s v="01PL260129280" u="1"/>
        <s v="01PL26011497" u="1"/>
        <s v="01PL2601279" u="1"/>
        <s v="01PL26011357" u="1"/>
        <s v="01PL25101754" u="1"/>
        <s v="01PL25110143" u="1"/>
        <s v="01PL25112553" u="1"/>
        <s v="01PL26011217" u="1"/>
        <s v="01PL25110814" u="1"/>
        <s v="01PL25112413" u="1"/>
        <s v="01PL25121613" u="1"/>
        <s v="01PL26011920" u="1"/>
        <s v="01PL26021096" u="1"/>
        <s v="01PL251105232" u="1"/>
        <s v="01PL251105324" u="1"/>
        <s v="01PL251217323" u="1"/>
        <s v="01PL260204147" u="1"/>
        <s v="01PL2602079" u="1"/>
        <s v="01PL25102293" u="1"/>
        <s v="01PL25122292" u="1"/>
        <s v="01PL251104108" u="1"/>
        <s v="01PL25120553" u="1"/>
        <s v="01PL25122963" u="1"/>
        <s v="01PL26010828" u="1"/>
        <s v="01PL2602051" u="1"/>
        <s v="01PL25102013" u="1"/>
        <s v="01PL25111213" u="1"/>
        <s v="01PL26010860" u="1"/>
        <s v="01PL260129380" u="1"/>
        <s v="01PL260108165" u="1"/>
        <s v="01PL260120146" u="1"/>
        <s v="01PL26011367" u="1"/>
        <s v="01PL251008218" u="1"/>
        <s v="01PL251204107" u="1"/>
        <s v="01PL251208116" u="1"/>
        <s v="01PL251224106" u="1"/>
        <s v="01PL25101764" u="1"/>
        <s v="01PL25112563" u="1"/>
        <s v="01PL26011227" u="1"/>
        <s v="01PL25110824" u="1"/>
        <s v="01PL25112423" u="1"/>
        <s v="01PL25121623" u="1"/>
        <s v="01PL251217379" u="1"/>
        <s v="01PL26011930" u="1"/>
        <s v="01PL251105240" u="1"/>
        <s v="01PL251105332" u="1"/>
        <s v="01PL251217331" u="1"/>
        <s v="01PL260204155" u="1"/>
        <s v="01PL251104116" u="1"/>
        <s v="01PL251124207" u="1"/>
        <s v="01PL25120563" u="1"/>
        <s v="01PL25122973" u="1"/>
        <s v="01PL26010838" u="1"/>
        <s v="01PL2602052" u="1"/>
        <s v="01PL25102023" u="1"/>
        <s v="01PL25111223" u="1"/>
        <s v="01PL26010870" u="1"/>
        <s v="01PL260108173" u="1"/>
        <s v="01PL260120154" u="1"/>
        <s v="01PL26011377" u="1"/>
        <s v="01PL251008226" u="1"/>
        <s v="01PL251204115" u="1"/>
        <s v="01PL251208124" u="1"/>
        <s v="01PL251224114" u="1"/>
        <s v="01PL25101774" u="1"/>
        <s v="01PL25112573" u="1"/>
        <s v="01PL26011237" u="1"/>
        <s v="01PL25110834" u="1"/>
        <s v="01PL25112433" u="1"/>
        <s v="01PL25121633" u="1"/>
        <s v="01PL251217387" u="1"/>
        <s v="01PL26011940" u="1"/>
        <s v="01PL251105340" u="1"/>
        <s v="01PL26010988" u="1"/>
        <s v="01PL251120114" u="1"/>
        <s v="01PL251120206" u="1"/>
        <s v="01PL260116400" u="1"/>
        <s v="01PL25120573" u="1"/>
        <s v="01PL25122983" u="1"/>
        <s v="01PL26010848" u="1"/>
        <s v="01PL26012447" u="1"/>
        <s v="01PL260119101" u="1"/>
        <s v="01PL2601133" u="1"/>
        <s v="01PL2602053" u="1"/>
        <s v="01PL25102033" u="1"/>
        <s v="01PL25111233" u="1"/>
        <s v="01PL26010880" u="1"/>
        <s v="01PL260108181" u="1"/>
        <s v="01PL26011387" u="1"/>
        <s v="01PL251008234" u="1"/>
        <s v="01PL251204123" u="1"/>
        <s v="01PL251208132" u="1"/>
        <s v="01PL251224122" u="1"/>
        <s v="01PL25101784" u="1"/>
        <s v="01PL25112583" u="1"/>
        <s v="01PL26011247" u="1"/>
        <s v="01PL26020447" u="1"/>
        <s v="01PL25110844" u="1"/>
        <s v="01PL25112443" u="1"/>
        <s v="01PL25121643" u="1"/>
        <s v="01PL251217395" u="1"/>
        <s v="01PL26011950" u="1"/>
        <s v="01PL251124179" u="1"/>
        <s v="01PL260204171" u="1"/>
        <s v="01PL26010998" u="1"/>
        <s v="01PL251120122" u="1"/>
        <s v="01PL251212214" u="1"/>
        <s v="01PL260119249" u="1"/>
        <s v="01PL260203139" u="1"/>
        <s v="01PL25120583" u="1"/>
        <s v="01PL25122993" u="1"/>
        <s v="01PL26012457" u="1"/>
        <s v="01PL251107109" u="1"/>
        <s v="01PL2601134" u="1"/>
        <s v="01PL2602054" u="1"/>
        <s v="01PL25102043" u="1"/>
        <s v="01PL25111243" u="1"/>
        <s v="01PL26010890" u="1"/>
        <s v="01PL25111914" u="1"/>
        <s v="01PL25122713" u="1"/>
        <s v="01PL251204179" u="1"/>
        <s v="01PL251220169" u="1"/>
        <s v="01PL251008242" u="1"/>
        <s v="01PL251204131" u="1"/>
        <s v="01PL251208140" u="1"/>
        <s v="01PL251224130" u="1"/>
        <s v="01PL260127156" u="1"/>
        <s v="01PL25101794" u="1"/>
        <s v="01PL25112593" u="1"/>
        <s v="01PL26011257" u="1"/>
        <s v="01PL26020457" u="1"/>
        <s v="01PL251003109" u="1"/>
        <s v="01PL251227107" u="1"/>
        <s v="01PL260103100" u="1"/>
        <s v="01PL25110854" u="1"/>
        <s v="01PL25121653" u="1"/>
        <s v="01PL25110714" u="1"/>
        <s v="01PL25123112" u="1"/>
        <s v="01PL26011960" u="1"/>
        <s v="01PL251120178" u="1"/>
        <s v="01PL251124187" u="1"/>
        <s v="01PL251212178" u="1"/>
        <s v="01PL260116372" u="1"/>
        <s v="01PL251120130" u="1"/>
        <s v="01PL251212222" u="1"/>
        <s v="01PL260115156" u="1"/>
        <s v="01PL260115248" u="1"/>
        <s v="01PL260119257" u="1"/>
        <s v="01PL25120593" u="1"/>
        <s v="01PL26010868" u="1"/>
        <s v="01PL26012467" u="1"/>
        <s v="01PL251103108" u="1"/>
        <s v="01PL251107117" u="1"/>
        <s v="01PL251127208" u="1"/>
        <s v="01PL251215107" u="1"/>
        <s v="01PL251219208" u="1"/>
        <s v="01PL260115200" u="1"/>
        <s v="01PL260207200" u="1"/>
        <s v="01PL2601135" u="1"/>
        <s v="01PL2602055" u="1"/>
        <s v="01PL25102053" u="1"/>
        <s v="01PL25111113" u="1"/>
        <s v="01PL25111924" u="1"/>
        <s v="01PL25120313" u="1"/>
        <s v="01PL25122723" u="1"/>
        <s v="01PL251204187" u="1"/>
        <s v="01PL251220177" u="1"/>
        <s v="01PL251008250" u="1"/>
        <s v="01PL260127164" u="1"/>
        <s v="01PL26020467" u="1"/>
        <s v="01PL251227115" u="1"/>
        <s v="01PL25110864" u="1"/>
        <s v="01PL25121663" u="1"/>
        <s v="01PL25101524" u="1"/>
        <s v="01PL25110724" u="1"/>
        <s v="01PL25123122" u="1"/>
        <s v="01PL26011970" u="1"/>
        <s v="01PL251120186" u="1"/>
        <s v="01PL251124195" u="1"/>
        <s v="01PL251212186" u="1"/>
        <s v="01PL251216607" u="1"/>
        <s v="01PL260115256" u="1"/>
        <s v="01PL260119265" u="1"/>
        <s v="01PL260203155" u="1"/>
        <s v="01PL26010878" u="1"/>
        <s v="01PL26012477" u="1"/>
        <s v="01PL251103116" u="1"/>
        <s v="01PL251107125" u="1"/>
        <s v="01PL251127216" u="1"/>
        <s v="01PL251211106" u="1"/>
        <s v="01PL251219216" u="1"/>
        <s v="01PL251231105" u="1"/>
        <s v="01PL260115300" u="1"/>
        <s v="01PL2601136" u="1"/>
        <s v="01PL2602056" u="1"/>
        <s v="01PL25111123" u="1"/>
        <s v="01PL25111934" u="1"/>
        <s v="01PL25120323" u="1"/>
        <s v="01PL25122733" u="1"/>
        <s v="01PL251220185" u="1"/>
        <s v="01PL260127172" u="1"/>
        <s v="01PL26020477" u="1"/>
        <s v="01PL251003125" u="1"/>
        <s v="01PL251027133" u="1"/>
        <s v="01PL251203115" u="1"/>
        <s v="01PL251227123" u="1"/>
        <s v="01PL25110874" u="1"/>
        <s v="01PL25101534" u="1"/>
        <s v="01PL25110734" u="1"/>
        <s v="01PL25123132" u="1"/>
        <s v="01PL26011980" u="1"/>
        <s v="01PL251120194" u="1"/>
        <s v="01PL251212194" u="1"/>
        <s v="01PL251216615" u="1"/>
        <s v="01PL260115172" u="1"/>
        <s v="01PL260203163" u="1"/>
        <s v="01PL26010888" u="1"/>
        <s v="01PL26012487" u="1"/>
        <s v="01PL251031123" u="1"/>
        <s v="01PL251103124" u="1"/>
        <s v="01PL251107133" u="1"/>
        <s v="01PL251127224" u="1"/>
        <s v="01PL251219132" u="1"/>
        <s v="01PL251219224" u="1"/>
        <s v="01PL251231113" u="1"/>
        <s v="01PL2601137" u="1"/>
        <s v="01PL2602057" u="1"/>
        <s v="01PL2601123" u="1"/>
        <s v="01PL25111133" u="1"/>
        <s v="01PL25111944" u="1"/>
        <s v="01PL25120333" u="1"/>
        <s v="01PL25122743" u="1"/>
        <s v="01PL26010780" u="1"/>
        <s v="01PL251220193" u="1"/>
        <s v="01PL260127180" u="1"/>
        <s v="01PL26020487" u="1"/>
        <s v="01PL251003133" u="1"/>
        <s v="01PL251203123" u="1"/>
        <s v="01PL260126148" u="1"/>
        <s v="01PL251118109" u="1"/>
        <s v="01PL260106101" u="1"/>
        <s v="01PL260126100" u="1"/>
        <s v="01PL25101544" u="1"/>
        <s v="01PL25110744" u="1"/>
        <s v="01PL25123142" u="1"/>
        <s v="01PL26011990" u="1"/>
        <s v="01PL251216579" u="1"/>
        <s v="01PL251127188" u="1"/>
        <s v="01PL251216623" u="1"/>
        <s v="01PL251219188" u="1"/>
        <s v="01PL260115180" u="1"/>
        <s v="01PL260115272" u="1"/>
        <s v="01PL260203171" u="1"/>
        <s v="01PL26010898" u="1"/>
        <s v="01PL251103132" u="1"/>
        <s v="01PL251107141" u="1"/>
        <s v="01PL251127232" u="1"/>
        <s v="01PL251219140" u="1"/>
        <s v="01PL251219232" u="1"/>
        <s v="01PL251231121" u="1"/>
        <s v="01PL260110139" u="1"/>
        <s v="01PL260130138" u="1"/>
        <s v="01PL2601138" u="1"/>
        <s v="01PL2602058" u="1"/>
        <s v="01PL25102083" u="1"/>
        <s v="01PL251106109" u="1"/>
        <s v="01PL251218108" u="1"/>
        <s v="01PL2601124" u="1"/>
        <s v="01PL25111143" u="1"/>
        <s v="01PL25120343" u="1"/>
        <s v="01PL25122613" u="1"/>
        <s v="01PL26010510" u="1"/>
        <s v="01PL26020497" u="1"/>
        <s v="01PL251003141" u="1"/>
        <s v="01PL251203131" u="1"/>
        <s v="01PL260102148" u="1"/>
        <s v="01PL260122239" u="1"/>
        <s v="01PL260126156" u="1"/>
        <s v="01PL251118117" u="1"/>
        <s v="01PL251118209" u="1"/>
        <s v="01PL25101554" u="1"/>
        <s v="01PL25121553" u="1"/>
        <s v="01PL25123152" u="1"/>
        <s v="01PL26020217" u="1"/>
        <s v="01PL251216587" u="1"/>
        <s v="01PL25110614" u="1"/>
        <s v="01PL25112213" u="1"/>
        <s v="01PL251219196" u="1"/>
        <s v="01PL260115280" u="1"/>
        <s v="01PL26020920" u="1"/>
        <s v="01PL251127240" u="1"/>
        <s v="01PL251219240" u="1"/>
        <s v="01PL260110147" u="1"/>
        <s v="01PL260114156" u="1"/>
        <s v="01PL260114248" u="1"/>
        <s v="01PL260130146" u="1"/>
        <s v="01PL260202239" u="1"/>
        <s v="01PL2601139" u="1"/>
        <s v="01PL2602059" u="1"/>
        <s v="01PL251106117" u="1"/>
        <s v="01PL2601125" u="1"/>
        <s v="01PL25111153" u="1"/>
        <s v="01PL25120353" u="1"/>
        <s v="01PL25122763" u="1"/>
        <s v="01PL25111013" u="1"/>
        <s v="01PL25122623" u="1"/>
        <s v="01PL26010520" u="1"/>
        <s v="01PL260102156" u="1"/>
        <s v="01PL260126164" u="1"/>
        <s v="01PL26020367" u="1"/>
        <s v="01PL251022208" u="1"/>
        <s v="01PL251110107" u="1"/>
        <s v="01PL251118125" u="1"/>
        <s v="01PL251118217" u="1"/>
        <s v="01PL251222106" u="1"/>
        <s v="01PL251226207" u="1"/>
        <s v="01PL260102200" u="1"/>
        <s v="01PL25101564" u="1"/>
        <s v="01PL25121563" u="1"/>
        <s v="01PL25123162" u="1"/>
        <s v="01PL26020227" u="1"/>
        <s v="01PL251216595" u="1"/>
        <s v="01PL25110624" u="1"/>
        <s v="01PL25112223" u="1"/>
        <s v="01PL26020930" u="1"/>
        <s v="01PL260110155" u="1"/>
        <s v="01PL260114164" u="1"/>
        <s v="01PL260114256" u="1"/>
        <s v="01PL260130154" u="1"/>
        <s v="01PL260202247" u="1"/>
        <s v="01PL26010778" u="1"/>
        <s v="01PL251010208" u="1"/>
        <s v="01PL251106125" u="1"/>
        <s v="01PL251230105" u="1"/>
        <s v="01PL2601126" u="1"/>
        <s v="01PL25111163" u="1"/>
        <s v="01PL25120363" u="1"/>
        <s v="01PL25122773" u="1"/>
        <s v="01PL25111023" u="1"/>
        <s v="01PL25122633" u="1"/>
        <s v="01PL26010670" u="1"/>
        <s v="01PL26010530" u="1"/>
        <s v="01PL260126172" u="1"/>
        <s v="01PL26020377" u="1"/>
        <s v="01PL251022216" u="1"/>
        <s v="01PL251202207" u="1"/>
        <s v="01PL251222114" u="1"/>
        <s v="01PL251222206" u="1"/>
        <s v="01PL251226123" u="1"/>
        <s v="01PL25121573" u="1"/>
        <s v="01PL25123172" u="1"/>
        <s v="01PL26020237" u="1"/>
        <s v="01PL260109102" u="1"/>
        <s v="01PL25110634" u="1"/>
        <s v="01PL25112233" u="1"/>
        <s v="01PL26020940" u="1"/>
        <s v="01PL260110163" u="1"/>
        <s v="01PL260110255" u="1"/>
        <s v="01PL260114172" u="1"/>
        <s v="01PL260114264" u="1"/>
        <s v="01PL260130162" u="1"/>
        <s v="01PL260202255" u="1"/>
        <s v="01PL251106133" u="1"/>
        <s v="01PL251126132" u="1"/>
        <s v="01PL251230113" u="1"/>
        <s v="01PL251230205" u="1"/>
        <s v="01PL2601127" u="1"/>
        <s v="01PL25100374" u="1"/>
        <s v="01PL25120373" u="1"/>
        <s v="01PL25122783" u="1"/>
        <s v="01PL260117101" u="1"/>
        <s v="01PL260209101" u="1"/>
        <s v="01PL25111033" u="1"/>
        <s v="01PL26010680" u="1"/>
        <s v="01PL251118189" u="1"/>
        <s v="01PL251226179" u="1"/>
        <s v="01PL260126180" u="1"/>
        <s v="01PL26012810" u="1"/>
        <s v="01PL26020387" u="1"/>
        <s v="01PL251202215" u="1"/>
        <s v="01PL251202307" u="1"/>
        <s v="01PL251206224" u="1"/>
        <s v="01PL251222122" u="1"/>
        <s v="01PL251226131" u="1"/>
        <s v="01PL251226223" u="1"/>
        <s v="01PL260109158" u="1"/>
        <s v="01PL25103183" u="1"/>
        <s v="01PL25121583" u="1"/>
        <s v="01PL25123182" u="1"/>
        <s v="01PL26020247" u="1"/>
        <s v="01PL251209109" u="1"/>
        <s v="01PL260105101" u="1"/>
        <s v="01PL260109110" u="1"/>
        <s v="01PL260109202" u="1"/>
        <s v="01PL25110644" u="1"/>
        <s v="01PL25112243" u="1"/>
        <s v="01PL26011718" u="1"/>
        <s v="01PL26020918" u="1"/>
        <s v="01PL26020950" u="1"/>
        <s v="01PL260110171" u="1"/>
        <s v="01PL260114180" u="1"/>
        <s v="01PL260114272" u="1"/>
        <s v="01PL260130170" u="1"/>
        <s v="01PL260202263" u="1"/>
        <s v="01PL26011610" u="1"/>
        <s v="01PL251106141" u="1"/>
        <s v="01PL251126140" u="1"/>
        <s v="01PL251230121" u="1"/>
        <s v="01PL2601128" u="1"/>
        <s v="01PL25100384" u="1"/>
        <s v="01PL25120383" u="1"/>
        <s v="01PL25122793" u="1"/>
        <s v="01PL251125108" u="1"/>
        <s v="01PL260205100" u="1"/>
        <s v="01PL25111043" u="1"/>
        <s v="01PL26010690" u="1"/>
        <s v="01PL26012117" u="1"/>
        <s v="01PL25102514" u="1"/>
        <s v="01PL25122513" u="1"/>
        <s v="01PL26010550" u="1"/>
        <s v="01PL251022188" u="1"/>
        <s v="01PL251118197" u="1"/>
        <s v="01PL251202179" u="1"/>
        <s v="01PL251222178" u="1"/>
        <s v="01PL251226187" u="1"/>
        <s v="01PL26012820" u="1"/>
        <s v="01PL26020397" u="1"/>
        <s v="01PL251114416" u="1"/>
        <s v="01PL251202223" u="1"/>
        <s v="01PL251202315" u="1"/>
        <s v="01PL251206232" u="1"/>
        <s v="01PL251222130" u="1"/>
        <s v="01PL251226231" u="1"/>
        <s v="01PL260109166" u="1"/>
        <s v="01PL260129349" u="1"/>
        <s v="01PL25121593" u="1"/>
        <s v="01PL25123192" u="1"/>
        <s v="01PL26011057" u="1"/>
        <s v="01PL26020257" u="1"/>
        <s v="01PL251205108" u="1"/>
        <s v="01PL251209117" u="1"/>
        <s v="01PL251229116" u="1"/>
        <s v="01PL260109210" u="1"/>
        <s v="01PL260129301" u="1"/>
        <s v="01PL25110654" u="1"/>
        <s v="01PL26011728" u="1"/>
        <s v="01PL26020928" u="1"/>
        <s v="01PL25101314" u="1"/>
        <s v="01PL25121313" u="1"/>
        <s v="01PL26020960" u="1"/>
        <s v="01PL251010188" u="1"/>
        <s v="01PL251230177" u="1"/>
        <s v="01PL260114280" u="1"/>
        <s v="01PL260202271" u="1"/>
        <s v="01PL26011620" u="1"/>
        <s v="01PL2601129" u="1"/>
        <s v="01PL25120393" u="1"/>
        <s v="01PL26010668" u="1"/>
        <s v="01PL251125116" u="1"/>
        <s v="01PL26012127" u="1"/>
        <s v="01PL25100925" u="1"/>
        <s v="01PL25102524" u="1"/>
        <s v="01PL25120113" u="1"/>
        <s v="01PL25122523" u="1"/>
        <s v="01PL26010560" u="1"/>
        <s v="01PL251022196" u="1"/>
        <s v="01PL251022288" u="1"/>
        <s v="01PL251202187" u="1"/>
        <s v="01PL251202279" u="1"/>
        <s v="01PL251222186" u="1"/>
        <s v="01PL251226195" u="1"/>
        <s v="01PL26012830" u="1"/>
        <s v="01PL251114424" u="1"/>
        <s v="01PL251202231" u="1"/>
        <s v="01PL251202323" u="1"/>
        <s v="01PL251206240" u="1"/>
        <s v="01PL260109174" u="1"/>
        <s v="01PL260129357" u="1"/>
        <s v="01PL26011067" u="1"/>
        <s v="01PL25112263" u="1"/>
        <s v="01PL26011738" u="1"/>
        <s v="01PL26020938" u="1"/>
        <s v="01PL26020970" u="1"/>
        <s v="01PL251010196" u="1"/>
        <s v="01PL251230185" u="1"/>
        <s v="01PL26011630" u="1"/>
        <s v="01PL26010678" u="1"/>
        <s v="01PL251105309" u="1"/>
        <s v="01PL251125124" u="1"/>
        <s v="01PL25111874" u="1"/>
        <s v="01PL26012137" u="1"/>
        <s v="01PL2602022" u="1"/>
        <s v="01PL25100935" u="1"/>
        <s v="01PL25102534" u="1"/>
        <s v="01PL25120123" u="1"/>
        <s v="01PL25122533" u="1"/>
        <s v="01PL26010570" u="1"/>
        <s v="01PL251202195" u="1"/>
        <s v="01PL251202287" u="1"/>
        <s v="01PL251222194" u="1"/>
        <s v="01PL26012840" u="1"/>
        <s v="01PL251114432" u="1"/>
        <s v="01PL251202331" u="1"/>
        <s v="01PL260109182" u="1"/>
        <s v="01PL260129273" u="1"/>
        <s v="01PL260129365" u="1"/>
        <s v="01PL26011077" u="1"/>
        <s v="01PL251229132" u="1"/>
        <s v="01PL25110674" u="1"/>
        <s v="01PL25112273" u="1"/>
        <s v="01PL25123072" u="1"/>
        <s v="01PL26011748" u="1"/>
        <s v="01PL26020948" u="1"/>
        <s v="01PL260108102" u="1"/>
        <s v="01PL25101334" u="1"/>
        <s v="01PL25121333" u="1"/>
        <s v="01PL26020980" u="1"/>
        <s v="01PL251230193" u="1"/>
        <s v="01PL26011640" u="1"/>
        <s v="01PL26010688" u="1"/>
        <s v="01PL251105225" u="1"/>
        <s v="01PL251105317" u="1"/>
        <s v="01PL251125132" u="1"/>
        <s v="01PL25111884" u="1"/>
        <s v="01PL26012147" u="1"/>
        <s v="01PL260116101" u="1"/>
        <s v="01PL2602023" u="1"/>
        <s v="01PL25100945" u="1"/>
        <s v="01PL25102544" u="1"/>
        <s v="01PL25120133" u="1"/>
        <s v="01PL25122543" u="1"/>
        <s v="01PL26010580" u="1"/>
        <s v="01PL26012818" u="1"/>
        <s v="01PL251202295" u="1"/>
        <s v="01PL26012850" u="1"/>
        <s v="01PL251114440" u="1"/>
        <s v="01PL260109190" u="1"/>
        <s v="01PL260129281" u="1"/>
        <s v="01PL26011087" u="1"/>
        <s v="01PL26012710" u="1"/>
        <s v="01PL251229140" u="1"/>
        <s v="01PL260120139" u="1"/>
        <s v="01PL25112283" u="1"/>
        <s v="01PL25123082" u="1"/>
        <s v="01PL26011758" u="1"/>
        <s v="01PL26020958" u="1"/>
        <s v="01PL260108110" u="1"/>
        <s v="01PL260108202" u="1"/>
        <s v="01PL260128201" u="1"/>
        <s v="01PL25101344" u="1"/>
        <s v="01PL25121343" u="1"/>
        <s v="01PL26011618" u="1"/>
        <s v="01PL26020990" u="1"/>
        <s v="01PL25112814" u="1"/>
        <s v="01PL26011650" u="1"/>
        <s v="01PL26010698" u="1"/>
        <s v="01PL26020710" u="1"/>
        <s v="01PL251105233" u="1"/>
        <s v="01PL251105325" u="1"/>
        <s v="01PL251125140" u="1"/>
        <s v="01PL251217324" u="1"/>
        <s v="01PL260204148" u="1"/>
        <s v="01PL25111083" u="1"/>
        <s v="01PL25111894" u="1"/>
        <s v="01PL26012157" u="1"/>
        <s v="01PL251104109" u="1"/>
        <s v="01PL260204100" u="1"/>
        <s v="01PL2602024" u="1"/>
        <s v="01PL25100955" u="1"/>
        <s v="01PL25102554" u="1"/>
        <s v="01PL25120143" u="1"/>
        <s v="01PL25122553" u="1"/>
        <s v="01PL26010590" u="1"/>
        <s v="01PL26012017" u="1"/>
        <s v="01PL26012828" u="1"/>
        <s v="01PL25120814" u="1"/>
        <s v="01PL25122413" u="1"/>
        <s v="01PL26012860" u="1"/>
        <s v="01PL26011097" u="1"/>
        <s v="01PL26012720" u="1"/>
        <s v="01PL260108166" u="1"/>
        <s v="01PL25112293" u="1"/>
        <s v="01PL25123092" u="1"/>
        <s v="01PL26011768" u="1"/>
        <s v="01PL26020968" u="1"/>
        <s v="01PL251204108" u="1"/>
        <s v="01PL251208117" u="1"/>
        <s v="01PL251224107" u="1"/>
        <s v="01PL25101354" u="1"/>
        <s v="01PL25121353" u="1"/>
        <s v="01PL26011628" u="1"/>
        <s v="01PL25112824" u="1"/>
        <s v="01PL26020720" u="1"/>
        <s v="01PL251105241" u="1"/>
        <s v="01PL251105333" u="1"/>
        <s v="01PL251217332" u="1"/>
        <s v="01PL260204156" u="1"/>
        <s v="01PL25111093" u="1"/>
        <s v="01PL251104117" u="1"/>
        <s v="01PL251124208" u="1"/>
        <s v="01PL260204200" u="1"/>
        <s v="01PL2602025" u="1"/>
        <s v="01PL25100965" u="1"/>
        <s v="01PL25102564" u="1"/>
        <s v="01PL25120153" u="1"/>
        <s v="01PL25120964" u="1"/>
        <s v="01PL25122563" u="1"/>
        <s v="01PL26012027" u="1"/>
        <s v="01PL26012838" u="1"/>
        <s v="01PL25120824" u="1"/>
        <s v="01PL25122423" u="1"/>
        <s v="01PL26012870" u="1"/>
        <s v="01PL26012730" u="1"/>
        <s v="01PL260108174" u="1"/>
        <s v="01PL260120155" u="1"/>
        <s v="01PL26011778" u="1"/>
        <s v="01PL26020978" u="1"/>
        <s v="01PL251008227" u="1"/>
        <s v="01PL251204116" u="1"/>
        <s v="01PL251208125" u="1"/>
        <s v="01PL251224115" u="1"/>
        <s v="01PL26011638" u="1"/>
        <s v="01PL2601212" u="1"/>
        <s v="01PL25112834" u="1"/>
        <s v="01PL251217388" u="1"/>
        <s v="01PL26020730" u="1"/>
        <s v="01PL251105341" u="1"/>
        <s v="01PL251217340" u="1"/>
        <s v="01PL251120115" u="1"/>
        <s v="01PL260116401" u="1"/>
        <s v="01PL2602026" u="1"/>
        <s v="01PL25102574" u="1"/>
        <s v="01PL25120163" u="1"/>
        <s v="01PL25120974" u="1"/>
        <s v="01PL26012037" u="1"/>
        <s v="01PL26012848" u="1"/>
        <s v="01PL260119102" u="1"/>
        <s v="01PL25120834" u="1"/>
        <s v="01PL25122433" u="1"/>
        <s v="01PL26012880" u="1"/>
        <s v="01PL26012740" u="1"/>
        <s v="01PL260108182" u="1"/>
        <s v="01PL260128181" u="1"/>
        <s v="01PL26011788" u="1"/>
        <s v="01PL26020988" u="1"/>
        <s v="01PL251008235" u="1"/>
        <s v="01PL251204124" u="1"/>
        <s v="01PL251208133" u="1"/>
        <s v="01PL251224123" u="1"/>
        <s v="01PL26011648" u="1"/>
        <s v="01PL2601213" u="1"/>
        <s v="01PL25112844" u="1"/>
        <s v="01PL26011680" u="1"/>
        <s v="01PL251217396" u="1"/>
        <s v="01PL26020740" u="1"/>
        <s v="01PL260204172" u="1"/>
        <s v="01PL251120123" u="1"/>
        <s v="01PL2602027" u="1"/>
        <s v="01PL25102584" u="1"/>
        <s v="01PL25120984" u="1"/>
        <s v="01PL26012047" u="1"/>
        <s v="01PL26012858" u="1"/>
        <s v="01PL260119110" u="1"/>
        <s v="01PL25120844" u="1"/>
        <s v="01PL25122443" u="1"/>
        <s v="01PL26012718" u="1"/>
        <s v="01PL26012890" u="1"/>
        <s v="01PL260108190" u="1"/>
        <s v="01PL26011798" u="1"/>
        <s v="01PL26020998" u="1"/>
        <s v="01PL251008243" u="1"/>
        <s v="01PL251204132" u="1"/>
        <s v="01PL251208141" u="1"/>
        <s v="01PL251224131" u="1"/>
        <s v="01PL260127157" u="1"/>
        <s v="01PL25121383" u="1"/>
        <s v="01PL251227108" u="1"/>
        <s v="01PL260103101" u="1"/>
        <s v="01PL2601214" u="1"/>
        <s v="01PL25112854" u="1"/>
        <s v="01PL26011690" u="1"/>
        <s v="01PL26020718" u="1"/>
        <s v="01PL26020750" u="1"/>
        <s v="01PL251120179" u="1"/>
        <s v="01PL251124188" u="1"/>
        <s v="01PL251212179" u="1"/>
        <s v="01PL260116373" u="1"/>
        <s v="01PL251120131" u="1"/>
        <s v="01PL260115157" u="1"/>
        <s v="01PL260115249" u="1"/>
        <s v="01PL260119258" u="1"/>
        <s v="01PL260203148" u="1"/>
        <s v="01PL260204500" u="1"/>
        <s v="01PL2602028" u="1"/>
        <s v="01PL25102594" u="1"/>
        <s v="01PL25120994" u="1"/>
        <s v="01PL26012057" u="1"/>
        <s v="01PL26012868" u="1"/>
        <s v="01PL251103109" u="1"/>
        <s v="01PL251107118" u="1"/>
        <s v="01PL251127209" u="1"/>
        <s v="01PL251215108" u="1"/>
        <s v="01PL251219209" u="1"/>
        <s v="01PL260115201" u="1"/>
        <s v="01PL260203100" u="1"/>
        <s v="01PL260207201" u="1"/>
        <s v="01PL25120854" u="1"/>
        <s v="01PL26010318" u="1"/>
        <s v="01PL26012728" u="1"/>
        <s v="01PL26021117" u="1"/>
        <s v="01PL25122313" u="1"/>
        <s v="01PL251204188" u="1"/>
        <s v="01PL251220178" u="1"/>
        <s v="01PL251008251" u="1"/>
        <s v="01PL251204140" u="1"/>
        <s v="01PL251220130" u="1"/>
        <s v="01PL260127165" u="1"/>
        <s v="01PL25121393" u="1"/>
        <s v="01PL26011668" u="1"/>
        <s v="01PL251003118" u="1"/>
        <s v="01PL251203108" u="1"/>
        <s v="01PL251227116" u="1"/>
        <s v="01PL2601215" u="1"/>
        <s v="01PL26020728" u="1"/>
        <s v="01PL25101114" u="1"/>
        <s v="01PL25110314" u="1"/>
        <s v="01PL25121924" u="1"/>
        <s v="01PL26020760" u="1"/>
        <s v="01PL251120187" u="1"/>
        <s v="01PL251124196" u="1"/>
        <s v="01PL251212187" u="1"/>
        <s v="01PL260116381" u="1"/>
        <s v="01PL26020620" u="1"/>
        <s v="01PL251216608" u="1"/>
        <s v="01PL260115165" u="1"/>
        <s v="01PL260115257" u="1"/>
        <s v="01PL260119266" u="1"/>
        <s v="01PL260203156" u="1"/>
        <s v="01PL2602029" u="1"/>
        <s v="01PL26012067" u="1"/>
        <s v="01PL26012878" u="1"/>
        <s v="01PL251107126" u="1"/>
        <s v="01PL251127217" u="1"/>
        <s v="01PL251211107" u="1"/>
        <s v="01PL251219217" u="1"/>
        <s v="01PL251231106" u="1"/>
        <s v="01PL260115301" u="1"/>
        <s v="01PL26010328" u="1"/>
        <s v="01PL26012738" u="1"/>
        <s v="01PL26021127" u="1"/>
        <s v="01PL25122323" u="1"/>
        <s v="01PL251220186" u="1"/>
        <s v="01PL260127173" u="1"/>
        <s v="01PL26011678" u="1"/>
        <s v="01PL251003126" u="1"/>
        <s v="01PL251027134" u="1"/>
        <s v="01PL251203116" u="1"/>
        <s v="01PL251227124" u="1"/>
        <s v="01PL2601216" u="1"/>
        <s v="01PL26020738" u="1"/>
        <s v="01PL25101124" u="1"/>
        <s v="01PL25110324" u="1"/>
        <s v="01PL25121934" u="1"/>
        <s v="01PL26020770" u="1"/>
        <s v="01PL251120195" u="1"/>
        <s v="01PL251212195" u="1"/>
        <s v="01PL26020630" u="1"/>
        <s v="01PL251216616" u="1"/>
        <s v="01PL260115173" u="1"/>
        <s v="01PL260203164" u="1"/>
        <s v="01PL26012888" u="1"/>
        <s v="01PL251031124" u="1"/>
        <s v="01PL251103125" u="1"/>
        <s v="01PL251107134" u="1"/>
        <s v="01PL251127225" u="1"/>
        <s v="01PL251219133" u="1"/>
        <s v="01PL251219225" u="1"/>
        <s v="01PL251231114" u="1"/>
        <s v="01PL26010338" u="1"/>
        <s v="01PL26021137" u="1"/>
        <s v="01PL25122333" u="1"/>
        <s v="01PL251220194" u="1"/>
        <s v="01PL26011688" u="1"/>
        <s v="01PL251003134" u="1"/>
        <s v="01PL251027142" u="1"/>
        <s v="01PL251203124" u="1"/>
        <s v="01PL2601217" u="1"/>
        <s v="01PL26020748" u="1"/>
        <s v="01PL260106102" u="1"/>
        <s v="01PL260126101" u="1"/>
        <s v="01PL2601203" u="1"/>
        <s v="01PL25101134" u="1"/>
        <s v="01PL25110334" u="1"/>
        <s v="01PL25121133" u="1"/>
        <s v="01PL25121944" u="1"/>
        <s v="01PL260204480" u="1"/>
        <s v="01PL26020640" u="1"/>
        <s v="01PL251216624" u="1"/>
        <s v="01PL251219189" u="1"/>
        <s v="01PL260115181" u="1"/>
        <s v="01PL260115273" u="1"/>
        <s v="01PL260203172" u="1"/>
        <s v="01PL260207181" u="1"/>
        <s v="01PL251103133" u="1"/>
        <s v="01PL251127233" u="1"/>
        <s v="01PL251219141" u="1"/>
        <s v="01PL251219233" u="1"/>
        <s v="01PL251231122" u="1"/>
        <s v="01PL260130139" u="1"/>
        <s v="01PL26010348" u="1"/>
        <s v="01PL26021147" u="1"/>
        <s v="01PL251218109" u="1"/>
        <s v="01PL260114101" u="1"/>
        <s v="01PL25122343" u="1"/>
        <s v="01PL251027150" u="1"/>
        <s v="01PL251203132" u="1"/>
        <s v="01PL260102149" u="1"/>
        <s v="01PL260126157" u="1"/>
        <s v="01PL2601218" u="1"/>
        <s v="01PL26020758" u="1"/>
        <s v="01PL251118118" u="1"/>
        <s v="01PL260106110" u="1"/>
        <s v="01PL2601204" u="1"/>
        <s v="01PL25101144" u="1"/>
        <s v="01PL25110344" u="1"/>
        <s v="01PL25121143" u="1"/>
        <s v="01PL25121954" u="1"/>
        <s v="01PL26020618" u="1"/>
        <s v="01PL25112614" u="1"/>
        <s v="01PL25121814" u="1"/>
        <s v="01PL26020650" u="1"/>
        <s v="01PL260115281" u="1"/>
        <s v="01PL260203180" u="1"/>
        <s v="01PL26011310" u="1"/>
        <s v="01PL26020510" u="1"/>
        <s v="01PL251103141" u="1"/>
        <s v="01PL251107150" u="1"/>
        <s v="01PL251219241" u="1"/>
        <s v="01PL251231130" u="1"/>
        <s v="01PL260110148" u="1"/>
        <s v="01PL260114157" u="1"/>
        <s v="01PL260114249" u="1"/>
        <s v="01PL260130147" u="1"/>
        <s v="01PL26010358" u="1"/>
        <s v="01PL26021157" u="1"/>
        <s v="01PL251106118" u="1"/>
        <s v="01PL260110100" u="1"/>
        <s v="01PL25122353" u="1"/>
        <s v="01PL25100615" u="1"/>
        <s v="01PL25122213" u="1"/>
        <s v="01PL260102157" u="1"/>
        <s v="01PL260126165" u="1"/>
        <s v="01PL2601219" u="1"/>
        <s v="01PL26020768" u="1"/>
        <s v="01PL251022209" u="1"/>
        <s v="01PL251110108" u="1"/>
        <s v="01PL251118126" u="1"/>
        <s v="01PL251118218" u="1"/>
        <s v="01PL251222107" u="1"/>
        <s v="01PL251226208" u="1"/>
        <s v="01PL260102201" u="1"/>
        <s v="01PL260122200" u="1"/>
        <s v="01PL2601205" u="1"/>
        <s v="01PL25101154" u="1"/>
        <s v="01PL25110354" u="1"/>
        <s v="01PL25121153" u="1"/>
        <s v="01PL26020628" u="1"/>
        <s v="01PL251216596" u="1"/>
        <s v="01PL25101014" u="1"/>
        <s v="01PL25112624" u="1"/>
        <s v="01PL25121824" u="1"/>
        <s v="01PL26011460" u="1"/>
        <s v="01PL26020660" u="1"/>
        <s v="01PL26011320" u="1"/>
        <s v="01PL26020520" u="1"/>
        <s v="01PL260110156" u="1"/>
        <s v="01PL260114165" u="1"/>
        <s v="01PL260114257" u="1"/>
        <s v="01PL260130155" u="1"/>
        <s v="01PL260202248" u="1"/>
        <s v="01PL26010368" u="1"/>
        <s v="01PL26021167" u="1"/>
        <s v="01PL251010209" u="1"/>
        <s v="01PL251230106" u="1"/>
        <s v="01PL260110200" u="1"/>
        <s v="01PL260114301" u="1"/>
        <s v="01PL25122363" u="1"/>
        <s v="01PL25100625" u="1"/>
        <s v="01PL25122223" u="1"/>
        <s v="01PL260126173" u="1"/>
        <s v="01PL251022217" u="1"/>
        <s v="01PL251202208" u="1"/>
        <s v="01PL251206217" u="1"/>
        <s v="01PL251222115" u="1"/>
        <s v="01PL251226124" u="1"/>
        <s v="01PL251226216" u="1"/>
        <s v="01PL2601206" u="1"/>
        <s v="01PL25110364" u="1"/>
        <s v="01PL25121163" u="1"/>
        <s v="01PL26020638" u="1"/>
        <s v="01PL260109103" u="1"/>
        <s v="01PL25101024" u="1"/>
        <s v="01PL25112634" u="1"/>
        <s v="01PL25121834" u="1"/>
        <s v="01PL26011470" u="1"/>
        <s v="01PL26011330" u="1"/>
        <s v="01PL26020530" u="1"/>
        <s v="01PL260110164" u="1"/>
        <s v="01PL260114173" u="1"/>
        <s v="01PL260114265" u="1"/>
        <s v="01PL260130163" u="1"/>
        <s v="01PL260202256" u="1"/>
        <s v="01PL26010378" u="1"/>
        <s v="01PL26021177" u="1"/>
        <s v="01PL251106134" u="1"/>
        <s v="01PL251126133" u="1"/>
        <s v="01PL251230114" u="1"/>
        <s v="01PL251230206" u="1"/>
        <s v="01PL260202300" u="1"/>
        <s v="01PL25122373" u="1"/>
        <s v="01PL260117102" u="1"/>
        <s v="01PL260209102" u="1"/>
        <s v="01PL25100635" u="1"/>
        <s v="01PL25122233" u="1"/>
        <s v="01PL26012680" u="1"/>
        <s v="01PL260102173" u="1"/>
        <s v="01PL251022225" u="1"/>
        <s v="01PL251114409" u="1"/>
        <s v="01PL251202216" u="1"/>
        <s v="01PL251202308" u="1"/>
        <s v="01PL251206225" u="1"/>
        <s v="01PL251206409" u="1"/>
        <s v="01PL251222123" u="1"/>
        <s v="01PL251226132" u="1"/>
        <s v="01PL251226224" u="1"/>
        <s v="01PL2601207" u="1"/>
        <s v="01PL25121173" u="1"/>
        <s v="01PL26020648" u="1"/>
        <s v="01PL251229109" u="1"/>
        <s v="01PL260109111" u="1"/>
        <s v="01PL260109203" u="1"/>
        <s v="01PL25101034" u="1"/>
        <s v="01PL25112644" u="1"/>
        <s v="01PL25121844" u="1"/>
        <s v="01PL26011480" u="1"/>
        <s v="01PL26011340" u="1"/>
        <s v="01PL26020540" u="1"/>
        <s v="01PL260114181" u="1"/>
        <s v="01PL260114273" u="1"/>
        <s v="01PL260202264" u="1"/>
        <s v="01PL26010388" u="1"/>
        <s v="01PL251106142" u="1"/>
        <s v="01PL251126141" u="1"/>
        <s v="01PL251230122" u="1"/>
        <s v="01PL25122383" u="1"/>
        <s v="01PL260205101" u="1"/>
        <s v="01PL260209110" u="1"/>
        <s v="01PL25100645" u="1"/>
        <s v="01PL25122243" u="1"/>
        <s v="01PL26012690" u="1"/>
        <s v="01PL25102915" u="1"/>
        <s v="01PL25122914" u="1"/>
        <s v="01PL251022189" u="1"/>
        <s v="01PL251118198" u="1"/>
        <s v="01PL251222179" u="1"/>
        <s v="01PL251226188" u="1"/>
        <s v="01PL260102181" u="1"/>
        <s v="01PL26010811" u="1"/>
        <s v="01PL251114417" u="1"/>
        <s v="01PL251118150" u="1"/>
        <s v="01PL251202224" u="1"/>
        <s v="01PL251202316" u="1"/>
        <s v="01PL251206233" u="1"/>
        <s v="01PL251222131" u="1"/>
        <s v="01PL251226140" u="1"/>
        <s v="01PL260109167" u="1"/>
        <s v="01PL2601208" u="1"/>
        <s v="01PL25121183" u="1"/>
        <s v="01PL26011458" u="1"/>
        <s v="01PL26020658" u="1"/>
        <s v="01PL251205109" u="1"/>
        <s v="01PL251209118" u="1"/>
        <s v="01PL251229117" u="1"/>
        <s v="01PL260109211" u="1"/>
        <s v="01PL260129302" u="1"/>
        <s v="01PL25101044" u="1"/>
        <s v="01PL25112654" u="1"/>
        <s v="01PL25121854" u="1"/>
        <s v="01PL26011318" u="1"/>
        <s v="01PL26011490" u="1"/>
        <s v="01PL25112514" u="1"/>
        <s v="01PL26011350" u="1"/>
        <s v="01PL26020550" u="1"/>
        <s v="01PL251010189" u="1"/>
        <s v="01PL251230178" u="1"/>
        <s v="01PL260110180" u="1"/>
        <s v="01PL260114281" u="1"/>
        <s v="01PL260202272" u="1"/>
        <s v="01PL26010398" u="1"/>
        <s v="01PL26011210" u="1"/>
        <s v="01PL251106150" u="1"/>
        <s v="01PL251230130" u="1"/>
        <s v="01PL25122393" u="1"/>
        <s v="01PL26021057" u="1"/>
        <s v="01PL251125117" u="1"/>
        <s v="01PL25100655" u="1"/>
        <s v="01PL25122253" u="1"/>
        <s v="01PL25102925" u="1"/>
        <s v="01PL25120514" u="1"/>
        <s v="01PL25122924" u="1"/>
        <s v="01PL251022289" u="1"/>
        <s v="01PL251226196" u="1"/>
        <s v="01PL26010821" u="1"/>
        <s v="01PL251114425" u="1"/>
        <s v="01PL251202232" u="1"/>
        <s v="01PL251202324" u="1"/>
        <s v="01PL251206241" u="1"/>
        <s v="01PL260109175" u="1"/>
        <s v="01PL2601209" u="1"/>
        <s v="01PL25110394" u="1"/>
        <s v="01PL25121193" u="1"/>
        <s v="01PL26011468" u="1"/>
        <s v="01PL251229125" u="1"/>
        <s v="01PL260129310" u="1"/>
        <s v="01PL2602115" u="1"/>
        <s v="01PL25101054" u="1"/>
        <s v="01PL25121864" u="1"/>
        <s v="01PL26011328" u="1"/>
        <s v="01PL25110114" u="1"/>
        <s v="01PL25112524" u="1"/>
        <s v="01PL26011360" u="1"/>
        <s v="01PL26020560" u="1"/>
        <s v="01PL251010197" u="1"/>
        <s v="01PL251230186" u="1"/>
        <s v="01PL26011220" u="1"/>
        <s v="01PL26012678" u="1"/>
        <s v="01PL26021067" u="1"/>
        <s v="01PL251105218" u="1"/>
        <s v="01PL251125125" u="1"/>
        <s v="01PL25102264" u="1"/>
        <s v="01PL25122263" u="1"/>
        <s v="01PL25102935" u="1"/>
        <s v="01PL25120524" u="1"/>
        <s v="01PL25122934" u="1"/>
        <s v="01PL251202196" u="1"/>
        <s v="01PL251222195" u="1"/>
        <s v="01PL26010831" u="1"/>
        <s v="01PL251114433" u="1"/>
        <s v="01PL251202240" u="1"/>
        <s v="01PL251202332" u="1"/>
        <s v="01PL260109183" u="1"/>
        <s v="01PL260129274" u="1"/>
        <s v="01PL260129366" u="1"/>
        <s v="01PL26011478" u="1"/>
        <s v="01PL251229133" u="1"/>
        <s v="01PL25101064" u="1"/>
        <s v="01PL25121874" u="1"/>
        <s v="01PL26011338" u="1"/>
        <s v="01PL260108103" u="1"/>
        <s v="01PL2602102" u="1"/>
        <s v="01PL25101735" u="1"/>
        <s v="01PL25110124" u="1"/>
        <s v="01PL25112534" u="1"/>
        <s v="01PL26011370" u="1"/>
        <s v="01PL26020570" u="1"/>
        <s v="01PL251230194" u="1"/>
        <s v="01PL26011230" u="1"/>
        <s v="01PL26012688" u="1"/>
        <s v="01PL26021077" u="1"/>
        <s v="01PL251105226" u="1"/>
        <s v="01PL251105318" u="1"/>
        <s v="01PL251125133" u="1"/>
        <s v="01PL25102274" u="1"/>
        <s v="01PL260116102" u="1"/>
        <s v="01PL25102945" u="1"/>
        <s v="01PL25120534" u="1"/>
        <s v="01PL25122944" u="1"/>
        <s v="01PL251202296" u="1"/>
        <s v="01PL26010841" u="1"/>
        <s v="01PL26012440" u="1"/>
        <s v="01PL251114441" u="1"/>
        <s v="01PL260109191" u="1"/>
        <s v="01PL260129282" u="1"/>
        <s v="01PL260129374" u="1"/>
        <s v="01PL26011488" u="1"/>
        <s v="01PL251229141" u="1"/>
        <s v="01PL2602117" u="1"/>
        <s v="01PL25121884" u="1"/>
        <s v="01PL260108203" u="1"/>
        <s v="01PL260128202" u="1"/>
        <s v="01PL2602103" u="1"/>
        <s v="01PL25101745" u="1"/>
        <s v="01PL25110134" u="1"/>
        <s v="01PL25112544" u="1"/>
        <s v="01PL26011380" u="1"/>
        <s v="01PL26020580" u="1"/>
        <s v="01PL26011240" u="1"/>
        <s v="01PL26011911" u="1"/>
        <s v="01PL26012698" u="1"/>
        <s v="01PL26021087" u="1"/>
        <s v="01PL251105234" u="1"/>
        <s v="01PL251105326" u="1"/>
        <s v="01PL251125141" u="1"/>
        <s v="01PL251217325" u="1"/>
        <s v="01PL260204149" u="1"/>
        <s v="01PL25102284" u="1"/>
        <s v="01PL25122283" u="1"/>
        <s v="01PL260116110" u="1"/>
        <s v="01PL260204101" u="1"/>
        <s v="01PL25120544" u="1"/>
        <s v="01PL25122954" u="1"/>
        <s v="01PL26010819" u="1"/>
        <s v="01PL26010991" u="1"/>
        <s v="01PL26010851" u="1"/>
        <s v="01PL26012450" u="1"/>
        <s v="01PL260129290" u="1"/>
        <s v="01PL26011498" u="1"/>
        <s v="01PL260108167" u="1"/>
        <s v="01PL260120148" u="1"/>
        <s v="01PL2602118" u="1"/>
        <s v="01PL25121894" u="1"/>
        <s v="01PL26011358" u="1"/>
        <s v="01PL251204109" u="1"/>
        <s v="01PL251208118" u="1"/>
        <s v="01PL251224108" u="1"/>
        <s v="01PL260128210" u="1"/>
        <s v="01PL2602104" u="1"/>
        <s v="01PL25101755" u="1"/>
        <s v="01PL25110144" u="1"/>
        <s v="01PL25112554" u="1"/>
        <s v="01PL26011218" u="1"/>
        <s v="01PL26011390" u="1"/>
        <s v="01PL26020590" u="1"/>
        <s v="01PL25110815" u="1"/>
        <s v="01PL25112414" u="1"/>
        <s v="01PL25121614" u="1"/>
        <s v="01PL26011250" u="1"/>
        <s v="01PL26020450" u="1"/>
        <s v="01PL26011921" u="1"/>
        <s v="01PL26021097" u="1"/>
        <s v="01PL251105242" u="1"/>
        <s v="01PL251105334" u="1"/>
        <s v="01PL251217333" u="1"/>
        <s v="01PL25102294" u="1"/>
        <s v="01PL25122293" u="1"/>
        <s v="01PL251104118" u="1"/>
        <s v="01PL260204201" u="1"/>
        <s v="01PL25120554" u="1"/>
        <s v="01PL25122964" u="1"/>
        <s v="01PL26010829" u="1"/>
        <s v="01PL25102014" u="1"/>
        <s v="01PL25111214" u="1"/>
        <s v="01PL26010861" u="1"/>
        <s v="01PL26012460" u="1"/>
        <s v="01PL260108175" u="1"/>
        <s v="01PL26011368" u="1"/>
        <s v="01PL251008228" u="1"/>
        <s v="01PL251204117" u="1"/>
        <s v="01PL251208126" u="1"/>
        <s v="01PL251224116" u="1"/>
        <s v="01PL2602105" u="1"/>
        <s v="01PL25101765" u="1"/>
        <s v="01PL25112564" u="1"/>
        <s v="01PL26011228" u="1"/>
        <s v="01PL25110825" u="1"/>
        <s v="01PL25112424" u="1"/>
        <s v="01PL25121624" u="1"/>
        <s v="01PL26020460" u="1"/>
        <s v="01PL251217389" u="1"/>
        <s v="01PL26011931" u="1"/>
        <s v="01PL251105250" u="1"/>
        <s v="01PL251105342" u="1"/>
        <s v="01PL251217341" u="1"/>
        <s v="01PL251120116" u="1"/>
        <s v="01PL251120208" u="1"/>
        <s v="01PL260116402" u="1"/>
        <s v="01PL25120564" u="1"/>
        <s v="01PL25122974" u="1"/>
        <s v="01PL26010839" u="1"/>
        <s v="01PL26012438" u="1"/>
        <s v="01PL260119103" u="1"/>
        <s v="01PL25102024" u="1"/>
        <s v="01PL25111224" u="1"/>
        <s v="01PL26010871" u="1"/>
        <s v="01PL26012470" u="1"/>
        <s v="01PL260108183" u="1"/>
        <s v="01PL260128182" u="1"/>
        <s v="01PL26011378" u="1"/>
        <s v="01PL251008236" u="1"/>
        <s v="01PL251204125" u="1"/>
        <s v="01PL251208134" u="1"/>
        <s v="01PL251224124" u="1"/>
        <s v="01PL2602106" u="1"/>
        <s v="01PL25101775" u="1"/>
        <s v="01PL25112574" u="1"/>
        <s v="01PL26011238" u="1"/>
        <s v="01PL25110835" u="1"/>
        <s v="01PL25112434" u="1"/>
        <s v="01PL25121634" u="1"/>
        <s v="01PL26020470" u="1"/>
        <s v="01PL251217397" u="1"/>
        <s v="01PL26011941" u="1"/>
        <s v="01PL251105350" u="1"/>
        <s v="01PL260116366" u="1"/>
        <s v="01PL26010989" u="1"/>
        <s v="01PL251120124" u="1"/>
        <s v="01PL251212216" u="1"/>
        <s v="01PL260116410" u="1"/>
        <s v="01PL25120574" u="1"/>
        <s v="01PL25122984" u="1"/>
        <s v="01PL26010849" u="1"/>
        <s v="01PL26012448" u="1"/>
        <s v="01PL260119111" u="1"/>
        <s v="01PL25102034" u="1"/>
        <s v="01PL25111234" u="1"/>
        <s v="01PL26010881" u="1"/>
        <s v="01PL26012480" u="1"/>
        <s v="01PL260108191" u="1"/>
        <s v="01PL260128190" u="1"/>
        <s v="01PL26011388" u="1"/>
        <s v="01PL251008244" u="1"/>
        <s v="01PL251208142" u="1"/>
        <s v="01PL260127158" u="1"/>
        <s v="01PL2602107" u="1"/>
        <s v="01PL25101785" u="1"/>
        <s v="01PL25112584" u="1"/>
        <s v="01PL26011248" u="1"/>
        <s v="01PL26020448" u="1"/>
        <s v="01PL251227109" u="1"/>
        <s v="01PL260103102" u="1"/>
        <s v="01PL25110845" u="1"/>
        <s v="01PL25112444" u="1"/>
        <s v="01PL25121644" u="1"/>
        <s v="01PL26020480" u="1"/>
        <s v="01PL26011951" u="1"/>
        <s v="01PL251124189" u="1"/>
        <s v="01PL260116374" u="1"/>
        <s v="01PL26010999" u="1"/>
        <s v="01PL251120132" u="1"/>
        <s v="01PL260119259" u="1"/>
        <s v="01PL260203149" u="1"/>
        <s v="01PL260204501" u="1"/>
        <s v="01PL25120584" u="1"/>
        <s v="01PL25122994" u="1"/>
        <s v="01PL26012458" u="1"/>
        <s v="01PL251107119" u="1"/>
        <s v="01PL251215109" u="1"/>
        <s v="01PL260115202" u="1"/>
        <s v="01PL260203101" u="1"/>
        <s v="01PL260207202" u="1"/>
        <s v="01PL25102044" u="1"/>
        <s v="01PL25111244" u="1"/>
        <s v="01PL26010891" u="1"/>
        <s v="01PL26012490" u="1"/>
        <s v="01PL25122714" u="1"/>
        <s v="01PL251204189" u="1"/>
        <s v="01PL251220179" u="1"/>
        <s v="01PL251008252" u="1"/>
        <s v="01PL251204141" u="1"/>
        <s v="01PL251208150" u="1"/>
        <s v="01PL251220131" u="1"/>
        <s v="01PL251224140" u="1"/>
        <s v="01PL260127166" u="1"/>
        <s v="01PL2602108" u="1"/>
        <s v="01PL25101795" u="1"/>
        <s v="01PL25112594" u="1"/>
        <s v="01PL26020458" u="1"/>
        <s v="01PL251003119" u="1"/>
        <s v="01PL251203109" u="1"/>
        <s v="01PL251227117" u="1"/>
        <s v="01PL260103110" u="1"/>
        <s v="01PL25110855" u="1"/>
        <s v="01PL25121654" u="1"/>
        <s v="01PL26020490" u="1"/>
        <s v="01PL25110715" u="1"/>
        <s v="01PL25123113" u="1"/>
        <s v="01PL251120188" u="1"/>
        <s v="01PL251124197" u="1"/>
        <s v="01PL251212188" u="1"/>
        <s v="01PL260116382" u="1"/>
        <s v="01PL26020210" u="1"/>
        <s v="01PL251120140" u="1"/>
        <s v="01PL251216609" u="1"/>
        <s v="01PL260115166" u="1"/>
        <s v="01PL260119267" u="1"/>
        <s v="01PL260203157" u="1"/>
        <s v="01PL25120594" u="1"/>
        <s v="01PL26010869" u="1"/>
        <s v="01PL26012468" u="1"/>
        <s v="01PL251031117" u="1"/>
        <s v="01PL251103118" u="1"/>
        <s v="01PL251107127" u="1"/>
        <s v="01PL251127218" u="1"/>
        <s v="01PL251211108" u="1"/>
        <s v="01PL251219218" u="1"/>
        <s v="01PL251231107" u="1"/>
        <s v="01PL260115210" u="1"/>
        <s v="01PL260115302" u="1"/>
        <s v="01PL260207210" u="1"/>
        <s v="01PL25102054" u="1"/>
        <s v="01PL25111114" u="1"/>
        <s v="01PL25120314" u="1"/>
        <s v="01PL25122724" u="1"/>
        <s v="01PL251220187" u="1"/>
        <s v="01PL251008260" u="1"/>
        <s v="01PL260127174" u="1"/>
        <s v="01PL2602109" u="1"/>
        <s v="01PL26020468" u="1"/>
        <s v="01PL251027135" u="1"/>
        <s v="01PL251227125" u="1"/>
        <s v="01PL25110865" u="1"/>
        <s v="01PL25121664" u="1"/>
        <s v="01PL25101525" u="1"/>
        <s v="01PL25110725" u="1"/>
        <s v="01PL25123123" u="1"/>
        <s v="01PL26011971" u="1"/>
        <s v="01PL251120196" u="1"/>
        <s v="01PL251212196" u="1"/>
        <s v="01PL26020220" u="1"/>
        <s v="01PL251216617" u="1"/>
        <s v="01PL260115174" u="1"/>
        <s v="01PL260203165" u="1"/>
        <s v="01PL26010879" u="1"/>
        <s v="01PL26012478" u="1"/>
        <s v="01PL251103126" u="1"/>
        <s v="01PL251107135" u="1"/>
        <s v="01PL251127226" u="1"/>
        <s v="01PL251219134" u="1"/>
        <s v="01PL251219226" u="1"/>
        <s v="01PL251231115" u="1"/>
        <s v="01PL260115310" u="1"/>
        <s v="01PL25111124" u="1"/>
        <s v="01PL25120324" u="1"/>
        <s v="01PL25122734" u="1"/>
        <s v="01PL251220195" u="1"/>
        <s v="01PL260127182" u="1"/>
        <s v="01PL26020478" u="1"/>
        <s v="01PL251003135" u="1"/>
        <s v="01PL251027143" u="1"/>
        <s v="01PL251203125" u="1"/>
        <s v="01PL25110875" u="1"/>
        <s v="01PL260106103" u="1"/>
        <s v="01PL260126102" u="1"/>
        <s v="01PL25101535" u="1"/>
        <s v="01PL25110735" u="1"/>
        <s v="01PL25123133" u="1"/>
        <s v="01PL26011981" u="1"/>
        <s v="01PL260204481" u="1"/>
        <s v="01PL26020230" u="1"/>
        <s v="01PL251216625" u="1"/>
        <s v="01PL260115182" u="1"/>
        <s v="01PL260115274" u="1"/>
        <s v="01PL260203173" u="1"/>
        <s v="01PL260207182" u="1"/>
        <s v="01PL26010889" u="1"/>
        <s v="01PL26012488" u="1"/>
        <s v="01PL251103134" u="1"/>
        <s v="01PL251107143" u="1"/>
        <s v="01PL251127234" u="1"/>
        <s v="01PL251219142" u="1"/>
        <s v="01PL251219234" u="1"/>
        <s v="01PL251231123" u="1"/>
        <s v="01PL260114102" u="1"/>
        <s v="01PL25111134" u="1"/>
        <s v="01PL25120334" u="1"/>
        <s v="01PL25122744" u="1"/>
        <s v="01PL26010781" u="1"/>
        <s v="01PL260127190" u="1"/>
        <s v="01PL26020488" u="1"/>
        <s v="01PL260126158" u="1"/>
        <s v="01PL251118119" u="1"/>
        <s v="01PL260106111" u="1"/>
        <s v="01PL260126110" u="1"/>
        <s v="01PL25101545" u="1"/>
        <s v="01PL25110745" u="1"/>
        <s v="01PL25123143" u="1"/>
        <s v="01PL26011991" u="1"/>
        <s v="01PL251216589" u="1"/>
        <s v="01PL26020240" u="1"/>
        <s v="01PL251219198" u="1"/>
        <s v="01PL260115190" u="1"/>
        <s v="01PL260115282" u="1"/>
        <s v="01PL260203181" u="1"/>
        <s v="01PL260207190" u="1"/>
        <s v="01PL26010899" u="1"/>
        <s v="01PL251103142" u="1"/>
        <s v="01PL251127242" u="1"/>
        <s v="01PL251219150" u="1"/>
        <s v="01PL251219242" u="1"/>
        <s v="01PL251231131" u="1"/>
        <s v="01PL260110149" u="1"/>
        <s v="01PL260114158" u="1"/>
        <s v="01PL260130148" u="1"/>
        <s v="01PL25102084" u="1"/>
        <s v="01PL251106119" u="1"/>
        <s v="01PL260110101" u="1"/>
        <s v="01PL25111144" u="1"/>
        <s v="01PL25120344" u="1"/>
        <s v="01PL25122614" u="1"/>
        <s v="01PL26010511" u="1"/>
        <s v="01PL26012110" u="1"/>
        <s v="01PL26020498" u="1"/>
        <s v="01PL260102158" u="1"/>
        <s v="01PL260126166" u="1"/>
        <s v="01PL251110109" u="1"/>
        <s v="01PL251118127" u="1"/>
        <s v="01PL251118219" u="1"/>
        <s v="01PL251222108" u="1"/>
        <s v="01PL251226209" u="1"/>
        <s v="01PL260102202" u="1"/>
        <s v="01PL260122201" u="1"/>
        <s v="01PL260210100" u="1"/>
        <s v="01PL25101555" u="1"/>
        <s v="01PL25121554" u="1"/>
        <s v="01PL25123153" u="1"/>
        <s v="01PL26020218" u="1"/>
        <s v="01PL251216597" u="1"/>
        <s v="01PL25110615" u="1"/>
        <s v="01PL25112214" u="1"/>
        <s v="01PL26020250" u="1"/>
        <s v="01PL260115290" u="1"/>
        <s v="01PL26020921" u="1"/>
        <s v="01PL251103150" u="1"/>
        <s v="01PL251219250" u="1"/>
        <s v="01PL260110157" u="1"/>
        <s v="01PL260114166" u="1"/>
        <s v="01PL260114258" u="1"/>
        <s v="01PL260130156" u="1"/>
        <s v="01PL260202249" u="1"/>
        <s v="01PL251106127" u="1"/>
        <s v="01PL251126126" u="1"/>
        <s v="01PL251230107" u="1"/>
        <s v="01PL260110201" u="1"/>
        <s v="01PL25111154" u="1"/>
        <s v="01PL25120354" u="1"/>
        <s v="01PL25122764" u="1"/>
        <s v="01PL25111014" u="1"/>
        <s v="01PL25122624" u="1"/>
        <s v="01PL26010521" u="1"/>
        <s v="01PL26012120" u="1"/>
        <s v="01PL260126174" u="1"/>
        <s v="01PL26020368" u="1"/>
        <s v="01PL251022218" u="1"/>
        <s v="01PL251202209" u="1"/>
        <s v="01PL251206218" u="1"/>
        <s v="01PL251222116" u="1"/>
        <s v="01PL251226217" u="1"/>
        <s v="01PL260102210" u="1"/>
        <s v="01PL25121564" u="1"/>
        <s v="01PL25123163" u="1"/>
        <s v="01PL26020228" u="1"/>
        <s v="01PL260109104" u="1"/>
        <s v="01PL25110625" u="1"/>
        <s v="01PL25112224" u="1"/>
        <s v="01PL26011060" u="1"/>
        <s v="01PL26020260" u="1"/>
        <s v="01PL26020931" u="1"/>
        <s v="01PL260110165" u="1"/>
        <s v="01PL260114174" u="1"/>
        <s v="01PL260114266" u="1"/>
        <s v="01PL260130164" u="1"/>
        <s v="01PL260202257" u="1"/>
        <s v="01PL26010779" u="1"/>
        <s v="01PL251106135" u="1"/>
        <s v="01PL251126134" u="1"/>
        <s v="01PL251230115" u="1"/>
        <s v="01PL251230207" u="1"/>
        <s v="01PL260202301" u="1"/>
        <s v="01PL25111164" u="1"/>
        <s v="01PL25120364" u="1"/>
        <s v="01PL25122774" u="1"/>
        <s v="01PL260209103" u="1"/>
        <s v="01PL25111024" u="1"/>
        <s v="01PL25122634" u="1"/>
        <s v="01PL26010671" u="1"/>
        <s v="01PL26010531" u="1"/>
        <s v="01PL26012130" u="1"/>
        <s v="01PL260102174" u="1"/>
        <s v="01PL26020378" u="1"/>
        <s v="01PL251202217" u="1"/>
        <s v="01PL251202309" u="1"/>
        <s v="01PL251222124" u="1"/>
        <s v="01PL251226133" u="1"/>
        <s v="01PL25121574" u="1"/>
        <s v="01PL25123173" u="1"/>
        <s v="01PL26020238" u="1"/>
        <s v="01PL260105103" u="1"/>
        <s v="01PL260109112" u="1"/>
        <s v="01PL260109204" u="1"/>
        <s v="01PL25110635" u="1"/>
        <s v="01PL25112234" u="1"/>
        <s v="01PL26011070" u="1"/>
        <s v="01PL26020941" u="1"/>
        <s v="01PL260114182" u="1"/>
        <s v="01PL260114274" u="1"/>
        <s v="01PL260130172" u="1"/>
        <s v="01PL260202265" u="1"/>
        <s v="01PL251106143" u="1"/>
        <s v="01PL251126142" u="1"/>
        <s v="01PL251230123" u="1"/>
        <s v="01PL25100375" u="1"/>
        <s v="01PL25111174" u="1"/>
        <s v="01PL25120374" u="1"/>
        <s v="01PL25122784" u="1"/>
        <s v="01PL260209111" u="1"/>
        <s v="01PL25111034" u="1"/>
        <s v="01PL26010681" u="1"/>
        <s v="01PL26012140" u="1"/>
        <s v="01PL251118199" u="1"/>
        <s v="01PL251226189" u="1"/>
        <s v="01PL260102182" u="1"/>
        <s v="01PL26012811" u="1"/>
        <s v="01PL26020388" u="1"/>
        <s v="01PL251118151" u="1"/>
        <s v="01PL251202225" u="1"/>
        <s v="01PL251202317" u="1"/>
        <s v="01PL251206234" u="1"/>
        <s v="01PL251222132" u="1"/>
        <s v="01PL251226141" u="1"/>
        <s v="01PL260109168" u="1"/>
        <s v="01PL25103184" u="1"/>
        <s v="01PL25121584" u="1"/>
        <s v="01PL25123183" u="1"/>
        <s v="01PL26020248" u="1"/>
        <s v="01PL251209119" u="1"/>
        <s v="01PL251229118" u="1"/>
        <s v="01PL260109120" u="1"/>
        <s v="01PL260109212" u="1"/>
        <s v="01PL260129303" u="1"/>
        <s v="01PL25110645" u="1"/>
        <s v="01PL25112244" u="1"/>
        <s v="01PL26011080" u="1"/>
        <s v="01PL26011719" u="1"/>
        <s v="01PL26020919" u="1"/>
        <s v="01PL26020951" u="1"/>
        <s v="01PL260110181" u="1"/>
        <s v="01PL260114190" u="1"/>
        <s v="01PL260114282" u="1"/>
        <s v="01PL260202273" u="1"/>
        <s v="01PL26011611" u="1"/>
        <s v="01PL251106151" u="1"/>
        <s v="01PL251126150" u="1"/>
        <s v="01PL251230131" u="1"/>
        <s v="01PL25100385" u="1"/>
        <s v="01PL25120384" u="1"/>
        <s v="01PL25122794" u="1"/>
        <s v="01PL251125118" u="1"/>
        <s v="01PL25111044" u="1"/>
        <s v="01PL26010691" u="1"/>
        <s v="01PL26012118" u="1"/>
        <s v="01PL25102515" u="1"/>
        <s v="01PL25122514" u="1"/>
        <s v="01PL26010551" u="1"/>
        <s v="01PL26012150" u="1"/>
        <s v="01PL251022198" u="1"/>
        <s v="01PL251202189" u="1"/>
        <s v="01PL251222188" u="1"/>
        <s v="01PL251226197" u="1"/>
        <s v="01PL26012821" u="1"/>
        <s v="01PL26020398" u="1"/>
        <s v="01PL251114426" u="1"/>
        <s v="01PL251202233" u="1"/>
        <s v="01PL251202325" u="1"/>
        <s v="01PL251206242" u="1"/>
        <s v="01PL251222140" u="1"/>
        <s v="01PL260109176" u="1"/>
        <s v="01PL260129359" u="1"/>
        <s v="01PL25121594" u="1"/>
        <s v="01PL25123193" u="1"/>
        <s v="01PL26011058" u="1"/>
        <s v="01PL26020258" u="1"/>
        <s v="01PL251229126" u="1"/>
        <s v="01PL260129311" u="1"/>
        <s v="01PL25110655" u="1"/>
        <s v="01PL26011090" u="1"/>
        <s v="01PL26011729" u="1"/>
        <s v="01PL26020929" u="1"/>
        <s v="01PL25101315" u="1"/>
        <s v="01PL25121314" u="1"/>
        <s v="01PL26020961" u="1"/>
        <s v="01PL251010198" u="1"/>
        <s v="01PL251230187" u="1"/>
        <s v="01PL260114290" u="1"/>
        <s v="01PL260202281" u="1"/>
        <s v="01PL26011621" u="1"/>
        <s v="01PL251010150" u="1"/>
        <s v="01PL25100395" u="1"/>
        <s v="01PL25120394" u="1"/>
        <s v="01PL26010669" u="1"/>
        <s v="01PL251125126" u="1"/>
        <s v="01PL25111865" u="1"/>
        <s v="01PL26012128" u="1"/>
        <s v="01PL25100926" u="1"/>
        <s v="01PL25102525" u="1"/>
        <s v="01PL25120114" u="1"/>
        <s v="01PL25122524" u="1"/>
        <s v="01PL26010561" u="1"/>
        <s v="01PL26012160" u="1"/>
        <s v="01PL251202197" u="1"/>
        <s v="01PL251202289" u="1"/>
        <s v="01PL251222196" u="1"/>
        <s v="01PL26012831" u="1"/>
        <s v="01PL251022250" u="1"/>
        <s v="01PL251114434" u="1"/>
        <s v="01PL251202241" u="1"/>
        <s v="01PL251202333" u="1"/>
        <s v="01PL251206250" u="1"/>
        <s v="01PL260109184" u="1"/>
        <s v="01PL260129275" u="1"/>
        <s v="01PL260129367" u="1"/>
        <s v="01PL26011068" u="1"/>
        <s v="01PL25112264" u="1"/>
        <s v="01PL26011739" u="1"/>
        <s v="01PL26020939" u="1"/>
        <s v="01PL260108104" u="1"/>
        <s v="01PL25101325" u="1"/>
        <s v="01PL26020971" u="1"/>
        <s v="01PL251230195" u="1"/>
        <s v="01PL26011631" u="1"/>
        <s v="01PL26010679" u="1"/>
        <s v="01PL251105227" u="1"/>
        <s v="01PL251105319" u="1"/>
        <s v="01PL251125134" u="1"/>
        <s v="01PL25111875" u="1"/>
        <s v="01PL26012138" u="1"/>
        <s v="01PL260116103" u="1"/>
        <s v="01PL25100936" u="1"/>
        <s v="01PL25102535" u="1"/>
        <s v="01PL25120124" u="1"/>
        <s v="01PL25122534" u="1"/>
        <s v="01PL26010571" u="1"/>
        <s v="01PL251202297" u="1"/>
        <s v="01PL26012841" u="1"/>
        <s v="01PL251114442" u="1"/>
        <s v="01PL260109192" u="1"/>
        <s v="01PL260129283" u="1"/>
        <s v="01PL26011078" u="1"/>
        <s v="01PL251229142" u="1"/>
        <s v="01PL25112274" u="1"/>
        <s v="01PL26011749" u="1"/>
        <s v="01PL26020949" u="1"/>
        <s v="01PL260108112" u="1"/>
        <s v="01PL260108204" u="1"/>
        <s v="01PL260128203" u="1"/>
        <s v="01PL25101335" u="1"/>
        <s v="01PL25121334" u="1"/>
        <s v="01PL26020981" u="1"/>
        <s v="01PL26011641" u="1"/>
        <s v="01PL26010689" u="1"/>
        <s v="01PL251105235" u="1"/>
        <s v="01PL251105327" u="1"/>
        <s v="01PL251125142" u="1"/>
        <s v="01PL251217326" u="1"/>
        <s v="01PL25111074" u="1"/>
        <s v="01PL25111885" u="1"/>
        <s v="01PL26012148" u="1"/>
        <s v="01PL260116111" u="1"/>
        <s v="01PL260204102" u="1"/>
        <s v="01PL25100946" u="1"/>
        <s v="01PL25102545" u="1"/>
        <s v="01PL25120134" u="1"/>
        <s v="01PL25122544" u="1"/>
        <s v="01PL26010581" u="1"/>
        <s v="01PL26012819" u="1"/>
        <s v="01PL26012851" u="1"/>
        <s v="01PL251114450" u="1"/>
        <s v="01PL260129291" u="1"/>
        <s v="01PL26011088" u="1"/>
        <s v="01PL26012711" u="1"/>
        <s v="01PL251229150" u="1"/>
        <s v="01PL260108168" u="1"/>
        <s v="01PL260120149" u="1"/>
        <s v="01PL25112284" u="1"/>
        <s v="01PL25123083" u="1"/>
        <s v="01PL26011759" u="1"/>
        <s v="01PL26020959" u="1"/>
        <s v="01PL251208119" u="1"/>
        <s v="01PL251224109" u="1"/>
        <s v="01PL260128211" u="1"/>
        <s v="01PL25101345" u="1"/>
        <s v="01PL25121344" u="1"/>
        <s v="01PL26011619" u="1"/>
        <s v="01PL26020991" u="1"/>
        <s v="01PL25112815" u="1"/>
        <s v="01PL26010699" u="1"/>
        <s v="01PL26020711" u="1"/>
        <s v="01PL251105243" u="1"/>
        <s v="01PL251105335" u="1"/>
        <s v="01PL251125150" u="1"/>
        <s v="01PL251217334" u="1"/>
        <s v="01PL260204158" u="1"/>
        <s v="01PL25111084" u="1"/>
        <s v="01PL25111895" u="1"/>
        <s v="01PL26012158" u="1"/>
        <s v="01PL251104119" u="1"/>
        <s v="01PL260204110" u="1"/>
        <s v="01PL260204202" u="1"/>
        <s v="01PL25100956" u="1"/>
        <s v="01PL25102555" u="1"/>
        <s v="01PL25120144" u="1"/>
        <s v="01PL25122554" u="1"/>
        <s v="01PL26010591" u="1"/>
        <s v="01PL26012018" u="1"/>
        <s v="01PL26012829" u="1"/>
        <s v="01PL25120815" u="1"/>
        <s v="01PL25122414" u="1"/>
        <s v="01PL26012861" u="1"/>
        <s v="01PL26011098" u="1"/>
        <s v="01PL26012721" u="1"/>
        <s v="01PL260108176" u="1"/>
        <s v="01PL25112294" u="1"/>
        <s v="01PL25123093" u="1"/>
        <s v="01PL26011769" u="1"/>
        <s v="01PL26020969" u="1"/>
        <s v="01PL251008229" u="1"/>
        <s v="01PL251204118" u="1"/>
        <s v="01PL251208127" u="1"/>
        <s v="01PL251224117" u="1"/>
        <s v="01PL25101355" u="1"/>
        <s v="01PL25121354" u="1"/>
        <s v="01PL26011629" u="1"/>
        <s v="01PL25110415" u="1"/>
        <s v="01PL25112825" u="1"/>
        <s v="01PL26020721" u="1"/>
        <s v="01PL251105251" u="1"/>
        <s v="01PL251105343" u="1"/>
        <s v="01PL251217342" u="1"/>
        <s v="01PL260204166" u="1"/>
        <s v="01PL25111094" u="1"/>
        <s v="01PL251120209" u="1"/>
        <s v="01PL260116403" u="1"/>
        <s v="01PL25100966" u="1"/>
        <s v="01PL25102565" u="1"/>
        <s v="01PL25120154" u="1"/>
        <s v="01PL25120965" u="1"/>
        <s v="01PL26012028" u="1"/>
        <s v="01PL26012839" u="1"/>
        <s v="01PL260119104" u="1"/>
        <s v="01PL25120825" u="1"/>
        <s v="01PL25122424" u="1"/>
        <s v="01PL26012871" u="1"/>
        <s v="01PL26012731" u="1"/>
        <s v="01PL26021120" u="1"/>
        <s v="01PL260108184" u="1"/>
        <s v="01PL260128183" u="1"/>
        <s v="01PL26011779" u="1"/>
        <s v="01PL26020979" u="1"/>
        <s v="01PL251008237" u="1"/>
        <s v="01PL251204126" u="1"/>
        <s v="01PL251208135" u="1"/>
        <s v="01PL251224125" u="1"/>
        <s v="01PL26011639" u="1"/>
        <s v="01PL25110425" u="1"/>
        <s v="01PL25112835" u="1"/>
        <s v="01PL26011671" u="1"/>
        <s v="01PL251217398" u="1"/>
        <s v="01PL26020731" u="1"/>
        <s v="01PL251105351" u="1"/>
        <s v="01PL251217350" u="1"/>
        <s v="01PL260116367" u="1"/>
        <s v="01PL251120125" u="1"/>
        <s v="01PL251212217" u="1"/>
        <s v="01PL260116411" u="1"/>
        <s v="01PL25102575" u="1"/>
        <s v="01PL25120164" u="1"/>
        <s v="01PL25120975" u="1"/>
        <s v="01PL26012038" u="1"/>
        <s v="01PL26012849" u="1"/>
        <s v="01PL260119112" u="1"/>
        <s v="01PL25120835" u="1"/>
        <s v="01PL25122434" u="1"/>
        <s v="01PL26012881" u="1"/>
        <s v="01PL26012741" u="1"/>
        <s v="01PL26021130" u="1"/>
        <s v="01PL260108192" u="1"/>
        <s v="01PL260128191" u="1"/>
        <s v="01PL26011789" u="1"/>
        <s v="01PL26020989" u="1"/>
        <s v="01PL251008245" u="1"/>
        <s v="01PL251204134" u="1"/>
        <s v="01PL251208143" u="1"/>
        <s v="01PL251224133" u="1"/>
        <s v="01PL260127159" u="1"/>
        <s v="01PL26011649" u="1"/>
        <s v="01PL260103103" u="1"/>
        <s v="01PL25110435" u="1"/>
        <s v="01PL25112845" u="1"/>
        <s v="01PL26011681" u="1"/>
        <s v="01PL26020741" u="1"/>
        <s v="01PL260116375" u="1"/>
        <s v="01PL251120133" u="1"/>
        <s v="01PL260115159" u="1"/>
        <s v="01PL260204502" u="1"/>
        <s v="01PL25102585" u="1"/>
        <s v="01PL25120985" u="1"/>
        <s v="01PL26012048" u="1"/>
        <s v="01PL26012859" u="1"/>
        <s v="01PL260119120" u="1"/>
        <s v="01PL260203102" u="1"/>
        <s v="01PL260207203" u="1"/>
        <s v="01PL25120845" u="1"/>
        <s v="01PL25122444" u="1"/>
        <s v="01PL26012719" u="1"/>
        <s v="01PL26021140" u="1"/>
        <s v="01PL26011799" u="1"/>
        <s v="01PL26020999" u="1"/>
        <s v="01PL251008253" u="1"/>
        <s v="01PL251204142" u="1"/>
        <s v="01PL251208151" u="1"/>
        <s v="01PL251220132" u="1"/>
        <s v="01PL251224141" u="1"/>
        <s v="01PL260127167" u="1"/>
        <s v="01PL25121384" u="1"/>
        <s v="01PL251227118" u="1"/>
        <s v="01PL25110445" u="1"/>
        <s v="01PL25112855" u="1"/>
        <s v="01PL26011691" u="1"/>
        <s v="01PL26020719" u="1"/>
        <s v="01PL26020751" u="1"/>
        <s v="01PL251120189" u="1"/>
        <s v="01PL251124198" u="1"/>
        <s v="01PL251212189" u="1"/>
        <s v="01PL260116383" u="1"/>
        <s v="01PL251120141" u="1"/>
        <s v="01PL260115167" u="1"/>
        <s v="01PL260115259" u="1"/>
        <s v="01PL260119268" u="1"/>
        <s v="01PL260203158" u="1"/>
        <s v="01PL260204510" u="1"/>
        <s v="01PL25102595" u="1"/>
        <s v="01PL25120995" u="1"/>
        <s v="01PL26012058" u="1"/>
        <s v="01PL26012869" u="1"/>
        <s v="01PL251103119" u="1"/>
        <s v="01PL251107128" u="1"/>
        <s v="01PL251127219" u="1"/>
        <s v="01PL251219219" u="1"/>
        <s v="01PL260115211" u="1"/>
        <s v="01PL260115303" u="1"/>
        <s v="01PL260203110" u="1"/>
        <s v="01PL260207211" u="1"/>
        <s v="01PL25120855" u="1"/>
        <s v="01PL25122454" u="1"/>
        <s v="01PL26010319" u="1"/>
        <s v="01PL26012729" u="1"/>
        <s v="01PL26021118" u="1"/>
        <s v="01PL25122314" u="1"/>
        <s v="01PL26021150" u="1"/>
        <s v="01PL251220188" u="1"/>
        <s v="01PL26021010" u="1"/>
        <s v="01PL251008261" u="1"/>
        <s v="01PL251220140" u="1"/>
        <s v="01PL26011669" u="1"/>
        <s v="01PL251003128" u="1"/>
        <s v="01PL251027136" u="1"/>
        <s v="01PL251203118" u="1"/>
        <s v="01PL251227126" u="1"/>
        <s v="01PL26020729" u="1"/>
        <s v="01PL25101115" u="1"/>
        <s v="01PL25110315" u="1"/>
        <s v="01PL26020761" u="1"/>
        <s v="01PL251120197" u="1"/>
        <s v="01PL251212197" u="1"/>
        <s v="01PL260116391" u="1"/>
        <s v="01PL26020621" u="1"/>
        <s v="01PL251216618" u="1"/>
        <s v="01PL260115175" u="1"/>
        <s v="01PL260115267" u="1"/>
        <s v="01PL260203166" u="1"/>
        <s v="01PL26012068" u="1"/>
        <s v="01PL26012879" u="1"/>
        <s v="01PL251107136" u="1"/>
        <s v="01PL251127227" u="1"/>
        <s v="01PL251219135" u="1"/>
        <s v="01PL251219227" u="1"/>
        <s v="01PL251231116" u="1"/>
        <s v="01PL260115311" u="1"/>
        <s v="01PL26010329" u="1"/>
        <s v="01PL26012739" u="1"/>
        <s v="01PL26021128" u="1"/>
        <s v="01PL25122324" u="1"/>
        <s v="01PL26021160" u="1"/>
        <s v="01PL251220196" u="1"/>
        <s v="01PL260127183" u="1"/>
        <s v="01PL251003136" u="1"/>
        <s v="01PL251027144" u="1"/>
        <s v="01PL251203126" u="1"/>
        <s v="01PL26020739" u="1"/>
        <s v="01PL260106104" u="1"/>
        <s v="01PL260126103" u="1"/>
        <s v="01PL25101125" u="1"/>
        <s v="01PL25110325" u="1"/>
        <s v="01PL26020771" u="1"/>
        <s v="01PL260204482" u="1"/>
        <s v="01PL26020631" u="1"/>
        <s v="01PL251216626" u="1"/>
        <s v="01PL260115183" u="1"/>
        <s v="01PL260115275" u="1"/>
        <s v="01PL260203174" u="1"/>
        <s v="01PL260207183" u="1"/>
        <s v="01PL26012889" u="1"/>
        <s v="01PL251103135" u="1"/>
        <s v="01PL251107144" u="1"/>
        <s v="01PL251127235" u="1"/>
        <s v="01PL251219143" u="1"/>
        <s v="01PL251219235" u="1"/>
        <s v="01PL251231124" u="1"/>
        <s v="01PL26010339" u="1"/>
        <s v="01PL26021138" u="1"/>
        <s v="01PL260114103" u="1"/>
        <s v="01PL25122334" u="1"/>
        <s v="01PL26021170" u="1"/>
        <s v="01PL260127191" u="1"/>
        <s v="01PL26011689" u="1"/>
        <s v="01PL251027152" u="1"/>
        <s v="01PL25110475" u="1"/>
        <s v="01PL26020749" u="1"/>
        <s v="01PL260106112" u="1"/>
        <s v="01PL260126111" u="1"/>
        <s v="01PL25101135" u="1"/>
        <s v="01PL25110335" u="1"/>
        <s v="01PL25121134" u="1"/>
        <s v="01PL260204490" u="1"/>
        <s v="01PL26020641" u="1"/>
        <s v="01PL251219199" u="1"/>
        <s v="01PL260115191" u="1"/>
        <s v="01PL260115283" u="1"/>
        <s v="01PL260203182" u="1"/>
        <s v="01PL260207191" u="1"/>
        <s v="01PL251103143" u="1"/>
        <s v="01PL251127243" u="1"/>
        <s v="01PL251219151" u="1"/>
        <s v="01PL251219243" u="1"/>
        <s v="01PL251231132" u="1"/>
        <s v="01PL260114159" u="1"/>
        <s v="01PL260130149" u="1"/>
        <s v="01PL26010349" u="1"/>
        <s v="01PL26021148" u="1"/>
        <s v="01PL260110102" u="1"/>
        <s v="01PL25122344" u="1"/>
        <s v="01PL26021180" u="1"/>
        <s v="01PL251027160" u="1"/>
        <s v="01PL260102159" u="1"/>
        <s v="01PL260126167" u="1"/>
        <s v="01PL25110485" u="1"/>
        <s v="01PL26020759" u="1"/>
        <s v="01PL251222109" u="1"/>
        <s v="01PL260106120" u="1"/>
        <s v="01PL260210101" u="1"/>
        <s v="01PL25101145" u="1"/>
        <s v="01PL25110345" u="1"/>
        <s v="01PL25121144" u="1"/>
        <s v="01PL26020619" u="1"/>
        <s v="01PL251216598" u="1"/>
        <s v="01PL25112615" u="1"/>
        <s v="01PL25121815" u="1"/>
        <s v="01PL26020651" u="1"/>
        <s v="01PL260115291" u="1"/>
        <s v="01PL26011311" u="1"/>
        <s v="01PL26020511" u="1"/>
        <s v="01PL251219251" u="1"/>
        <s v="01PL251231140" u="1"/>
        <s v="01PL260110158" u="1"/>
        <s v="01PL260114167" u="1"/>
        <s v="01PL260114259" u="1"/>
        <s v="01PL260130157" u="1"/>
        <s v="01PL26010359" u="1"/>
        <s v="01PL26021158" u="1"/>
        <s v="01PL251106128" u="1"/>
        <s v="01PL251126127" u="1"/>
        <s v="01PL251230108" u="1"/>
        <s v="01PL260110110" u="1"/>
        <s v="01PL260110202" u="1"/>
        <s v="01PL25122354" u="1"/>
        <s v="01PL25100616" u="1"/>
        <s v="01PL25122214" u="1"/>
        <s v="01PL260102167" u="1"/>
        <s v="01PL260126175" u="1"/>
        <s v="01PL25110495" u="1"/>
        <s v="01PL26020769" u="1"/>
        <s v="01PL251022219" u="1"/>
        <s v="01PL251206219" u="1"/>
        <s v="01PL251222117" u="1"/>
        <s v="01PL251226126" u="1"/>
        <s v="01PL251226218" u="1"/>
        <s v="01PL260102211" u="1"/>
        <s v="01PL260122210" u="1"/>
        <s v="01PL25101155" u="1"/>
        <s v="01PL25110355" u="1"/>
        <s v="01PL25121154" u="1"/>
        <s v="01PL26020629" u="1"/>
        <s v="01PL260109105" u="1"/>
        <s v="01PL25101015" u="1"/>
        <s v="01PL25112625" u="1"/>
        <s v="01PL25121825" u="1"/>
        <s v="01PL26011461" u="1"/>
        <s v="01PL26020661" u="1"/>
        <s v="01PL26011321" u="1"/>
        <s v="01PL26020521" u="1"/>
        <s v="01PL260110166" u="1"/>
        <s v="01PL260114175" u="1"/>
        <s v="01PL260114267" u="1"/>
        <s v="01PL260130165" u="1"/>
        <s v="01PL260202258" u="1"/>
        <s v="01PL26010369" u="1"/>
        <s v="01PL26021168" u="1"/>
        <s v="01PL251230116" u="1"/>
        <s v="01PL251230208" u="1"/>
        <s v="01PL260110210" u="1"/>
        <s v="01PL260202302" u="1"/>
        <s v="01PL25122364" u="1"/>
        <s v="01PL260209104" u="1"/>
        <s v="01PL25100626" u="1"/>
        <s v="01PL25122224" u="1"/>
        <s v="01PL26021060" u="1"/>
        <s v="01PL260102175" u="1"/>
        <s v="01PL251202218" u="1"/>
        <s v="01PL251206227" u="1"/>
        <s v="01PL251222125" u="1"/>
        <s v="01PL251226134" u="1"/>
        <s v="01PL251226226" u="1"/>
        <s v="01PL25110365" u="1"/>
        <s v="01PL25121164" u="1"/>
        <s v="01PL26020639" u="1"/>
        <s v="01PL260105104" u="1"/>
        <s v="01PL260109113" u="1"/>
        <s v="01PL260109205" u="1"/>
        <s v="01PL25101025" u="1"/>
        <s v="01PL25112635" u="1"/>
        <s v="01PL25121835" u="1"/>
        <s v="01PL26011471" u="1"/>
        <s v="01PL26011331" u="1"/>
        <s v="01PL26020531" u="1"/>
        <s v="01PL260114183" u="1"/>
        <s v="01PL260114275" u="1"/>
        <s v="01PL260130173" u="1"/>
        <s v="01PL260202266" u="1"/>
        <s v="01PL26010379" u="1"/>
        <s v="01PL26021178" u="1"/>
        <s v="01PL251106144" u="1"/>
        <s v="01PL251126143" u="1"/>
        <s v="01PL251230124" u="1"/>
        <s v="01PL260202310" u="1"/>
        <s v="01PL25122374" u="1"/>
        <s v="01PL260205103" u="1"/>
        <s v="01PL260209112" u="1"/>
        <s v="01PL25100636" u="1"/>
        <s v="01PL25111435" u="1"/>
        <s v="01PL25122234" u="1"/>
        <s v="01PL26012681" u="1"/>
        <s v="01PL26021070" u="1"/>
        <s v="01PL260102183" u="1"/>
        <s v="01PL251114419" u="1"/>
        <s v="01PL251118152" u="1"/>
        <s v="01PL251202226" u="1"/>
        <s v="01PL251202318" u="1"/>
        <s v="01PL251206235" u="1"/>
        <s v="01PL251222133" u="1"/>
        <s v="01PL251226142" u="1"/>
        <s v="01PL25121174" u="1"/>
        <s v="01PL26020649" u="1"/>
        <s v="01PL251229119" u="1"/>
        <s v="01PL260105112" u="1"/>
        <s v="01PL260129304" u="1"/>
        <s v="01PL25101035" u="1"/>
        <s v="01PL25112645" u="1"/>
        <s v="01PL25121845" u="1"/>
        <s v="01PL26011481" u="1"/>
        <s v="01PL26011341" u="1"/>
        <s v="01PL26020541" u="1"/>
        <s v="01PL260114191" u="1"/>
        <s v="01PL260114283" u="1"/>
        <s v="01PL260202274" u="1"/>
        <s v="01PL26010389" u="1"/>
        <s v="01PL251106152" u="1"/>
        <s v="01PL251126151" u="1"/>
        <s v="01PL251230132" u="1"/>
        <s v="01PL25122384" u="1"/>
        <s v="01PL251125119" u="1"/>
        <s v="01PL260209120" u="1"/>
        <s v="01PL25100646" u="1"/>
        <s v="01PL25122244" u="1"/>
        <s v="01PL26012691" u="1"/>
        <s v="01PL26021080" u="1"/>
        <s v="01PL25102916" u="1"/>
        <s v="01PL25122915" u="1"/>
        <s v="01PL251022199" u="1"/>
        <s v="01PL251222189" u="1"/>
        <s v="01PL251226198" u="1"/>
        <s v="01PL260102191" u="1"/>
        <s v="01PL26010812" u="1"/>
        <s v="01PL251114427" u="1"/>
        <s v="01PL251202234" u="1"/>
        <s v="01PL251202326" u="1"/>
        <s v="01PL251206243" u="1"/>
        <s v="01PL251222141" u="1"/>
        <s v="01PL251226150" u="1"/>
        <s v="01PL260109177" u="1"/>
        <s v="01PL25110385" u="1"/>
        <s v="01PL25121184" u="1"/>
        <s v="01PL26011459" u="1"/>
        <s v="01PL26020659" u="1"/>
        <s v="01PL251229127" u="1"/>
        <s v="01PL260129312" u="1"/>
        <s v="01PL25101045" u="1"/>
        <s v="01PL25112655" u="1"/>
        <s v="01PL25121855" u="1"/>
        <s v="01PL26011319" u="1"/>
        <s v="01PL26011491" u="1"/>
        <s v="01PL25112515" u="1"/>
        <s v="01PL26011351" u="1"/>
        <s v="01PL26020551" u="1"/>
        <s v="01PL251010199" u="1"/>
        <s v="01PL251230188" u="1"/>
        <s v="01PL260110190" u="1"/>
        <s v="01PL260114291" u="1"/>
        <s v="01PL260202282" u="1"/>
        <s v="01PL26010399" u="1"/>
        <s v="01PL26011211" u="1"/>
        <s v="01PL251230140" u="1"/>
        <s v="01PL25122394" u="1"/>
        <s v="01PL26021058" u="1"/>
        <s v="01PL251125127" u="1"/>
        <s v="01PL25100656" u="1"/>
        <s v="01PL25102255" u="1"/>
        <s v="01PL25122254" u="1"/>
        <s v="01PL26021090" u="1"/>
        <s v="01PL25102115" u="1"/>
        <s v="01PL25102926" u="1"/>
        <s v="01PL25120515" u="1"/>
        <s v="01PL25122925" u="1"/>
        <s v="01PL26010822" u="1"/>
        <s v="01PL251022251" u="1"/>
        <s v="01PL251114435" u="1"/>
        <s v="01PL251202150" u="1"/>
        <s v="01PL251202242" u="1"/>
        <s v="01PL251202334" u="1"/>
        <s v="01PL251206251" u="1"/>
        <s v="01PL260109185" u="1"/>
        <s v="01PL260129276" u="1"/>
        <s v="01PL25110395" u="1"/>
        <s v="01PL25121194" u="1"/>
        <s v="01PL26011469" u="1"/>
        <s v="01PL251229135" u="1"/>
        <s v="01PL25101055" u="1"/>
        <s v="01PL25121865" u="1"/>
        <s v="01PL26011329" u="1"/>
        <s v="01PL25110115" u="1"/>
        <s v="01PL25112525" u="1"/>
        <s v="01PL26011361" u="1"/>
        <s v="01PL26020561" u="1"/>
        <s v="01PL251230196" u="1"/>
        <s v="01PL26011221" u="1"/>
        <s v="01PL26012679" u="1"/>
        <s v="01PL26021068" u="1"/>
        <s v="01PL251105228" u="1"/>
        <s v="01PL251125135" u="1"/>
        <s v="01PL25102265" u="1"/>
        <s v="01PL25122264" u="1"/>
        <s v="01PL260116104" u="1"/>
        <s v="01PL25102125" u="1"/>
        <s v="01PL25102936" u="1"/>
        <s v="01PL25120525" u="1"/>
        <s v="01PL25122935" u="1"/>
        <s v="01PL26010832" u="1"/>
        <s v="01PL251114443" u="1"/>
        <s v="01PL251202250" u="1"/>
        <s v="01PL260109193" u="1"/>
        <s v="01PL260129284" u="1"/>
        <s v="01PL26011479" u="1"/>
        <s v="01PL251229143" u="1"/>
        <s v="01PL25101065" u="1"/>
        <s v="01PL25121875" u="1"/>
        <s v="01PL26011339" u="1"/>
        <s v="01PL260108113" u="1"/>
        <s v="01PL25101736" u="1"/>
        <s v="01PL25110125" u="1"/>
        <s v="01PL25112535" u="1"/>
        <s v="01PL26011371" u="1"/>
        <s v="01PL26020571" u="1"/>
        <s v="01PL26011231" u="1"/>
        <s v="01PL26012689" u="1"/>
        <s v="01PL26021078" u="1"/>
        <s v="01PL251105236" u="1"/>
        <s v="01PL251105328" u="1"/>
        <s v="01PL251125143" u="1"/>
        <s v="01PL251217327" u="1"/>
        <s v="01PL25102275" u="1"/>
        <s v="01PL260116112" u="1"/>
        <s v="01PL260204103" u="1"/>
        <s v="01PL25102135" u="1"/>
        <s v="01PL25102946" u="1"/>
        <s v="01PL25120535" u="1"/>
        <s v="01PL25122945" u="1"/>
        <s v="01PL26010842" u="1"/>
        <s v="01PL26012441" u="1"/>
        <s v="01PL251114451" u="1"/>
        <s v="01PL260129292" u="1"/>
        <s v="01PL26011489" u="1"/>
        <s v="01PL251229151" u="1"/>
        <s v="01PL260108169" u="1"/>
        <s v="01PL25121885" u="1"/>
        <s v="01PL260128212" u="1"/>
        <s v="01PL25110135" u="1"/>
        <s v="01PL25112545" u="1"/>
        <s v="01PL26011381" u="1"/>
        <s v="01PL26020581" u="1"/>
        <s v="01PL26011241" u="1"/>
        <s v="01PL26011912" u="1"/>
        <s v="01PL26012699" u="1"/>
        <s v="01PL26021088" u="1"/>
        <s v="01PL251105244" u="1"/>
        <s v="01PL251105336" u="1"/>
        <s v="01PL251125151" u="1"/>
        <s v="01PL251217335" u="1"/>
        <s v="01PL260204159" u="1"/>
        <s v="01PL25102285" u="1"/>
        <s v="01PL25122284" u="1"/>
        <s v="01PL260116120" u="1"/>
        <s v="01PL260204111" u="1"/>
        <s v="01PL260204203" u="1"/>
        <s v="01PL25102145" u="1"/>
        <s v="01PL25122955" u="1"/>
        <s v="01PL26010992" u="1"/>
        <s v="01PL26010852" u="1"/>
        <s v="01PL26012451" u="1"/>
        <s v="01PL26011499" u="1"/>
        <s v="01PL260108177" u="1"/>
        <s v="01PL25121895" u="1"/>
        <s v="01PL26011359" u="1"/>
        <s v="01PL251204119" u="1"/>
        <s v="01PL251208128" u="1"/>
        <s v="01PL251224118" u="1"/>
        <s v="01PL260128220" u="1"/>
        <s v="01PL25101756" u="1"/>
        <s v="01PL25110145" u="1"/>
        <s v="01PL25112555" u="1"/>
        <s v="01PL26011219" u="1"/>
        <s v="01PL26011391" u="1"/>
        <s v="01PL26020591" u="1"/>
        <s v="01PL25110816" u="1"/>
        <s v="01PL25112415" u="1"/>
        <s v="01PL25121615" u="1"/>
        <s v="01PL26011251" u="1"/>
        <s v="01PL26020451" u="1"/>
        <s v="01PL26011922" u="1"/>
        <s v="01PL26021098" u="1"/>
        <s v="01PL251105252" u="1"/>
        <s v="01PL251105344" u="1"/>
        <s v="01PL251217343" u="1"/>
        <s v="01PL25102295" u="1"/>
        <s v="01PL25122294" u="1"/>
        <s v="01PL251120118" u="1"/>
        <s v="01PL260116404" u="1"/>
        <s v="01PL25122965" u="1"/>
        <s v="01PL260119105" u="1"/>
        <s v="01PL25100416" u="1"/>
        <s v="01PL25102015" u="1"/>
        <s v="01PL25111215" u="1"/>
        <s v="01PL26010862" u="1"/>
        <s v="01PL26012461" u="1"/>
        <s v="01PL260108185" u="1"/>
        <s v="01PL260128184" u="1"/>
        <s v="01PL26011369" u="1"/>
        <s v="01PL251008238" u="1"/>
        <s v="01PL251204127" u="1"/>
        <s v="01PL251208136" u="1"/>
        <s v="01PL251224126" u="1"/>
        <s v="01PL25101766" u="1"/>
        <s v="01PL25112565" u="1"/>
        <s v="01PL26011229" u="1"/>
        <s v="01PL25110826" u="1"/>
        <s v="01PL25112425" u="1"/>
        <s v="01PL25121625" u="1"/>
        <s v="01PL26020461" u="1"/>
        <s v="01PL251217399" u="1"/>
        <s v="01PL26011932" u="1"/>
        <s v="01PL251105260" u="1"/>
        <s v="01PL251105352" u="1"/>
        <s v="01PL251217351" u="1"/>
        <s v="01PL260116368" u="1"/>
        <s v="01PL260204175" u="1"/>
        <s v="01PL251120126" u="1"/>
        <s v="01PL251212218" u="1"/>
        <s v="01PL260116412" u="1"/>
        <s v="01PL25122975" u="1"/>
        <s v="01PL26012439" u="1"/>
        <s v="01PL260119113" u="1"/>
        <s v="01PL25100426" u="1"/>
        <s v="01PL25102025" u="1"/>
        <s v="01PL25111225" u="1"/>
        <s v="01PL26010872" u="1"/>
        <s v="01PL26012471" u="1"/>
        <s v="01PL260108193" u="1"/>
        <s v="01PL260128192" u="1"/>
        <s v="01PL26011379" u="1"/>
        <s v="01PL251008246" u="1"/>
        <s v="01PL251204135" u="1"/>
        <s v="01PL251208144" u="1"/>
        <s v="01PL251224134" u="1"/>
        <s v="01PL25101776" u="1"/>
        <s v="01PL25112575" u="1"/>
        <s v="01PL26011239" u="1"/>
        <s v="01PL260103104" u="1"/>
        <s v="01PL25110836" u="1"/>
        <s v="01PL25112435" u="1"/>
        <s v="01PL25121635" u="1"/>
        <s v="01PL26020471" u="1"/>
        <s v="01PL26011942" u="1"/>
        <s v="01PL251105360" u="1"/>
        <s v="01PL260116376" u="1"/>
        <s v="01PL251120134" u="1"/>
        <s v="01PL260204503" u="1"/>
        <s v="01PL25122985" u="1"/>
        <s v="01PL26012449" u="1"/>
        <s v="01PL260119121" u="1"/>
        <s v="01PL260203103" u="1"/>
        <s v="01PL260207204" u="1"/>
        <s v="01PL25100436" u="1"/>
        <s v="01PL25102035" u="1"/>
        <s v="01PL25111235" u="1"/>
        <s v="01PL26010882" u="1"/>
        <s v="01PL26012481" u="1"/>
        <s v="01PL26011389" u="1"/>
        <s v="01PL251008254" u="1"/>
        <s v="01PL251208152" u="1"/>
        <s v="01PL251220133" u="1"/>
        <s v="01PL260127168" u="1"/>
        <s v="01PL25101786" u="1"/>
        <s v="01PL25112585" u="1"/>
        <s v="01PL26011249" u="1"/>
        <s v="01PL26020449" u="1"/>
        <s v="01PL251227119" u="1"/>
        <s v="01PL25110846" u="1"/>
        <s v="01PL25112445" u="1"/>
        <s v="01PL25121645" u="1"/>
        <s v="01PL26020481" u="1"/>
        <s v="01PL26011952" u="1"/>
        <s v="01PL251124199" u="1"/>
        <s v="01PL251120142" u="1"/>
        <s v="01PL260119269" u="1"/>
        <s v="01PL260203159" u="1"/>
        <s v="01PL260204511" u="1"/>
        <s v="01PL25122995" u="1"/>
        <s v="01PL26012459" u="1"/>
        <s v="01PL251031119" u="1"/>
        <s v="01PL251107129" u="1"/>
        <s v="01PL251231109" u="1"/>
        <s v="01PL260115212" u="1"/>
        <s v="01PL260115304" u="1"/>
        <s v="01PL260203111" u="1"/>
        <s v="01PL260207212" u="1"/>
        <s v="01PL25100446" u="1"/>
        <s v="01PL25102045" u="1"/>
        <s v="01PL25111245" u="1"/>
        <s v="01PL26010892" u="1"/>
        <s v="01PL26012491" u="1"/>
        <s v="01PL25122715" u="1"/>
        <s v="01PL251220189" u="1"/>
        <s v="01PL251008262" u="1"/>
        <s v="01PL251204151" u="1"/>
        <s v="01PL251220141" u="1"/>
        <s v="01PL260127176" u="1"/>
        <s v="01PL25101796" u="1"/>
        <s v="01PL25112595" u="1"/>
        <s v="01PL26020459" u="1"/>
        <s v="01PL251003129" u="1"/>
        <s v="01PL251027137" u="1"/>
        <s v="01PL251203119" u="1"/>
        <s v="01PL251227127" u="1"/>
        <s v="01PL25110856" u="1"/>
        <s v="01PL25121655" u="1"/>
        <s v="01PL26020491" u="1"/>
        <s v="01PL25110716" u="1"/>
        <s v="01PL25123114" u="1"/>
        <s v="01PL251120198" u="1"/>
        <s v="01PL251212198" u="1"/>
        <s v="01PL260116392" u="1"/>
        <s v="01PL26020211" u="1"/>
        <s v="01PL251120150" u="1"/>
        <s v="01PL251216619" u="1"/>
        <s v="01PL260115176" u="1"/>
        <s v="01PL260203167" u="1"/>
        <s v="01PL26012469" u="1"/>
        <s v="01PL251103128" u="1"/>
        <s v="01PL251107137" u="1"/>
        <s v="01PL251127228" u="1"/>
        <s v="01PL251219136" u="1"/>
        <s v="01PL251219228" u="1"/>
        <s v="01PL251231117" u="1"/>
        <s v="01PL260115220" u="1"/>
        <s v="01PL260115312" u="1"/>
        <s v="01PL260207220" u="1"/>
        <s v="01PL25102055" u="1"/>
        <s v="01PL25111115" u="1"/>
        <s v="01PL25120315" u="1"/>
        <s v="01PL25122725" u="1"/>
        <s v="01PL251220197" u="1"/>
        <s v="01PL251008270" u="1"/>
        <s v="01PL260127184" u="1"/>
        <s v="01PL26020469" u="1"/>
        <s v="01PL251027145" u="1"/>
        <s v="01PL25110866" u="1"/>
        <s v="01PL260106105" u="1"/>
        <s v="01PL260126104" u="1"/>
        <s v="01PL25101526" u="1"/>
        <s v="01PL25110726" u="1"/>
        <s v="01PL25123124" u="1"/>
        <s v="01PL260204483" u="1"/>
        <s v="01PL26020221" u="1"/>
        <s v="01PL251216627" u="1"/>
        <s v="01PL260115184" u="1"/>
        <s v="01PL260115276" u="1"/>
        <s v="01PL260203175" u="1"/>
        <s v="01PL260207184" u="1"/>
        <s v="01PL26012479" u="1"/>
        <s v="01PL251103136" u="1"/>
        <s v="01PL251107145" u="1"/>
        <s v="01PL251127236" u="1"/>
        <s v="01PL251219144" u="1"/>
        <s v="01PL251219236" u="1"/>
        <s v="01PL251231125" u="1"/>
        <s v="01PL25111125" u="1"/>
        <s v="01PL25120325" u="1"/>
        <s v="01PL25122735" u="1"/>
        <s v="01PL260127192" u="1"/>
        <s v="01PL26020479" u="1"/>
        <s v="01PL251027153" u="1"/>
        <s v="01PL25110876" u="1"/>
        <s v="01PL260106113" u="1"/>
        <s v="01PL260126112" u="1"/>
        <s v="01PL25101536" u="1"/>
        <s v="01PL25110736" u="1"/>
        <s v="01PL25123134" u="1"/>
        <s v="01PL26011982" u="1"/>
        <s v="01PL260204491" u="1"/>
        <s v="01PL26020231" u="1"/>
        <s v="01PL260115192" u="1"/>
        <s v="01PL260115284" u="1"/>
        <s v="01PL260203183" u="1"/>
        <s v="01PL260207192" u="1"/>
        <s v="01PL26012489" u="1"/>
        <s v="01PL251103144" u="1"/>
        <s v="01PL251127244" u="1"/>
        <s v="01PL251219152" u="1"/>
        <s v="01PL251219244" u="1"/>
        <s v="01PL251231133" u="1"/>
        <s v="01PL260110103" u="1"/>
        <s v="01PL25111135" u="1"/>
        <s v="01PL25120335" u="1"/>
        <s v="01PL25122745" u="1"/>
        <s v="01PL26010782" u="1"/>
        <s v="01PL26020489" u="1"/>
        <s v="01PL260126168" u="1"/>
        <s v="01PL251118129" u="1"/>
        <s v="01PL260102112" u="1"/>
        <s v="01PL260102204" u="1"/>
        <s v="01PL260106121" u="1"/>
        <s v="01PL260122203" u="1"/>
        <s v="01PL260126120" u="1"/>
        <s v="01PL260210102" u="1"/>
        <s v="01PL25101546" u="1"/>
        <s v="01PL25110746" u="1"/>
        <s v="01PL25123144" u="1"/>
        <s v="01PL26011992" u="1"/>
        <s v="01PL251216599" u="1"/>
        <s v="01PL26020241" u="1"/>
        <s v="01PL260115292" u="1"/>
        <s v="01PL26011712" u="1"/>
        <s v="01PL26020912" u="1"/>
        <s v="01PL251219160" u="1"/>
        <s v="01PL251219252" u="1"/>
        <s v="01PL251231141" u="1"/>
        <s v="01PL260110159" u="1"/>
        <s v="01PL260114168" u="1"/>
        <s v="01PL260130158" u="1"/>
        <s v="01PL25102085" u="1"/>
        <s v="01PL251106129" u="1"/>
        <s v="01PL251126128" u="1"/>
        <s v="01PL251230109" u="1"/>
        <s v="01PL260110111" u="1"/>
        <s v="01PL260110203" u="1"/>
        <s v="01PL25111145" u="1"/>
        <s v="01PL25120345" u="1"/>
        <s v="01PL25122615" u="1"/>
        <s v="01PL26010512" u="1"/>
        <s v="01PL26012111" u="1"/>
        <s v="01PL26020499" u="1"/>
        <s v="01PL260102168" u="1"/>
        <s v="01PL260126176" u="1"/>
        <s v="01PL251222118" u="1"/>
        <s v="01PL251226127" u="1"/>
        <s v="01PL260102120" u="1"/>
        <s v="01PL260102212" u="1"/>
        <s v="01PL260122211" u="1"/>
        <s v="01PL260210110" u="1"/>
        <s v="01PL25101556" u="1"/>
        <s v="01PL25121555" u="1"/>
        <s v="01PL25123154" u="1"/>
        <s v="01PL26020219" u="1"/>
        <s v="01PL260109106" u="1"/>
        <s v="01PL25110616" u="1"/>
        <s v="01PL25112215" u="1"/>
        <s v="01PL26020251" u="1"/>
        <s v="01PL26011722" u="1"/>
        <s v="01PL26020922" u="1"/>
        <s v="01PL251219260" u="1"/>
        <s v="01PL260110167" u="1"/>
        <s v="01PL260114176" u="1"/>
        <s v="01PL260114268" u="1"/>
        <s v="01PL260130166" u="1"/>
        <s v="01PL260202259" u="1"/>
        <s v="01PL251106137" u="1"/>
        <s v="01PL251126136" u="1"/>
        <s v="01PL251230117" u="1"/>
        <s v="01PL251230209" u="1"/>
        <s v="01PL260110211" u="1"/>
        <s v="01PL260202211" u="1"/>
        <s v="01PL260202303" u="1"/>
        <s v="01PL25111155" u="1"/>
        <s v="01PL25120355" u="1"/>
        <s v="01PL25122765" u="1"/>
        <s v="01PL260209105" u="1"/>
        <s v="01PL25111015" u="1"/>
        <s v="01PL25122625" u="1"/>
        <s v="01PL26010522" u="1"/>
        <s v="01PL26012121" u="1"/>
        <s v="01PL260102176" u="1"/>
        <s v="01PL26020369" u="1"/>
        <s v="01PL251202219" u="1"/>
        <s v="01PL251206228" u="1"/>
        <s v="01PL251222126" u="1"/>
        <s v="01PL251226135" u="1"/>
        <s v="01PL251226227" u="1"/>
        <s v="01PL260102220" u="1"/>
        <s v="01PL25121565" u="1"/>
        <s v="01PL25123164" u="1"/>
        <s v="01PL26020229" u="1"/>
        <s v="01PL260105105" u="1"/>
        <s v="01PL260109114" u="1"/>
        <s v="01PL260109206" u="1"/>
        <s v="01PL25110626" u="1"/>
        <s v="01PL25112225" u="1"/>
        <s v="01PL26011061" u="1"/>
        <s v="01PL26020261" u="1"/>
        <s v="01PL26011732" u="1"/>
        <s v="01PL26020932" u="1"/>
        <s v="01PL260114184" u="1"/>
        <s v="01PL260114276" u="1"/>
        <s v="01PL260130174" u="1"/>
        <s v="01PL260202267" u="1"/>
        <s v="01PL251106145" u="1"/>
        <s v="01PL251126144" u="1"/>
        <s v="01PL251230125" u="1"/>
        <s v="01PL260202311" u="1"/>
        <s v="01PL25111165" u="1"/>
        <s v="01PL25120365" u="1"/>
        <s v="01PL25122775" u="1"/>
        <s v="01PL260209113" u="1"/>
        <s v="01PL25111025" u="1"/>
        <s v="01PL25122635" u="1"/>
        <s v="01PL26010672" u="1"/>
        <s v="01PL26010532" u="1"/>
        <s v="01PL26012131" u="1"/>
        <s v="01PL260102184" u="1"/>
        <s v="01PL26020379" u="1"/>
        <s v="01PL251202227" u="1"/>
        <s v="01PL251202319" u="1"/>
        <s v="01PL251206236" u="1"/>
        <s v="01PL251222134" u="1"/>
        <s v="01PL251226143" u="1"/>
        <s v="01PL25121575" u="1"/>
        <s v="01PL25123174" u="1"/>
        <s v="01PL26020239" u="1"/>
        <s v="01PL260109122" u="1"/>
        <s v="01PL260129305" u="1"/>
        <s v="01PL25110636" u="1"/>
        <s v="01PL25112235" u="1"/>
        <s v="01PL26011071" u="1"/>
        <s v="01PL26011742" u="1"/>
        <s v="01PL26020942" u="1"/>
        <s v="01PL260110183" u="1"/>
        <s v="01PL260114192" u="1"/>
        <s v="01PL260114284" u="1"/>
        <s v="01PL260202275" u="1"/>
        <s v="01PL251106153" u="1"/>
        <s v="01PL251126152" u="1"/>
        <s v="01PL251230133" u="1"/>
        <s v="01PL25100376" u="1"/>
        <s v="01PL25111175" u="1"/>
        <s v="01PL25120375" u="1"/>
        <s v="01PL25122785" u="1"/>
        <s v="01PL25111035" u="1"/>
        <s v="01PL26010682" u="1"/>
        <s v="01PL26012141" u="1"/>
        <s v="01PL251226199" u="1"/>
        <s v="01PL260102192" u="1"/>
        <s v="01PL26012812" u="1"/>
        <s v="01PL26020389" u="1"/>
        <s v="01PL251114428" u="1"/>
        <s v="01PL251202235" u="1"/>
        <s v="01PL251202327" u="1"/>
        <s v="01PL251206244" u="1"/>
        <s v="01PL251222142" u="1"/>
        <s v="01PL251226151" u="1"/>
        <s v="01PL260109178" u="1"/>
        <s v="01PL260129269" u="1"/>
        <s v="01PL25103185" u="1"/>
        <s v="01PL25121585" u="1"/>
        <s v="01PL25123184" u="1"/>
        <s v="01PL26020249" u="1"/>
        <s v="01PL260109130" u="1"/>
        <s v="01PL260129313" u="1"/>
        <s v="01PL25110646" u="1"/>
        <s v="01PL25112245" u="1"/>
        <s v="01PL26011081" u="1"/>
        <s v="01PL26011752" u="1"/>
        <s v="01PL26020952" u="1"/>
        <s v="01PL260110191" u="1"/>
        <s v="01PL260114292" u="1"/>
        <s v="01PL260202283" u="1"/>
        <s v="01PL26011612" u="1"/>
        <s v="01PL251126160" u="1"/>
        <s v="01PL25100386" u="1"/>
        <s v="01PL25120385" u="1"/>
        <s v="01PL25122795" u="1"/>
        <s v="01PL251125128" u="1"/>
        <s v="01PL25111045" u="1"/>
        <s v="01PL26010692" u="1"/>
        <s v="01PL26012119" u="1"/>
        <s v="01PL25102516" u="1"/>
        <s v="01PL25122515" u="1"/>
        <s v="01PL26010552" u="1"/>
        <s v="01PL26012151" u="1"/>
        <s v="01PL251202199" u="1"/>
        <s v="01PL251222198" u="1"/>
        <s v="01PL26012822" u="1"/>
        <s v="01PL26020399" u="1"/>
        <s v="01PL251022252" u="1"/>
        <s v="01PL251114436" u="1"/>
        <s v="01PL251202151" u="1"/>
        <s v="01PL251202243" u="1"/>
        <s v="01PL251202335" u="1"/>
        <s v="01PL251206252" u="1"/>
        <s v="01PL251222150" u="1"/>
        <s v="01PL260109186" u="1"/>
        <s v="01PL260129277" u="1"/>
        <s v="01PL260129369" u="1"/>
        <s v="01PL25121595" u="1"/>
        <s v="01PL25123194" u="1"/>
        <s v="01PL26011059" u="1"/>
        <s v="01PL26020259" u="1"/>
        <s v="01PL251229136" u="1"/>
        <s v="01PL260129321" u="1"/>
        <s v="01PL25110656" u="1"/>
        <s v="01PL26011091" u="1"/>
        <s v="01PL260108106" u="1"/>
        <s v="01PL25101316" u="1"/>
        <s v="01PL25121315" u="1"/>
        <s v="01PL26011762" u="1"/>
        <s v="01PL26020962" u="1"/>
        <s v="01PL251230197" u="1"/>
        <s v="01PL260202291" u="1"/>
        <s v="01PL26011622" u="1"/>
        <s v="01PL251010160" u="1"/>
        <s v="01PL25100396" u="1"/>
        <s v="01PL25120395" u="1"/>
        <s v="01PL251105229" u="1"/>
        <s v="01PL251125136" u="1"/>
        <s v="01PL25111866" u="1"/>
        <s v="01PL26012129" u="1"/>
        <s v="01PL260116105" u="1"/>
        <s v="01PL25100927" u="1"/>
        <s v="01PL25102526" u="1"/>
        <s v="01PL25120115" u="1"/>
        <s v="01PL25122525" u="1"/>
        <s v="01PL26010562" u="1"/>
        <s v="01PL26012161" u="1"/>
        <s v="01PL251202299" u="1"/>
        <s v="01PL26012832" u="1"/>
        <s v="01PL251022260" u="1"/>
        <s v="01PL251114444" u="1"/>
        <s v="01PL251202251" u="1"/>
        <s v="01PL251206260" u="1"/>
        <s v="01PL260109194" u="1"/>
        <s v="01PL260129285" u="1"/>
        <s v="01PL26011069" u="1"/>
        <s v="01PL251229144" u="1"/>
        <s v="01PL25112265" u="1"/>
        <s v="01PL260108206" u="1"/>
        <s v="01PL260128205" u="1"/>
        <s v="01PL25101326" u="1"/>
        <s v="01PL26011772" u="1"/>
        <s v="01PL26020972" u="1"/>
        <s v="01PL26011632" u="1"/>
        <s v="01PL251105237" u="1"/>
        <s v="01PL251105329" u="1"/>
        <s v="01PL251125144" u="1"/>
        <s v="01PL251217328" u="1"/>
        <s v="01PL25111876" u="1"/>
        <s v="01PL26012139" u="1"/>
        <s v="01PL260116113" u="1"/>
        <s v="01PL260204104" u="1"/>
        <s v="01PL25100937" u="1"/>
        <s v="01PL25102536" u="1"/>
        <s v="01PL25120125" u="1"/>
        <s v="01PL25122535" u="1"/>
        <s v="01PL26010572" u="1"/>
        <s v="01PL26012842" u="1"/>
        <s v="01PL251114452" u="1"/>
        <s v="01PL260129293" u="1"/>
        <s v="01PL26011079" u="1"/>
        <s v="01PL251229152" u="1"/>
        <s v="01PL25112275" u="1"/>
        <s v="01PL260128213" u="1"/>
        <s v="01PL25101336" u="1"/>
        <s v="01PL25121335" u="1"/>
        <s v="01PL26011782" u="1"/>
        <s v="01PL26020982" u="1"/>
        <s v="01PL26011642" u="1"/>
        <s v="01PL251105245" u="1"/>
        <s v="01PL251105337" u="1"/>
        <s v="01PL251125152" u="1"/>
        <s v="01PL251217336" u="1"/>
        <s v="01PL25111075" u="1"/>
        <s v="01PL25111886" u="1"/>
        <s v="01PL26012149" u="1"/>
        <s v="01PL260116121" u="1"/>
        <s v="01PL260204112" u="1"/>
        <s v="01PL260204204" u="1"/>
        <s v="01PL25100947" u="1"/>
        <s v="01PL25102546" u="1"/>
        <s v="01PL25120135" u="1"/>
        <s v="01PL25122545" u="1"/>
        <s v="01PL26010582" u="1"/>
        <s v="01PL26012852" u="1"/>
        <s v="01PL251114460" u="1"/>
        <s v="01PL26011089" u="1"/>
        <s v="01PL26012712" u="1"/>
        <s v="01PL251229160" u="1"/>
        <s v="01PL260108178" u="1"/>
        <s v="01PL25112285" u="1"/>
        <s v="01PL25123084" u="1"/>
        <s v="01PL251208129" u="1"/>
        <s v="01PL251224119" u="1"/>
        <s v="01PL260128221" u="1"/>
        <s v="01PL25101346" u="1"/>
        <s v="01PL25121345" u="1"/>
        <s v="01PL26011792" u="1"/>
        <s v="01PL26020992" u="1"/>
        <s v="01PL25112816" u="1"/>
        <s v="01PL26020712" u="1"/>
        <s v="01PL251105253" u="1"/>
        <s v="01PL251105345" u="1"/>
        <s v="01PL251125160" u="1"/>
        <s v="01PL251217344" u="1"/>
        <s v="01PL260204168" u="1"/>
        <s v="01PL25111085" u="1"/>
        <s v="01PL25111896" u="1"/>
        <s v="01PL26012159" u="1"/>
        <s v="01PL251120119" u="1"/>
        <s v="01PL260116405" u="1"/>
        <s v="01PL260204120" u="1"/>
        <s v="01PL25100957" u="1"/>
        <s v="01PL25102556" u="1"/>
        <s v="01PL25120145" u="1"/>
        <s v="01PL25122555" u="1"/>
        <s v="01PL26010592" u="1"/>
        <s v="01PL26012019" u="1"/>
        <s v="01PL25120816" u="1"/>
        <s v="01PL25122415" u="1"/>
        <s v="01PL26012862" u="1"/>
        <s v="01PL26011099" u="1"/>
        <s v="01PL26012722" u="1"/>
        <s v="01PL26021111" u="1"/>
        <s v="01PL260108186" u="1"/>
        <s v="01PL260128185" u="1"/>
        <s v="01PL25123094" u="1"/>
        <s v="01PL251008239" u="1"/>
        <s v="01PL251204128" u="1"/>
        <s v="01PL251208137" u="1"/>
        <s v="01PL251224127" u="1"/>
        <s v="01PL25101356" u="1"/>
        <s v="01PL25121355" u="1"/>
        <s v="01PL25110416" u="1"/>
        <s v="01PL25112826" u="1"/>
        <s v="01PL26020722" u="1"/>
        <s v="01PL251105261" u="1"/>
        <s v="01PL251105353" u="1"/>
        <s v="01PL251217352" u="1"/>
        <s v="01PL260116369" u="1"/>
        <s v="01PL260204176" u="1"/>
        <s v="01PL25111095" u="1"/>
        <s v="01PL251212219" u="1"/>
        <s v="01PL260116413" u="1"/>
        <s v="01PL25100967" u="1"/>
        <s v="01PL25102566" u="1"/>
        <s v="01PL25120155" u="1"/>
        <s v="01PL25120966" u="1"/>
        <s v="01PL26012029" u="1"/>
        <s v="01PL260119114" u="1"/>
        <s v="01PL25120826" u="1"/>
        <s v="01PL25122425" u="1"/>
        <s v="01PL26012872" u="1"/>
        <s v="01PL26012732" u="1"/>
        <s v="01PL26021121" u="1"/>
        <s v="01PL260108194" u="1"/>
        <s v="01PL260128193" u="1"/>
        <s v="01PL251008247" u="1"/>
        <s v="01PL251204136" u="1"/>
        <s v="01PL251208145" u="1"/>
        <s v="01PL251224135" u="1"/>
        <s v="01PL260103105" u="1"/>
        <s v="01PL25110426" u="1"/>
        <s v="01PL25112836" u="1"/>
        <s v="01PL26011672" u="1"/>
        <s v="01PL26020732" u="1"/>
        <s v="01PL251105361" u="1"/>
        <s v="01PL251217360" u="1"/>
        <s v="01PL260116377" u="1"/>
        <s v="01PL251120135" u="1"/>
        <s v="01PL260204504" u="1"/>
        <s v="01PL25102576" u="1"/>
        <s v="01PL25120165" u="1"/>
        <s v="01PL25120976" u="1"/>
        <s v="01PL26012039" u="1"/>
        <s v="01PL260119122" u="1"/>
        <s v="01PL260203104" u="1"/>
        <s v="01PL260207205" u="1"/>
        <s v="01PL25120836" u="1"/>
        <s v="01PL25122435" u="1"/>
        <s v="01PL26012882" u="1"/>
        <s v="01PL26012742" u="1"/>
        <s v="01PL251008255" u="1"/>
        <s v="01PL251204144" u="1"/>
        <s v="01PL251208153" u="1"/>
        <s v="01PL251220134" u="1"/>
        <s v="01PL251224143" u="1"/>
        <s v="01PL260127169" u="1"/>
        <s v="01PL25110436" u="1"/>
        <s v="01PL25112846" u="1"/>
        <s v="01PL26011682" u="1"/>
        <s v="01PL26020742" u="1"/>
        <s v="01PL260116385" u="1"/>
        <s v="01PL251120143" u="1"/>
        <s v="01PL260115169" u="1"/>
        <s v="01PL260204512" u="1"/>
        <s v="01PL25102586" u="1"/>
        <s v="01PL25120986" u="1"/>
        <s v="01PL26012049" u="1"/>
        <s v="01PL260115213" u="1"/>
        <s v="01PL260115305" u="1"/>
        <s v="01PL260119130" u="1"/>
        <s v="01PL260203112" u="1"/>
        <s v="01PL260207213" u="1"/>
        <s v="01PL25120846" u="1"/>
        <s v="01PL25122445" u="1"/>
        <s v="01PL251008263" u="1"/>
        <s v="01PL251204152" u="1"/>
        <s v="01PL251220142" u="1"/>
        <s v="01PL260127177" u="1"/>
        <s v="01PL25121385" u="1"/>
        <s v="01PL251027138" u="1"/>
        <s v="01PL25110446" u="1"/>
        <s v="01PL25112856" u="1"/>
        <s v="01PL26011692" u="1"/>
        <s v="01PL26020752" u="1"/>
        <s v="01PL251120199" u="1"/>
        <s v="01PL251212199" u="1"/>
        <s v="01PL260116393" u="1"/>
        <s v="01PL251120151" u="1"/>
        <s v="01PL251124160" u="1"/>
        <s v="01PL260115177" u="1"/>
        <s v="01PL260115269" u="1"/>
        <s v="01PL260203168" u="1"/>
        <s v="01PL260204520" u="1"/>
        <s v="01PL25102596" u="1"/>
        <s v="01PL25120996" u="1"/>
        <s v="01PL26012059" u="1"/>
        <s v="01PL251103129" u="1"/>
        <s v="01PL251107138" u="1"/>
        <s v="01PL251127229" u="1"/>
        <s v="01PL251219137" u="1"/>
        <s v="01PL251219229" u="1"/>
        <s v="01PL260115221" u="1"/>
        <s v="01PL260115313" u="1"/>
        <s v="01PL260119230" u="1"/>
        <s v="01PL260203120" u="1"/>
        <s v="01PL260207221" u="1"/>
        <s v="01PL25120856" u="1"/>
        <s v="01PL26021119" u="1"/>
        <s v="01PL25122315" u="1"/>
        <s v="01PL26021151" u="1"/>
        <s v="01PL251220198" u="1"/>
        <s v="01PL26021011" u="1"/>
        <s v="01PL251008271" u="1"/>
        <s v="01PL251204160" u="1"/>
        <s v="01PL251220150" u="1"/>
        <s v="01PL251003138" u="1"/>
        <s v="01PL251027146" u="1"/>
        <s v="01PL251203128" u="1"/>
        <s v="01PL25110456" u="1"/>
        <s v="01PL260106106" u="1"/>
        <s v="01PL260126105" u="1"/>
        <s v="01PL25101116" u="1"/>
        <s v="01PL25110316" u="1"/>
        <s v="01PL26020762" u="1"/>
        <s v="01PL260204484" u="1"/>
        <s v="01PL26020622" u="1"/>
        <s v="01PL251216628" u="1"/>
        <s v="01PL260115185" u="1"/>
        <s v="01PL260115277" u="1"/>
        <s v="01PL260203176" u="1"/>
        <s v="01PL260207185" u="1"/>
        <s v="01PL26012069" u="1"/>
        <s v="01PL251107146" u="1"/>
        <s v="01PL251127237" u="1"/>
        <s v="01PL251219145" u="1"/>
        <s v="01PL251219237" u="1"/>
        <s v="01PL251231126" u="1"/>
        <s v="01PL26021129" u="1"/>
        <s v="01PL260114105" u="1"/>
        <s v="01PL25122325" u="1"/>
        <s v="01PL26021161" u="1"/>
        <s v="01PL260127193" u="1"/>
        <s v="01PL260106114" u="1"/>
        <s v="01PL260126113" u="1"/>
        <s v="01PL25101126" u="1"/>
        <s v="01PL25110326" u="1"/>
        <s v="01PL26020772" u="1"/>
        <s v="01PL260204492" u="1"/>
        <s v="01PL26020632" u="1"/>
        <s v="01PL260115193" u="1"/>
        <s v="01PL260115285" u="1"/>
        <s v="01PL260203184" u="1"/>
        <s v="01PL260207193" u="1"/>
        <s v="01PL251103145" u="1"/>
        <s v="01PL251127245" u="1"/>
        <s v="01PL251219153" u="1"/>
        <s v="01PL251219245" u="1"/>
        <s v="01PL251231134" u="1"/>
        <s v="01PL26021139" u="1"/>
        <s v="01PL260110104" u="1"/>
        <s v="01PL25122335" u="1"/>
        <s v="01PL26021171" u="1"/>
        <s v="01PL251027162" u="1"/>
        <s v="01PL25110476" u="1"/>
        <s v="01PL260102113" u="1"/>
        <s v="01PL260102205" u="1"/>
        <s v="01PL260122204" u="1"/>
        <s v="01PL260210103" u="1"/>
        <s v="01PL25101136" u="1"/>
        <s v="01PL25110336" u="1"/>
        <s v="01PL25121135" u="1"/>
        <s v="01PL26020642" u="1"/>
        <s v="01PL260115293" u="1"/>
        <s v="01PL251219161" u="1"/>
        <s v="01PL251219253" u="1"/>
        <s v="01PL251231142" u="1"/>
        <s v="01PL260114169" u="1"/>
        <s v="01PL260130159" u="1"/>
        <s v="01PL26021149" u="1"/>
        <s v="01PL260110204" u="1"/>
        <s v="01PL25122345" u="1"/>
        <s v="01PL26021181" u="1"/>
        <s v="01PL260102169" u="1"/>
        <s v="01PL260126177" u="1"/>
        <s v="01PL25110486" u="1"/>
        <s v="01PL251222119" u="1"/>
        <s v="01PL251226128" u="1"/>
        <s v="01PL260102121" u="1"/>
        <s v="01PL260102213" u="1"/>
        <s v="01PL260106130" u="1"/>
        <s v="01PL260122212" u="1"/>
        <s v="01PL260210111" u="1"/>
        <s v="01PL25101146" u="1"/>
        <s v="01PL25110346" u="1"/>
        <s v="01PL25121145" u="1"/>
        <s v="01PL260109107" u="1"/>
        <s v="01PL25112616" u="1"/>
        <s v="01PL25121816" u="1"/>
        <s v="01PL26020652" u="1"/>
        <s v="01PL26011312" u="1"/>
        <s v="01PL26020512" u="1"/>
        <s v="01PL251231150" u="1"/>
        <s v="01PL260110168" u="1"/>
        <s v="01PL260114177" u="1"/>
        <s v="01PL260114269" u="1"/>
        <s v="01PL260130167" u="1"/>
        <s v="01PL25122495" u="1"/>
        <s v="01PL251106138" u="1"/>
        <s v="01PL251126137" u="1"/>
        <s v="01PL251230118" u="1"/>
        <s v="01PL260110120" u="1"/>
        <s v="01PL260110212" u="1"/>
        <s v="01PL260202212" u="1"/>
        <s v="01PL260202304" u="1"/>
        <s v="01PL25122355" u="1"/>
        <s v="01PL260209106" u="1"/>
        <s v="01PL25100617" u="1"/>
        <s v="01PL260211291" u="1"/>
        <s v="01PL25110496" u="1"/>
        <s v="01PL251206229" u="1"/>
        <s v="01PL251222127" u="1"/>
        <s v="01PL251226136" u="1"/>
        <s v="01PL251226228" u="1"/>
        <s v="01PL260102221" u="1"/>
        <s v="01PL260122220" u="1"/>
        <s v="01PL25101156" u="1"/>
        <s v="01PL25110356" u="1"/>
        <s v="01PL25121155" u="1"/>
        <s v="01PL260109115" u="1"/>
        <s v="01PL260109207" u="1"/>
        <s v="01PL25101016" u="1"/>
        <s v="01PL25112626" u="1"/>
        <s v="01PL25121826" u="1"/>
        <s v="01PL26011462" u="1"/>
        <s v="01PL26020662" u="1"/>
        <s v="01PL26011322" u="1"/>
        <s v="01PL26020522" u="1"/>
        <s v="01PL260114185" u="1"/>
        <s v="01PL260114277" u="1"/>
        <s v="01PL260202268" u="1"/>
        <s v="01PL26021169" u="1"/>
        <s v="01PL251106146" u="1"/>
        <s v="01PL251126145" u="1"/>
        <s v="01PL251230126" u="1"/>
        <s v="01PL260110220" u="1"/>
        <s v="01PL260202220" u="1"/>
        <s v="01PL260202312" u="1"/>
        <s v="01PL25122365" u="1"/>
        <s v="01PL260209114" u="1"/>
        <s v="01PL25100627" u="1"/>
        <s v="01PL26012672" u="1"/>
        <s v="01PL26021061" u="1"/>
        <s v="01PL260102185" u="1"/>
        <s v="01PL251118154" u="1"/>
        <s v="01PL251202228" u="1"/>
        <s v="01PL251206237" u="1"/>
        <s v="01PL251222135" u="1"/>
        <s v="01PL251226144" u="1"/>
        <s v="01PL25110366" u="1"/>
        <s v="01PL25121165" u="1"/>
        <s v="01PL260109123" u="1"/>
        <s v="01PL260129306" u="1"/>
        <s v="01PL25101026" u="1"/>
        <s v="01PL25112636" u="1"/>
        <s v="01PL25121836" u="1"/>
        <s v="01PL26011472" u="1"/>
        <s v="01PL26011332" u="1"/>
        <s v="01PL26020532" u="1"/>
        <s v="01PL260110184" u="1"/>
        <s v="01PL260114193" u="1"/>
        <s v="01PL260114285" u="1"/>
        <s v="01PL260202276" u="1"/>
        <s v="01PL26021179" u="1"/>
        <s v="01PL251106154" u="1"/>
        <s v="01PL251126153" u="1"/>
        <s v="01PL251230134" u="1"/>
        <s v="01PL260202320" u="1"/>
        <s v="01PL25122375" u="1"/>
        <s v="01PL260209122" u="1"/>
        <s v="01PL25100637" u="1"/>
        <s v="01PL25111436" u="1"/>
        <s v="01PL26012682" u="1"/>
        <s v="01PL26021071" u="1"/>
        <s v="01PL260102193" u="1"/>
        <s v="01PL260122192" u="1"/>
        <s v="01PL251114429" u="1"/>
        <s v="01PL251202236" u="1"/>
        <s v="01PL251202328" u="1"/>
        <s v="01PL251206245" u="1"/>
        <s v="01PL251222143" u="1"/>
        <s v="01PL251226152" u="1"/>
        <s v="01PL260109179" u="1"/>
        <s v="01PL25121175" u="1"/>
        <s v="01PL251229129" u="1"/>
        <s v="01PL260129314" u="1"/>
        <s v="01PL2510087" u="1"/>
        <s v="01PL25101036" u="1"/>
        <s v="01PL25112646" u="1"/>
        <s v="01PL25121846" u="1"/>
        <s v="01PL26011482" u="1"/>
        <s v="01PL26011342" u="1"/>
        <s v="01PL26020542" u="1"/>
        <s v="01PL260110192" u="1"/>
        <s v="01PL260114293" u="1"/>
        <s v="01PL251010153" u="1"/>
        <s v="01PL251126161" u="1"/>
        <s v="01PL25122385" u="1"/>
        <s v="01PL251125129" u="1"/>
        <s v="01PL260209130" u="1"/>
        <s v="01PL25100647" u="1"/>
        <s v="01PL26012692" u="1"/>
        <s v="01PL26021081" u="1"/>
        <s v="01PL25102917" u="1"/>
        <s v="01PL25122916" u="1"/>
        <s v="01PL251222199" u="1"/>
        <s v="01PL26010813" u="1"/>
        <s v="01PL251022253" u="1"/>
        <s v="01PL251114437" u="1"/>
        <s v="01PL251202152" u="1"/>
        <s v="01PL251202244" u="1"/>
        <s v="01PL251202336" u="1"/>
        <s v="01PL251206253" u="1"/>
        <s v="01PL251222151" u="1"/>
        <s v="01PL251226160" u="1"/>
        <s v="01PL260109187" u="1"/>
        <s v="01PL260129278" u="1"/>
        <s v="01PL25110386" u="1"/>
        <s v="01PL25121185" u="1"/>
        <s v="01PL251229137" u="1"/>
        <s v="01PL260129322" u="1"/>
        <s v="01PL25101046" u="1"/>
        <s v="01PL25112656" u="1"/>
        <s v="01PL25121856" u="1"/>
        <s v="01PL26011492" u="1"/>
        <s v="01PL260108107" u="1"/>
        <s v="01PL25112516" u="1"/>
        <s v="01PL26011352" u="1"/>
        <s v="01PL26020552" u="1"/>
        <s v="01PL251230198" u="1"/>
        <s v="01PL260202292" u="1"/>
        <s v="01PL26011212" u="1"/>
        <s v="01PL251010161" u="1"/>
        <s v="01PL25122395" u="1"/>
        <s v="01PL26021059" u="1"/>
        <s v="01PL251125137" u="1"/>
        <s v="01PL26021091" u="1"/>
        <s v="01PL260116106" u="1"/>
        <s v="01PL25102116" u="1"/>
        <s v="01PL25102927" u="1"/>
        <s v="01PL25122926" u="1"/>
        <s v="01PL26010823" u="1"/>
        <s v="01PL251022261" u="1"/>
        <s v="01PL251114445" u="1"/>
        <s v="01PL251202252" u="1"/>
        <s v="01PL251206261" u="1"/>
        <s v="01PL260109195" u="1"/>
        <s v="01PL260129286" u="1"/>
        <s v="01PL25110396" u="1"/>
        <s v="01PL25121195" u="1"/>
        <s v="01PL251229145" u="1"/>
        <s v="01PL25101056" u="1"/>
        <s v="01PL25121866" u="1"/>
        <s v="01PL260108207" u="1"/>
        <s v="01PL260128206" u="1"/>
        <s v="01PL25110116" u="1"/>
        <s v="01PL25112526" u="1"/>
        <s v="01PL26011362" u="1"/>
        <s v="01PL26020562" u="1"/>
        <s v="01PL26011222" u="1"/>
        <s v="01PL26021069" u="1"/>
        <s v="01PL251105238" u="1"/>
        <s v="01PL251125145" u="1"/>
        <s v="01PL251217329" u="1"/>
        <s v="01PL260116114" u="1"/>
        <s v="01PL260204105" u="1"/>
        <s v="01PL25102126" u="1"/>
        <s v="01PL25102937" u="1"/>
        <s v="01PL25122936" u="1"/>
        <s v="01PL26010833" u="1"/>
        <s v="01PL251114453" u="1"/>
        <s v="01PL260129294" u="1"/>
        <s v="01PL251229153" u="1"/>
        <s v="01PL25101066" u="1"/>
        <s v="01PL25121876" u="1"/>
        <s v="01PL25101737" u="1"/>
        <s v="01PL25110126" u="1"/>
        <s v="01PL25112536" u="1"/>
        <s v="01PL26011372" u="1"/>
        <s v="01PL26020572" u="1"/>
        <s v="01PL2510062" u="1"/>
        <s v="01PL26011232" u="1"/>
        <s v="01PL26021079" u="1"/>
        <s v="01PL251105246" u="1"/>
        <s v="01PL251105338" u="1"/>
        <s v="01PL251125153" u="1"/>
        <s v="01PL251217337" u="1"/>
        <s v="01PL260116122" u="1"/>
        <s v="01PL260204113" u="1"/>
        <s v="01PL260204205" u="1"/>
        <s v="01PL25102136" u="1"/>
        <s v="01PL25102947" u="1"/>
        <s v="01PL25122946" u="1"/>
        <s v="01PL26010843" u="1"/>
        <s v="01PL26012442" u="1"/>
        <s v="01PL251114461" u="1"/>
        <s v="01PL251229161" u="1"/>
        <s v="01PL260108179" u="1"/>
        <s v="01PL25121886" u="1"/>
        <s v="01PL260128222" u="1"/>
        <s v="01PL25110136" u="1"/>
        <s v="01PL25112546" u="1"/>
        <s v="01PL26011382" u="1"/>
        <s v="01PL26020582" u="1"/>
        <s v="01PL2510063" u="1"/>
        <s v="01PL26011242" u="1"/>
        <s v="01PL26011913" u="1"/>
        <s v="01PL26021089" u="1"/>
        <s v="01PL251105254" u="1"/>
        <s v="01PL251105346" u="1"/>
        <s v="01PL251125161" u="1"/>
        <s v="01PL251217345" u="1"/>
        <s v="01PL260204169" u="1"/>
        <s v="01PL260116406" u="1"/>
        <s v="01PL260204121" u="1"/>
        <s v="01PL25102146" u="1"/>
        <s v="01PL25122956" u="1"/>
        <s v="01PL26010993" u="1"/>
        <s v="01PL260119107" u="1"/>
        <s v="01PL26010853" u="1"/>
        <s v="01PL26012452" u="1"/>
        <s v="01PL260108187" u="1"/>
        <s v="01PL260128186" u="1"/>
        <s v="01PL25121896" u="1"/>
        <s v="01PL251204129" u="1"/>
        <s v="01PL251208138" u="1"/>
        <s v="01PL251224128" u="1"/>
        <s v="01PL260128230" u="1"/>
        <s v="01PL25101757" u="1"/>
        <s v="01PL25110146" u="1"/>
        <s v="01PL25112556" u="1"/>
        <s v="01PL26011392" u="1"/>
        <s v="01PL26020592" u="1"/>
        <s v="01PL2510064" u="1"/>
        <s v="01PL25110817" u="1"/>
        <s v="01PL25112416" u="1"/>
        <s v="01PL25121616" u="1"/>
        <s v="01PL26011252" u="1"/>
        <s v="01PL26020452" u="1"/>
        <s v="01PL26011923" u="1"/>
        <s v="01PL26021099" u="1"/>
        <s v="01PL251105262" u="1"/>
        <s v="01PL251105354" u="1"/>
        <s v="01PL251217353" u="1"/>
        <s v="01PL251120128" u="1"/>
        <s v="01PL260116414" u="1"/>
        <s v="01PL25122966" u="1"/>
        <s v="01PL260119115" u="1"/>
        <s v="01PL25100417" u="1"/>
        <s v="01PL25102016" u="1"/>
        <s v="01PL25111216" u="1"/>
        <s v="01PL26010863" u="1"/>
        <s v="01PL26012462" u="1"/>
        <s v="01PL260108195" u="1"/>
        <s v="01PL260128194" u="1"/>
        <s v="01PL251008248" u="1"/>
        <s v="01PL251204137" u="1"/>
        <s v="01PL251208146" u="1"/>
        <s v="01PL251224136" u="1"/>
        <s v="01PL25101767" u="1"/>
        <s v="01PL25112566" u="1"/>
        <s v="01PL260103106" u="1"/>
        <s v="01PL2510065" u="1"/>
        <s v="01PL25110827" u="1"/>
        <s v="01PL25112426" u="1"/>
        <s v="01PL25121626" u="1"/>
        <s v="01PL26020462" u="1"/>
        <s v="01PL2510292" u="1"/>
        <s v="01PL26011933" u="1"/>
        <s v="01PL251105270" u="1"/>
        <s v="01PL251105362" u="1"/>
        <s v="01PL251217361" u="1"/>
        <s v="01PL260116378" u="1"/>
        <s v="01PL251120136" u="1"/>
        <s v="01PL260204505" u="1"/>
        <s v="01PL25122976" u="1"/>
        <s v="01PL260119123" u="1"/>
        <s v="01PL260203105" u="1"/>
        <s v="01PL260207206" u="1"/>
        <s v="01PL25100427" u="1"/>
        <s v="01PL25102026" u="1"/>
        <s v="01PL25111226" u="1"/>
        <s v="01PL26010873" u="1"/>
        <s v="01PL26012472" u="1"/>
        <s v="01PL251008256" u="1"/>
        <s v="01PL251204145" u="1"/>
        <s v="01PL251208154" u="1"/>
        <s v="01PL251220135" u="1"/>
        <s v="01PL251224144" u="1"/>
        <s v="01PL25101777" u="1"/>
        <s v="01PL25112576" u="1"/>
        <s v="01PL2510066" u="1"/>
        <s v="01PL25110837" u="1"/>
        <s v="01PL25112436" u="1"/>
        <s v="01PL25121636" u="1"/>
        <s v="01PL26020472" u="1"/>
        <s v="01PL2510293" u="1"/>
        <s v="01PL26011943" u="1"/>
        <s v="01PL260116386" u="1"/>
        <s v="01PL251120144" u="1"/>
        <s v="01PL260204513" u="1"/>
        <s v="01PL25122986" u="1"/>
        <s v="01PL260115214" u="1"/>
        <s v="01PL260115306" u="1"/>
        <s v="01PL260119131" u="1"/>
        <s v="01PL260207214" u="1"/>
        <s v="01PL25100437" u="1"/>
        <s v="01PL25102036" u="1"/>
        <s v="01PL25111236" u="1"/>
        <s v="01PL26010883" u="1"/>
        <s v="01PL26012482" u="1"/>
        <s v="01PL251008264" u="1"/>
        <s v="01PL251220143" u="1"/>
        <s v="01PL260127178" u="1"/>
        <s v="01PL25101787" u="1"/>
        <s v="01PL25112586" u="1"/>
        <s v="01PL251027139" u="1"/>
        <s v="01PL2510067" u="1"/>
        <s v="01PL25112446" u="1"/>
        <s v="01PL25121646" u="1"/>
        <s v="01PL26020482" u="1"/>
        <s v="01PL2510294" u="1"/>
        <s v="01PL26011953" u="1"/>
        <s v="01PL251120152" u="1"/>
        <s v="01PL251124161" u="1"/>
        <s v="01PL260203169" u="1"/>
        <s v="01PL260204521" u="1"/>
        <s v="01PL25122996" u="1"/>
        <s v="01PL251107139" u="1"/>
        <s v="01PL251219138" u="1"/>
        <s v="01PL251231119" u="1"/>
        <s v="01PL260115222" u="1"/>
        <s v="01PL260115314" u="1"/>
        <s v="01PL260119231" u="1"/>
        <s v="01PL260203121" u="1"/>
        <s v="01PL260207222" u="1"/>
        <s v="01PL25100447" u="1"/>
        <s v="01PL25102046" u="1"/>
        <s v="01PL25111246" u="1"/>
        <s v="01PL26010893" u="1"/>
        <s v="01PL26012492" u="1"/>
        <s v="01PL25122716" u="1"/>
        <s v="01PL251220199" u="1"/>
        <s v="01PL251204161" u="1"/>
        <s v="01PL251220151" u="1"/>
        <s v="01PL260127186" u="1"/>
        <s v="01PL25101797" u="1"/>
        <s v="01PL25112596" u="1"/>
        <s v="01PL251003139" u="1"/>
        <s v="01PL251027147" u="1"/>
        <s v="01PL251203129" u="1"/>
        <s v="01PL2510068" u="1"/>
        <s v="01PL25110857" u="1"/>
        <s v="01PL25121656" u="1"/>
        <s v="01PL26020492" u="1"/>
        <s v="01PL260106107" u="1"/>
        <s v="01PL260126106" u="1"/>
        <s v="01PL2510295" u="1"/>
        <s v="01PL25110717" u="1"/>
        <s v="01PL25123115" u="1"/>
        <s v="01PL26011963" u="1"/>
        <s v="01PL260204485" u="1"/>
        <s v="01PL26020212" u="1"/>
        <s v="01PL251120160" u="1"/>
        <s v="01PL251216629" u="1"/>
        <s v="01PL260115186" u="1"/>
        <s v="01PL260203177" u="1"/>
        <s v="01PL251103138" u="1"/>
        <s v="01PL251107147" u="1"/>
        <s v="01PL251127238" u="1"/>
        <s v="01PL251219146" u="1"/>
        <s v="01PL251219238" u="1"/>
        <s v="01PL251231127" u="1"/>
        <s v="01PL260207230" u="1"/>
        <s v="01PL25111116" u="1"/>
        <s v="01PL25120316" u="1"/>
        <s v="01PL25122726" u="1"/>
        <s v="01PL2511081" u="1"/>
        <s v="01PL260127194" u="1"/>
        <s v="01PL2510069" u="1"/>
        <s v="01PL25110867" u="1"/>
        <s v="01PL260106115" u="1"/>
        <s v="01PL260126114" u="1"/>
        <s v="01PL2510296" u="1"/>
        <s v="01PL25101527" u="1"/>
        <s v="01PL25110727" u="1"/>
        <s v="01PL25123125" u="1"/>
        <s v="01PL260204493" u="1"/>
        <s v="01PL26020222" u="1"/>
        <s v="01PL260115194" u="1"/>
        <s v="01PL260115286" u="1"/>
        <s v="01PL260207194" u="1"/>
        <s v="01PL251103146" u="1"/>
        <s v="01PL251107155" u="1"/>
        <s v="01PL251127246" u="1"/>
        <s v="01PL251219154" u="1"/>
        <s v="01PL251219246" u="1"/>
        <s v="01PL251231135" u="1"/>
        <s v="01PL260110105" u="1"/>
        <s v="01PL25111126" u="1"/>
        <s v="01PL25120326" u="1"/>
        <s v="01PL25122736" u="1"/>
        <s v="01PL26010773" u="1"/>
        <s v="01PL2511082" u="1"/>
        <s v="01PL25110877" u="1"/>
        <s v="01PL260102114" u="1"/>
        <s v="01PL260102206" u="1"/>
        <s v="01PL260106123" u="1"/>
        <s v="01PL260122205" u="1"/>
        <s v="01PL260126122" u="1"/>
        <s v="01PL260210104" u="1"/>
        <s v="01PL2510297" u="1"/>
        <s v="01PL25101537" u="1"/>
        <s v="01PL25110737" u="1"/>
        <s v="01PL25123135" u="1"/>
        <s v="01PL26011983" u="1"/>
        <s v="01PL2510042" u="1"/>
        <s v="01PL26020232" u="1"/>
        <s v="01PL260115294" u="1"/>
        <s v="01PL251219162" u="1"/>
        <s v="01PL251219254" u="1"/>
        <s v="01PL251231143" u="1"/>
        <s v="01PL260110205" u="1"/>
        <s v="01PL25111136" u="1"/>
        <s v="01PL25120336" u="1"/>
        <s v="01PL25122746" u="1"/>
        <s v="01PL2511083" u="1"/>
        <s v="01PL260126178" u="1"/>
        <s v="01PL260102122" u="1"/>
        <s v="01PL260102214" u="1"/>
        <s v="01PL260106131" u="1"/>
        <s v="01PL260122213" u="1"/>
        <s v="01PL260126130" u="1"/>
        <s v="01PL260210112" u="1"/>
        <s v="01PL2510298" u="1"/>
        <s v="01PL25101547" u="1"/>
        <s v="01PL25110747" u="1"/>
        <s v="01PL25123145" u="1"/>
        <s v="01PL26011993" u="1"/>
        <s v="01PL260109108" u="1"/>
        <s v="01PL2510043" u="1"/>
        <s v="01PL26020242" u="1"/>
        <s v="01PL26011713" u="1"/>
        <s v="01PL26020913" u="1"/>
        <s v="01PL251219170" u="1"/>
        <s v="01PL251231151" u="1"/>
        <s v="01PL260110169" u="1"/>
        <s v="01PL260114178" u="1"/>
        <s v="01PL260130168" u="1"/>
        <s v="01PL251106139" u="1"/>
        <s v="01PL251126138" u="1"/>
        <s v="01PL251230119" u="1"/>
        <s v="01PL260110121" u="1"/>
        <s v="01PL260110213" u="1"/>
        <s v="01PL260202213" u="1"/>
        <s v="01PL260202305" u="1"/>
        <s v="01PL25111146" u="1"/>
        <s v="01PL25120346" u="1"/>
        <s v="01PL260209107" u="1"/>
        <s v="01PL2511084" u="1"/>
        <s v="01PL25122616" u="1"/>
        <s v="01PL26010513" u="1"/>
        <s v="01PL26012112" u="1"/>
        <s v="01PL260102178" u="1"/>
        <s v="01PL251222128" u="1"/>
        <s v="01PL251226137" u="1"/>
        <s v="01PL260102130" u="1"/>
        <s v="01PL260102222" u="1"/>
        <s v="01PL260122221" u="1"/>
        <s v="01PL260210120" u="1"/>
        <s v="01PL2510299" u="1"/>
        <s v="01PL25101557" u="1"/>
        <s v="01PL25121556" u="1"/>
        <s v="01PL25123155" u="1"/>
        <s v="01PL260105107" u="1"/>
        <s v="01PL260109116" u="1"/>
        <s v="01PL260109208" u="1"/>
        <s v="01PL2510044" u="1"/>
        <s v="01PL25110617" u="1"/>
        <s v="01PL26020252" u="1"/>
        <s v="01PL26011723" u="1"/>
        <s v="01PL26020923" u="1"/>
        <s v="01PL260114186" u="1"/>
        <s v="01PL260114278" u="1"/>
        <s v="01PL260130176" u="1"/>
        <s v="01PL260202269" u="1"/>
        <s v="01PL251106147" u="1"/>
        <s v="01PL251126146" u="1"/>
        <s v="01PL251230127" u="1"/>
        <s v="01PL260110221" u="1"/>
        <s v="01PL260202221" u="1"/>
        <s v="01PL260202313" u="1"/>
        <s v="01PL25111156" u="1"/>
        <s v="01PL25120356" u="1"/>
        <s v="01PL25122766" u="1"/>
        <s v="01PL260209115" u="1"/>
        <s v="01PL2511085" u="1"/>
        <s v="01PL25111016" u="1"/>
        <s v="01PL25122626" u="1"/>
        <s v="01PL26010523" u="1"/>
        <s v="01PL26012122" u="1"/>
        <s v="01PL260102186" u="1"/>
        <s v="01PL251118155" u="1"/>
        <s v="01PL251202229" u="1"/>
        <s v="01PL251206238" u="1"/>
        <s v="01PL251222136" u="1"/>
        <s v="01PL251226145" u="1"/>
        <s v="01PL25121566" u="1"/>
        <s v="01PL25123165" u="1"/>
        <s v="01PL260109124" u="1"/>
        <s v="01PL260129307" u="1"/>
        <s v="01PL2510045" u="1"/>
        <s v="01PL25110627" u="1"/>
        <s v="01PL26011062" u="1"/>
        <s v="01PL26020262" u="1"/>
        <s v="01PL26011733" u="1"/>
        <s v="01PL26020933" u="1"/>
        <s v="01PL260110185" u="1"/>
        <s v="01PL260114194" u="1"/>
        <s v="01PL260114286" u="1"/>
        <s v="01PL260202277" u="1"/>
        <s v="01PL251106155" u="1"/>
        <s v="01PL251126154" u="1"/>
        <s v="01PL251230135" u="1"/>
        <s v="01PL260202321" u="1"/>
        <s v="01PL25111166" u="1"/>
        <s v="01PL25120366" u="1"/>
        <s v="01PL25122776" u="1"/>
        <s v="01PL260209123" u="1"/>
        <s v="01PL2511086" u="1"/>
        <s v="01PL25111026" u="1"/>
        <s v="01PL25122636" u="1"/>
        <s v="01PL26010673" u="1"/>
        <s v="01PL2511072" u="1"/>
        <s v="01PL26010533" u="1"/>
        <s v="01PL26012132" u="1"/>
        <s v="01PL25100930" u="1"/>
        <s v="01PL251202237" u="1"/>
        <s v="01PL251202329" u="1"/>
        <s v="01PL251206246" u="1"/>
        <s v="01PL251222144" u="1"/>
        <s v="01PL251226153" u="1"/>
        <s v="01PL25121576" u="1"/>
        <s v="01PL25123175" u="1"/>
        <s v="01PL260109132" u="1"/>
        <s v="01PL260129315" u="1"/>
        <s v="01PL2510046" u="1"/>
        <s v="01PL25110637" u="1"/>
        <s v="01PL26011072" u="1"/>
        <s v="01PL26011743" u="1"/>
        <s v="01PL26020943" u="1"/>
        <s v="01PL260110193" u="1"/>
        <s v="01PL260114294" u="1"/>
        <s v="01PL260202285" u="1"/>
        <s v="01PL251010154" u="1"/>
        <s v="01PL251126162" u="1"/>
        <s v="01PL25100377" u="1"/>
        <s v="01PL25111176" u="1"/>
        <s v="01PL25120376" u="1"/>
        <s v="01PL25122786" u="1"/>
        <s v="01PL2511087" u="1"/>
        <s v="01PL25111036" u="1"/>
        <s v="01PL26010683" u="1"/>
        <s v="01PL2511073" u="1"/>
        <s v="01PL26012142" u="1"/>
        <s v="01PL25100940" u="1"/>
        <s v="01PL26012813" u="1"/>
        <s v="01PL251022254" u="1"/>
        <s v="01PL251114438" u="1"/>
        <s v="01PL251202153" u="1"/>
        <s v="01PL251202245" u="1"/>
        <s v="01PL251206254" u="1"/>
        <s v="01PL251222152" u="1"/>
        <s v="01PL251226161" u="1"/>
        <s v="01PL260109188" u="1"/>
        <s v="01PL260129279" u="1"/>
        <s v="01PL25103186" u="1"/>
        <s v="01PL25121586" u="1"/>
        <s v="01PL25123185" u="1"/>
        <s v="01PL260109140" u="1"/>
        <s v="01PL260129323" u="1"/>
        <s v="01PL2510047" u="1"/>
        <s v="01PL25110647" u="1"/>
        <s v="01PL26011082" u="1"/>
        <s v="01PL260108108" u="1"/>
        <s v="01PL2511194" u="1"/>
        <s v="01PL26011753" u="1"/>
        <s v="01PL26020953" u="1"/>
        <s v="01PL251230199" u="1"/>
        <s v="01PL260202293" u="1"/>
        <s v="01PL26011613" u="1"/>
        <s v="01PL25100387" u="1"/>
        <s v="01PL25120386" u="1"/>
        <s v="01PL25122796" u="1"/>
        <s v="01PL251125138" u="1"/>
        <s v="01PL2511088" u="1"/>
        <s v="01PL25111046" u="1"/>
        <s v="01PL26010693" u="1"/>
        <s v="01PL251017100" u="1"/>
        <s v="01PL2511074" u="1"/>
        <s v="01PL25102517" u="1"/>
        <s v="01PL25122516" u="1"/>
        <s v="01PL26010553" u="1"/>
        <s v="01PL26012152" u="1"/>
        <s v="01PL25100950" u="1"/>
        <s v="01PL26012823" u="1"/>
        <s v="01PL251022262" u="1"/>
        <s v="01PL251114446" u="1"/>
        <s v="01PL251202161" u="1"/>
        <s v="01PL251202253" u="1"/>
        <s v="01PL251206262" u="1"/>
        <s v="01PL251222160" u="1"/>
        <s v="01PL260109196" u="1"/>
        <s v="01PL260129287" u="1"/>
        <s v="01PL260129379" u="1"/>
        <s v="01PL25100810" u="1"/>
        <s v="01PL25121596" u="1"/>
        <s v="01PL25123195" u="1"/>
        <s v="01PL251229146" u="1"/>
        <s v="01PL260129331" u="1"/>
        <s v="01PL2510048" u="1"/>
        <s v="01PL25110657" u="1"/>
        <s v="01PL26011092" u="1"/>
        <s v="01PL260128207" u="1"/>
        <s v="01PL2511195" u="1"/>
        <s v="01PL25101317" u="1"/>
        <s v="01PL25121316" u="1"/>
        <s v="01PL26011763" u="1"/>
        <s v="01PL26020963" u="1"/>
        <s v="01PL26011623" u="1"/>
        <s v="01PL251010170" u="1"/>
        <s v="01PL25100397" u="1"/>
        <s v="01PL25120396" u="1"/>
        <s v="01PL251105239" u="1"/>
        <s v="01PL251125146" u="1"/>
        <s v="01PL2511089" u="1"/>
        <s v="01PL260116115" u="1"/>
        <s v="01PL260204106" u="1"/>
        <s v="01PL2511075" u="1"/>
        <s v="01PL25100928" u="1"/>
        <s v="01PL25102527" u="1"/>
        <s v="01PL25120116" u="1"/>
        <s v="01PL25122526" u="1"/>
        <s v="01PL26010563" u="1"/>
        <s v="01PL26012162" u="1"/>
        <s v="01PL25100960" u="1"/>
        <s v="01PL26012833" u="1"/>
        <s v="01PL251022270" u="1"/>
        <s v="01PL251114454" u="1"/>
        <s v="01PL251202261" u="1"/>
        <s v="01PL260129295" u="1"/>
        <s v="01PL251229154" u="1"/>
        <s v="01PL2510049" u="1"/>
        <s v="01PL260128215" u="1"/>
        <s v="01PL2511196" u="1"/>
        <s v="01PL25101327" u="1"/>
        <s v="01PL26011773" u="1"/>
        <s v="01PL26020973" u="1"/>
        <s v="01PL26011633" u="1"/>
        <s v="01PL251105247" u="1"/>
        <s v="01PL251105339" u="1"/>
        <s v="01PL251125154" u="1"/>
        <s v="01PL251217338" u="1"/>
        <s v="01PL25111877" u="1"/>
        <s v="01PL260204114" u="1"/>
        <s v="01PL260204206" u="1"/>
        <s v="01PL2511076" u="1"/>
        <s v="01PL25100938" u="1"/>
        <s v="01PL25102537" u="1"/>
        <s v="01PL25122536" u="1"/>
        <s v="01PL26010573" u="1"/>
        <s v="01PL2511062" u="1"/>
        <s v="01PL26012843" u="1"/>
        <s v="01PL251114462" u="1"/>
        <s v="01PL260128223" u="1"/>
        <s v="01PL2511197" u="1"/>
        <s v="01PL25101337" u="1"/>
        <s v="01PL25121336" u="1"/>
        <s v="01PL26011783" u="1"/>
        <s v="01PL26020983" u="1"/>
        <s v="01PL26011643" u="1"/>
        <s v="01PL251105255" u="1"/>
        <s v="01PL251105347" u="1"/>
        <s v="01PL251125162" u="1"/>
        <s v="01PL251217346" u="1"/>
        <s v="01PL25111076" u="1"/>
        <s v="01PL25111887" u="1"/>
        <s v="01PL260204122" u="1"/>
        <s v="01PL2511077" u="1"/>
        <s v="01PL25100948" u="1"/>
        <s v="01PL25102547" u="1"/>
        <s v="01PL25120136" u="1"/>
        <s v="01PL25122546" u="1"/>
        <s v="01PL26010583" u="1"/>
        <s v="01PL260119108" u="1"/>
        <s v="01PL2511063" u="1"/>
        <s v="01PL26012853" u="1"/>
        <s v="01PL26012713" u="1"/>
        <s v="01PL251209263" u="1"/>
        <s v="01PL260108188" u="1"/>
        <s v="01PL260128187" u="1"/>
        <s v="01PL25123085" u="1"/>
        <s v="01PL251208139" u="1"/>
        <s v="01PL251224129" u="1"/>
        <s v="01PL260128231" u="1"/>
        <s v="01PL2511198" u="1"/>
        <s v="01PL25101347" u="1"/>
        <s v="01PL25121346" u="1"/>
        <s v="01PL26011793" u="1"/>
        <s v="01PL26020993" u="1"/>
        <s v="01PL25112817" u="1"/>
        <s v="01PL26011653" u="1"/>
        <s v="01PL26020713" u="1"/>
        <s v="01PL251105263" u="1"/>
        <s v="01PL251105355" u="1"/>
        <s v="01PL251125170" u="1"/>
        <s v="01PL251217354" u="1"/>
        <s v="01PL260204178" u="1"/>
        <s v="01PL25111086" u="1"/>
        <s v="01PL25111897" u="1"/>
        <s v="01PL251120129" u="1"/>
        <s v="01PL260116415" u="1"/>
        <s v="01PL260204130" u="1"/>
        <s v="01PL2511078" u="1"/>
        <s v="01PL25100958" u="1"/>
        <s v="01PL25102557" u="1"/>
        <s v="01PL25120146" u="1"/>
        <s v="01PL25122556" u="1"/>
        <s v="01PL26010593" u="1"/>
        <s v="01PL260119116" u="1"/>
        <s v="01PL2511064" u="1"/>
        <s v="01PL25120817" u="1"/>
        <s v="01PL25122416" u="1"/>
        <s v="01PL26012863" u="1"/>
        <s v="01PL26012723" u="1"/>
        <s v="01PL26021112" u="1"/>
        <s v="01PL260108196" u="1"/>
        <s v="01PL260128195" u="1"/>
        <s v="01PL25123095" u="1"/>
        <s v="01PL251008249" u="1"/>
        <s v="01PL251204138" u="1"/>
        <s v="01PL251208147" u="1"/>
        <s v="01PL251220128" u="1"/>
        <s v="01PL251224137" u="1"/>
        <s v="01PL2511199" u="1"/>
        <s v="01PL25101357" u="1"/>
        <s v="01PL25121356" u="1"/>
        <s v="01PL260103107" u="1"/>
        <s v="01PL25110417" u="1"/>
        <s v="01PL25112827" u="1"/>
        <s v="01PL26020723" u="1"/>
        <s v="01PL251217362" u="1"/>
        <s v="01PL260116379" u="1"/>
        <s v="01PL25111096" u="1"/>
        <s v="01PL251120137" u="1"/>
        <s v="01PL260204506" u="1"/>
        <s v="01PL2511079" u="1"/>
        <s v="01PL25100968" u="1"/>
        <s v="01PL25102567" u="1"/>
        <s v="01PL25120156" u="1"/>
        <s v="01PL25120967" u="1"/>
        <s v="01PL260119124" u="1"/>
        <s v="01PL260203106" u="1"/>
        <s v="01PL260207207" u="1"/>
        <s v="01PL2511065" u="1"/>
        <s v="01PL25120827" u="1"/>
        <s v="01PL25122426" u="1"/>
        <s v="01PL26012873" u="1"/>
        <s v="01PL26010323" u="1"/>
        <s v="01PL26012733" u="1"/>
        <s v="01PL251204146" u="1"/>
        <s v="01PL251208155" u="1"/>
        <s v="01PL251220136" u="1"/>
        <s v="01PL25110427" u="1"/>
        <s v="01PL25112837" u="1"/>
        <s v="01PL26011673" u="1"/>
        <s v="01PL26020733" u="1"/>
        <s v="01PL251217370" u="1"/>
        <s v="01PL260116387" u="1"/>
        <s v="01PL251120145" u="1"/>
        <s v="01PL260204514" u="1"/>
        <s v="01PL25102577" u="1"/>
        <s v="01PL25120166" u="1"/>
        <s v="01PL25120977" u="1"/>
        <s v="01PL260115215" u="1"/>
        <s v="01PL260115307" u="1"/>
        <s v="01PL260119132" u="1"/>
        <s v="01PL260203114" u="1"/>
        <s v="01PL260207215" u="1"/>
        <s v="01PL2511066" u="1"/>
        <s v="01PL25120837" u="1"/>
        <s v="01PL25122436" u="1"/>
        <s v="01PL26012883" u="1"/>
        <s v="01PL26010333" u="1"/>
        <s v="01PL26021132" u="1"/>
        <s v="01PL251008265" u="1"/>
        <s v="01PL251204154" u="1"/>
        <s v="01PL251220144" u="1"/>
        <s v="01PL260127179" u="1"/>
        <s v="01PL25110437" u="1"/>
        <s v="01PL25112847" u="1"/>
        <s v="01PL26011683" u="1"/>
        <s v="01PL2510253" u="1"/>
        <s v="01PL26020743" u="1"/>
        <s v="01PL260116395" u="1"/>
        <s v="01PL251120153" u="1"/>
        <s v="01PL251216346" u="1"/>
        <s v="01PL260115179" u="1"/>
        <s v="01PL260204522" u="1"/>
        <s v="01PL25102587" u="1"/>
        <s v="01PL25120987" u="1"/>
        <s v="01PL251219139" u="1"/>
        <s v="01PL260115223" u="1"/>
        <s v="01PL260115315" u="1"/>
        <s v="01PL260119232" u="1"/>
        <s v="01PL260203122" u="1"/>
        <s v="01PL260207223" u="1"/>
        <s v="01PL2511067" u="1"/>
        <s v="01PL25120847" u="1"/>
        <s v="01PL25122446" u="1"/>
        <s v="01PL26010343" u="1"/>
        <s v="01PL26021142" u="1"/>
        <s v="01PL251008273" u="1"/>
        <s v="01PL251204162" u="1"/>
        <s v="01PL251220152" u="1"/>
        <s v="01PL260127187" u="1"/>
        <s v="01PL25121386" u="1"/>
        <s v="01PL251027148" u="1"/>
        <s v="01PL26011693" u="1"/>
        <s v="01PL260106108" u="1"/>
        <s v="01PL260126107" u="1"/>
        <s v="01PL2510254" u="1"/>
        <s v="01PL26020753" u="1"/>
        <s v="01PL260204486" u="1"/>
        <s v="01PL251120161" u="1"/>
        <s v="01PL251124170" u="1"/>
        <s v="01PL260115187" u="1"/>
        <s v="01PL260115279" u="1"/>
        <s v="01PL260203178" u="1"/>
        <s v="01PL260204530" u="1"/>
        <s v="01PL260207187" u="1"/>
        <s v="01PL25102597" u="1"/>
        <s v="01PL25120997" u="1"/>
        <s v="01PL251103139" u="1"/>
        <s v="01PL251107148" u="1"/>
        <s v="01PL251127239" u="1"/>
        <s v="01PL251219147" u="1"/>
        <s v="01PL251219239" u="1"/>
        <s v="01PL251231128" u="1"/>
        <s v="01PL260115231" u="1"/>
        <s v="01PL260119240" u="1"/>
        <s v="01PL260203130" u="1"/>
        <s v="01PL260207231" u="1"/>
        <s v="01PL2511068" u="1"/>
        <s v="01PL25120857" u="1"/>
        <s v="01PL251107100" u="1"/>
        <s v="01PL25102317" u="1"/>
        <s v="01PL25122316" u="1"/>
        <s v="01PL26010353" u="1"/>
        <s v="01PL26021152" u="1"/>
        <s v="01PL251204170" u="1"/>
        <s v="01PL251220160" u="1"/>
        <s v="01PL25100610" u="1"/>
        <s v="01PL251027156" u="1"/>
        <s v="01PL25110457" u="1"/>
        <s v="01PL251003100" u="1"/>
        <s v="01PL260106116" u="1"/>
        <s v="01PL260126115" u="1"/>
        <s v="01PL2510255" u="1"/>
        <s v="01PL25101117" u="1"/>
        <s v="01PL25110317" u="1"/>
        <s v="01PL26020763" u="1"/>
        <s v="01PL260204494" u="1"/>
        <s v="01PL26020623" u="1"/>
        <s v="01PL260115195" u="1"/>
        <s v="01PL260115287" u="1"/>
        <s v="01PL260207195" u="1"/>
        <s v="01PL251103147" u="1"/>
        <s v="01PL251127247" u="1"/>
        <s v="01PL251219155" u="1"/>
        <s v="01PL251219247" u="1"/>
        <s v="01PL251231136" u="1"/>
        <s v="01PL2511069" u="1"/>
        <s v="01PL260110106" u="1"/>
        <s v="01PL25122326" u="1"/>
        <s v="01PL26010363" u="1"/>
        <s v="01PL26021162" u="1"/>
        <s v="01PL2511282" u="1"/>
        <s v="01PL25100620" u="1"/>
        <s v="01PL251027164" u="1"/>
        <s v="01PL260102115" u="1"/>
        <s v="01PL260106124" u="1"/>
        <s v="01PL260126123" u="1"/>
        <s v="01PL260210105" u="1"/>
        <s v="01PL2510256" u="1"/>
        <s v="01PL25101127" u="1"/>
        <s v="01PL25110327" u="1"/>
        <s v="01PL26020773" u="1"/>
        <s v="01PL2512082" u="1"/>
        <s v="01PL26020633" u="1"/>
        <s v="01PL260115295" u="1"/>
        <s v="01PL251219255" u="1"/>
        <s v="01PL251231144" u="1"/>
        <s v="01PL260110206" u="1"/>
        <s v="01PL25122336" u="1"/>
        <s v="01PL26010373" u="1"/>
        <s v="01PL2511042" u="1"/>
        <s v="01PL2511283" u="1"/>
        <s v="01PL25100630" u="1"/>
        <s v="01PL260126179" u="1"/>
        <s v="01PL25110477" u="1"/>
        <s v="01PL260102123" u="1"/>
        <s v="01PL260102215" u="1"/>
        <s v="01PL260122214" u="1"/>
        <s v="01PL260210113" u="1"/>
        <s v="01PL2510257" u="1"/>
        <s v="01PL25101137" u="1"/>
        <s v="01PL25110337" u="1"/>
        <s v="01PL25121136" u="1"/>
        <s v="01PL25121947" u="1"/>
        <s v="01PL260109109" u="1"/>
        <s v="01PL2512083" u="1"/>
        <s v="01PL26020643" u="1"/>
        <s v="01PL251127171" u="1"/>
        <s v="01PL251219171" u="1"/>
        <s v="01PL251231152" u="1"/>
        <s v="01PL260114179" u="1"/>
        <s v="01PL260130169" u="1"/>
        <s v="01PL260110122" u="1"/>
        <s v="01PL260110214" u="1"/>
        <s v="01PL260202214" u="1"/>
        <s v="01PL260202306" u="1"/>
        <s v="01PL2511298" u="1"/>
        <s v="01PL25122346" u="1"/>
        <s v="01PL26010383" u="1"/>
        <s v="01PL26021182" u="1"/>
        <s v="01PL260209108" u="1"/>
        <s v="01PL2511043" u="1"/>
        <s v="01PL2511284" u="1"/>
        <s v="01PL25100640" u="1"/>
        <s v="01PL260102179" u="1"/>
        <s v="01PL25102910" u="1"/>
        <s v="01PL25110487" u="1"/>
        <s v="01PL251118148" u="1"/>
        <s v="01PL251222129" u="1"/>
        <s v="01PL251226138" u="1"/>
        <s v="01PL260102131" u="1"/>
        <s v="01PL260102223" u="1"/>
        <s v="01PL260122222" u="1"/>
        <s v="01PL260210121" u="1"/>
        <s v="01PL2510258" u="1"/>
        <s v="01PL25101147" u="1"/>
        <s v="01PL25110347" u="1"/>
        <s v="01PL25121146" u="1"/>
        <s v="01PL25121957" u="1"/>
        <s v="01PL251118100" u="1"/>
        <s v="01PL260109117" u="1"/>
        <s v="01PL260109209" u="1"/>
        <s v="01PL2512084" u="1"/>
        <s v="01PL25112617" u="1"/>
        <s v="01PL25121817" u="1"/>
        <s v="01PL26011453" u="1"/>
        <s v="01PL26020653" u="1"/>
        <s v="01PL251216570" u="1"/>
        <s v="01PL26011313" u="1"/>
        <s v="01PL26020513" u="1"/>
        <s v="01PL260114187" u="1"/>
        <s v="01PL260114279" u="1"/>
        <s v="01PL260130177" u="1"/>
        <s v="01PL25122496" u="1"/>
        <s v="01PL251106148" u="1"/>
        <s v="01PL251126147" u="1"/>
        <s v="01PL251230128" u="1"/>
        <s v="01PL260110130" u="1"/>
        <s v="01PL260110222" u="1"/>
        <s v="01PL260202222" u="1"/>
        <s v="01PL260202314" u="1"/>
        <s v="01PL2510138" u="1"/>
        <s v="01PL2511299" u="1"/>
        <s v="01PL25122356" u="1"/>
        <s v="01PL26010393" u="1"/>
        <s v="01PL260209116" u="1"/>
        <s v="01PL2511044" u="1"/>
        <s v="01PL2511285" u="1"/>
        <s v="01PL25100618" u="1"/>
        <s v="01PL25100650" u="1"/>
        <s v="01PL260102187" u="1"/>
        <s v="01PL25102920" u="1"/>
        <s v="01PL25110497" u="1"/>
        <s v="01PL251118156" u="1"/>
        <s v="01PL251206239" u="1"/>
        <s v="01PL251222137" u="1"/>
        <s v="01PL251226146" u="1"/>
        <s v="01PL260122230" u="1"/>
        <s v="01PL2510259" u="1"/>
        <s v="01PL25101157" u="1"/>
        <s v="01PL25110357" u="1"/>
        <s v="01PL25121156" u="1"/>
        <s v="01PL25121967" u="1"/>
        <s v="01PL251118200" u="1"/>
        <s v="01PL260109125" u="1"/>
        <s v="01PL260129308" u="1"/>
        <s v="01PL2512085" u="1"/>
        <s v="01PL25101017" u="1"/>
        <s v="01PL25112627" u="1"/>
        <s v="01PL25121827" u="1"/>
        <s v="01PL26011463" u="1"/>
        <s v="01PL26020663" u="1"/>
        <s v="01PL26011323" u="1"/>
        <s v="01PL26020523" u="1"/>
        <s v="01PL260114195" u="1"/>
        <s v="01PL260114287" u="1"/>
        <s v="01PL260202278" u="1"/>
        <s v="01PL251126155" u="1"/>
        <s v="01PL251230136" u="1"/>
        <s v="01PL260110230" u="1"/>
        <s v="01PL260202230" u="1"/>
        <s v="01PL260202322" u="1"/>
        <s v="01PL2510139" u="1"/>
        <s v="01PL25122366" u="1"/>
        <s v="01PL260209124" u="1"/>
        <s v="01PL2511045" u="1"/>
        <s v="01PL2511286" u="1"/>
        <s v="01PL25100628" u="1"/>
        <s v="01PL26012673" u="1"/>
        <s v="01PL26021062" u="1"/>
        <s v="01PL2510111" u="1"/>
        <s v="01PL260102195" u="1"/>
        <s v="01PL260122194" u="1"/>
        <s v="01PL25102930" u="1"/>
        <s v="01PL251202238" u="1"/>
        <s v="01PL251206247" u="1"/>
        <s v="01PL251222145" u="1"/>
        <s v="01PL251226154" u="1"/>
        <s v="01PL25110367" u="1"/>
        <s v="01PL25121166" u="1"/>
        <s v="01PL25121977" u="1"/>
        <s v="01PL260105124" u="1"/>
        <s v="01PL260109133" u="1"/>
        <s v="01PL260129316" u="1"/>
        <s v="01PL2512086" u="1"/>
        <s v="01PL25101027" u="1"/>
        <s v="01PL25112637" u="1"/>
        <s v="01PL25121837" u="1"/>
        <s v="01PL26011473" u="1"/>
        <s v="01PL26011333" u="1"/>
        <s v="01PL26020533" u="1"/>
        <s v="01PL260110194" u="1"/>
        <s v="01PL260114295" u="1"/>
        <s v="01PL260202286" u="1"/>
        <s v="01PL251010155" u="1"/>
        <s v="01PL251126163" u="1"/>
        <s v="01PL25122376" u="1"/>
        <s v="01PL260209132" u="1"/>
        <s v="01PL2511046" u="1"/>
        <s v="01PL2511287" u="1"/>
        <s v="01PL25100638" u="1"/>
        <s v="01PL25111437" u="1"/>
        <s v="01PL26012683" u="1"/>
        <s v="01PL26021072" u="1"/>
        <s v="01PL2510112" u="1"/>
        <s v="01PL25102940" u="1"/>
        <s v="01PL251022255" u="1"/>
        <s v="01PL251114439" u="1"/>
        <s v="01PL251202154" u="1"/>
        <s v="01PL251202246" u="1"/>
        <s v="01PL251206255" u="1"/>
        <s v="01PL251222153" u="1"/>
        <s v="01PL251226162" u="1"/>
        <s v="01PL260109189" u="1"/>
        <s v="01PL25121176" u="1"/>
        <s v="01PL251229139" u="1"/>
        <s v="01PL260129324" u="1"/>
        <s v="01PL2512087" u="1"/>
        <s v="01PL25101037" u="1"/>
        <s v="01PL25112647" u="1"/>
        <s v="01PL25121847" u="1"/>
        <s v="01PL26011483" u="1"/>
        <s v="01PL26011343" u="1"/>
        <s v="01PL26020543" u="1"/>
        <s v="01PL251010163" u="1"/>
        <s v="01PL251230152" u="1"/>
        <s v="01PL25122386" u="1"/>
        <s v="01PL251125139" u="1"/>
        <s v="01PL260209140" u="1"/>
        <s v="01PL2511047" u="1"/>
        <s v="01PL2511288" u="1"/>
        <s v="01PL25100648" u="1"/>
        <s v="01PL26012693" u="1"/>
        <s v="01PL26021082" u="1"/>
        <s v="01PL251017101" u="1"/>
        <s v="01PL260116108" u="1"/>
        <s v="01PL2510113" u="1"/>
        <s v="01PL2511033" u="1"/>
        <s v="01PL25102918" u="1"/>
        <s v="01PL25122917" u="1"/>
        <s v="01PL26010814" u="1"/>
        <s v="01PL251022263" u="1"/>
        <s v="01PL251114447" u="1"/>
        <s v="01PL251118180" u="1"/>
        <s v="01PL251202162" u="1"/>
        <s v="01PL251202254" u="1"/>
        <s v="01PL251206263" u="1"/>
        <s v="01PL251222161" u="1"/>
        <s v="01PL251226170" u="1"/>
        <s v="01PL260109197" u="1"/>
        <s v="01PL260129288" u="1"/>
        <s v="01PL25110387" u="1"/>
        <s v="01PL25121186" u="1"/>
        <s v="01PL251229147" u="1"/>
        <s v="01PL260129332" u="1"/>
        <s v="01PL2512088" u="1"/>
        <s v="01PL25101047" u="1"/>
        <s v="01PL25112657" u="1"/>
        <s v="01PL25121857" u="1"/>
        <s v="01PL26011493" u="1"/>
        <s v="01PL251209100" u="1"/>
        <s v="01PL25112517" u="1"/>
        <s v="01PL26011353" u="1"/>
        <s v="01PL26020553" u="1"/>
        <s v="01PL26011213" u="1"/>
        <s v="01PL251010171" u="1"/>
        <s v="01PL251230160" u="1"/>
        <s v="01PL25110810" u="1"/>
        <s v="01PL25122396" u="1"/>
        <s v="01PL251125147" u="1"/>
        <s v="01PL2511048" u="1"/>
        <s v="01PL2511289" u="1"/>
        <s v="01PL26021092" u="1"/>
        <s v="01PL260116116" u="1"/>
        <s v="01PL260204107" u="1"/>
        <s v="01PL2510114" u="1"/>
        <s v="01PL2511034" u="1"/>
        <s v="01PL25102117" u="1"/>
        <s v="01PL25102928" u="1"/>
        <s v="01PL25122927" u="1"/>
        <s v="01PL26010824" u="1"/>
        <s v="01PL251022271" u="1"/>
        <s v="01PL251114455" u="1"/>
        <s v="01PL251202262" u="1"/>
        <s v="01PL260129296" u="1"/>
        <s v="01PL25100410" u="1"/>
        <s v="01PL25110397" u="1"/>
        <s v="01PL25121196" u="1"/>
        <s v="01PL251229155" u="1"/>
        <s v="01PL2512089" u="1"/>
        <s v="01PL25101057" u="1"/>
        <s v="01PL25121867" u="1"/>
        <s v="01PL260128216" u="1"/>
        <s v="01PL25101728" u="1"/>
        <s v="01PL25110117" u="1"/>
        <s v="01PL25112527" u="1"/>
        <s v="01PL26011363" u="1"/>
        <s v="01PL26020563" u="1"/>
        <s v="01PL26011223" u="1"/>
        <s v="01PL25110820" u="1"/>
        <s v="01PL251105248" u="1"/>
        <s v="01PL251125155" u="1"/>
        <s v="01PL251217339" u="1"/>
        <s v="01PL2511049" u="1"/>
        <s v="01PL260204115" u="1"/>
        <s v="01PL260204207" u="1"/>
        <s v="01PL2510115" u="1"/>
        <s v="01PL2511035" u="1"/>
        <s v="01PL25102127" u="1"/>
        <s v="01PL25102938" u="1"/>
        <s v="01PL25122937" u="1"/>
        <s v="01PL2510101" u="1"/>
        <s v="01PL2511262" u="1"/>
        <s v="01PL26010834" u="1"/>
        <s v="01PL251114463" u="1"/>
        <s v="01PL25100420" u="1"/>
        <s v="01PL25101067" u="1"/>
        <s v="01PL25121877" u="1"/>
        <s v="01PL260128224" u="1"/>
        <s v="01PL25101738" u="1"/>
        <s v="01PL25110127" u="1"/>
        <s v="01PL25112537" u="1"/>
        <s v="01PL26011373" u="1"/>
        <s v="01PL26020573" u="1"/>
        <s v="01PL26011233" u="1"/>
        <s v="01PL25110830" u="1"/>
        <s v="01PL251105256" u="1"/>
        <s v="01PL251105348" u="1"/>
        <s v="01PL251125163" u="1"/>
        <s v="01PL251217347" u="1"/>
        <s v="01PL260116408" u="1"/>
        <s v="01PL260204123" u="1"/>
        <s v="01PL2510116" u="1"/>
        <s v="01PL2511036" u="1"/>
        <s v="01PL25102137" u="1"/>
        <s v="01PL25102948" u="1"/>
        <s v="01PL25122947" u="1"/>
        <s v="01PL260119109" u="1"/>
        <s v="01PL2510102" u="1"/>
        <s v="01PL2511263" u="1"/>
        <s v="01PL26010844" u="1"/>
        <s v="01PL26012443" u="1"/>
        <s v="01PL25100430" u="1"/>
        <s v="01PL251209264" u="1"/>
        <s v="01PL260108189" u="1"/>
        <s v="01PL260128188" u="1"/>
        <s v="01PL25121887" u="1"/>
        <s v="01PL260128232" u="1"/>
        <s v="01PL25101748" u="1"/>
        <s v="01PL25110137" u="1"/>
        <s v="01PL25112547" u="1"/>
        <s v="01PL26011383" u="1"/>
        <s v="01PL26020583" u="1"/>
        <s v="01PL26011243" u="1"/>
        <s v="01PL25110840" u="1"/>
        <s v="01PL26011914" u="1"/>
        <s v="01PL251105264" u="1"/>
        <s v="01PL251105356" u="1"/>
        <s v="01PL251125171" u="1"/>
        <s v="01PL251217355" u="1"/>
        <s v="01PL260116416" u="1"/>
        <s v="01PL260204131" u="1"/>
        <s v="01PL2510117" u="1"/>
        <s v="01PL2511037" u="1"/>
        <s v="01PL25102147" u="1"/>
        <s v="01PL25122957" u="1"/>
        <s v="01PL26010994" u="1"/>
        <s v="01PL260119117" u="1"/>
        <s v="01PL2510103" u="1"/>
        <s v="01PL2511264" u="1"/>
        <s v="01PL2512184" u="1"/>
        <s v="01PL26012453" u="1"/>
        <s v="01PL25100440" u="1"/>
        <s v="01PL260108197" u="1"/>
        <s v="01PL260128196" u="1"/>
        <s v="01PL25111910" u="1"/>
        <s v="01PL25121897" u="1"/>
        <s v="01PL251204139" u="1"/>
        <s v="01PL251208148" u="1"/>
        <s v="01PL251220129" u="1"/>
        <s v="01PL251224138" u="1"/>
        <s v="01PL260128240" u="1"/>
        <s v="01PL25101758" u="1"/>
        <s v="01PL25110147" u="1"/>
        <s v="01PL25112557" u="1"/>
        <s v="01PL26011393" u="1"/>
        <s v="01PL26020593" u="1"/>
        <s v="01PL260103108" u="1"/>
        <s v="01PL25110818" u="1"/>
        <s v="01PL25112417" u="1"/>
        <s v="01PL25121617" u="1"/>
        <s v="01PL26011253" u="1"/>
        <s v="01PL26020453" u="1"/>
        <s v="01PL25110850" u="1"/>
        <s v="01PL26011924" u="1"/>
        <s v="01PL251217363" u="1"/>
        <s v="01PL25110710" u="1"/>
        <s v="01PL251120138" u="1"/>
        <s v="01PL260204507" u="1"/>
        <s v="01PL2510118" u="1"/>
        <s v="01PL2511038" u="1"/>
        <s v="01PL25122967" u="1"/>
        <s v="01PL251104100" u="1"/>
        <s v="01PL260119125" u="1"/>
        <s v="01PL260203107" u="1"/>
        <s v="01PL260207208" u="1"/>
        <s v="01PL2510104" u="1"/>
        <s v="01PL2511265" u="1"/>
        <s v="01PL2512185" u="1"/>
        <s v="01PL25100418" u="1"/>
        <s v="01PL25102017" u="1"/>
        <s v="01PL25111217" u="1"/>
        <s v="01PL26010864" u="1"/>
        <s v="01PL26012463" u="1"/>
        <s v="01PL25111920" u="1"/>
        <s v="01PL251008258" u="1"/>
        <s v="01PL251208156" u="1"/>
        <s v="01PL251220137" u="1"/>
        <s v="01PL25101768" u="1"/>
        <s v="01PL25112567" u="1"/>
        <s v="01PL25110828" u="1"/>
        <s v="01PL25112427" u="1"/>
        <s v="01PL25121627" u="1"/>
        <s v="01PL26011263" u="1"/>
        <s v="01PL26020463" u="1"/>
        <s v="01PL25110860" u="1"/>
        <s v="01PL26011934" u="1"/>
        <s v="01PL251217371" u="1"/>
        <s v="01PL260116388" u="1"/>
        <s v="01PL260204195" u="1"/>
        <s v="01PL25101520" u="1"/>
        <s v="01PL25110720" u="1"/>
        <s v="01PL251120146" u="1"/>
        <s v="01PL260204515" u="1"/>
        <s v="01PL2510119" u="1"/>
        <s v="01PL2511039" u="1"/>
        <s v="01PL25122977" u="1"/>
        <s v="01PL260115216" u="1"/>
        <s v="01PL260115308" u="1"/>
        <s v="01PL260119133" u="1"/>
        <s v="01PL260203115" u="1"/>
        <s v="01PL260207216" u="1"/>
        <s v="01PL2510105" u="1"/>
        <s v="01PL2511266" u="1"/>
        <s v="01PL2512186" u="1"/>
        <s v="01PL25100428" u="1"/>
        <s v="01PL25102027" u="1"/>
        <s v="01PL25111227" u="1"/>
        <s v="01PL26010874" u="1"/>
        <s v="01PL26012473" u="1"/>
        <s v="01PL25111930" u="1"/>
        <s v="01PL251008266" u="1"/>
        <s v="01PL251204155" u="1"/>
        <s v="01PL251220145" u="1"/>
        <s v="01PL25101778" u="1"/>
        <s v="01PL25112577" u="1"/>
        <s v="01PL25110838" u="1"/>
        <s v="01PL25112437" u="1"/>
        <s v="01PL25121637" u="1"/>
        <s v="01PL26020473" u="1"/>
        <s v="01PL2510212" u="1"/>
        <s v="01PL2512293" u="1"/>
        <s v="01PL25110870" u="1"/>
        <s v="01PL26011944" u="1"/>
        <s v="01PL260116396" u="1"/>
        <s v="01PL260204479" u="1"/>
        <s v="01PL25101530" u="1"/>
        <s v="01PL25110730" u="1"/>
        <s v="01PL251120154" u="1"/>
        <s v="01PL251124163" u="1"/>
        <s v="01PL251216347" u="1"/>
        <s v="01PL260204523" u="1"/>
        <s v="01PL25122987" u="1"/>
        <s v="01PL260115224" u="1"/>
        <s v="01PL260115316" u="1"/>
        <s v="01PL260119233" u="1"/>
        <s v="01PL260207224" u="1"/>
        <s v="01PL2510106" u="1"/>
        <s v="01PL2511267" u="1"/>
        <s v="01PL2512187" u="1"/>
        <s v="01PL25100438" u="1"/>
        <s v="01PL25102037" u="1"/>
        <s v="01PL25111237" u="1"/>
        <s v="01PL26010884" u="1"/>
        <s v="01PL26012483" u="1"/>
        <s v="01PL2511253" u="1"/>
        <s v="01PL25111940" u="1"/>
        <s v="01PL251008274" u="1"/>
        <s v="01PL251204163" u="1"/>
        <s v="01PL251220153" u="1"/>
        <s v="01PL260127188" u="1"/>
        <s v="01PL25101788" u="1"/>
        <s v="01PL25112587" u="1"/>
        <s v="01PL251027149" u="1"/>
        <s v="01PL25112447" u="1"/>
        <s v="01PL25121647" u="1"/>
        <s v="01PL260106109" u="1"/>
        <s v="01PL260126108" u="1"/>
        <s v="01PL2510213" u="1"/>
        <s v="01PL2512053" u="1"/>
        <s v="01PL2512294" u="1"/>
        <s v="01PL25110880" u="1"/>
        <s v="01PL26011954" u="1"/>
        <s v="01PL25101540" u="1"/>
        <s v="01PL25110740" u="1"/>
        <s v="01PL251120162" u="1"/>
        <s v="01PL251124171" u="1"/>
        <s v="01PL251212162" u="1"/>
        <s v="01PL260115188" u="1"/>
        <s v="01PL260203179" u="1"/>
        <s v="01PL260204531" u="1"/>
        <s v="01PL260207188" u="1"/>
        <s v="01PL25122997" u="1"/>
        <s v="01PL251107149" u="1"/>
        <s v="01PL251219148" u="1"/>
        <s v="01PL251231129" u="1"/>
        <s v="01PL260115232" u="1"/>
        <s v="01PL260119241" u="1"/>
        <s v="01PL260203131" u="1"/>
        <s v="01PL260207232" u="1"/>
        <s v="01PL2510107" u="1"/>
        <s v="01PL2511268" u="1"/>
        <s v="01PL2512188" u="1"/>
        <s v="01PL25100448" u="1"/>
        <s v="01PL25102047" u="1"/>
        <s v="01PL26010894" u="1"/>
        <s v="01PL26012493" u="1"/>
        <s v="01PL251107101" u="1"/>
        <s v="01PL2511254" u="1"/>
        <s v="01PL25111918" u="1"/>
        <s v="01PL25122717" u="1"/>
        <s v="01PL251204171" u="1"/>
        <s v="01PL251220161" u="1"/>
        <s v="01PL260127196" u="1"/>
        <s v="01PL25101798" u="1"/>
        <s v="01PL25112597" u="1"/>
        <s v="01PL251027157" u="1"/>
        <s v="01PL25110858" u="1"/>
        <s v="01PL25121657" u="1"/>
        <s v="01PL251003101" u="1"/>
        <s v="01PL260106117" u="1"/>
        <s v="01PL260126116" u="1"/>
        <s v="01PL2510214" u="1"/>
        <s v="01PL2512054" u="1"/>
        <s v="01PL2512295" u="1"/>
        <s v="01PL25110718" u="1"/>
        <s v="01PL25123116" u="1"/>
        <s v="01PL26011964" u="1"/>
        <s v="01PL260204495" u="1"/>
        <s v="01PL25101550" u="1"/>
        <s v="01PL26020213" u="1"/>
        <s v="01PL251120170" u="1"/>
        <s v="01PL251212170" u="1"/>
        <s v="01PL260115196" u="1"/>
        <s v="01PL260115288" u="1"/>
        <s v="01PL260207196" u="1"/>
        <s v="01PL25110610" u="1"/>
        <s v="01PL251103148" u="1"/>
        <s v="01PL251107157" u="1"/>
        <s v="01PL251127248" u="1"/>
        <s v="01PL251219156" u="1"/>
        <s v="01PL251219248" u="1"/>
        <s v="01PL251231137" u="1"/>
        <s v="01PL260207240" u="1"/>
        <s v="01PL2510108" u="1"/>
        <s v="01PL2511269" u="1"/>
        <s v="01PL2512189" u="1"/>
        <s v="01PL251103100" u="1"/>
        <s v="01PL251219200" u="1"/>
        <s v="01PL260110107" u="1"/>
        <s v="01PL2511014" u="1"/>
        <s v="01PL2511255" u="1"/>
        <s v="01PL25111117" u="1"/>
        <s v="01PL25111928" u="1"/>
        <s v="01PL25120317" u="1"/>
        <s v="01PL25122727" u="1"/>
        <s v="01PL25110868" u="1"/>
        <s v="01PL260102116" u="1"/>
        <s v="01PL260102208" u="1"/>
        <s v="01PL260106125" u="1"/>
        <s v="01PL260122207" u="1"/>
        <s v="01PL260126124" u="1"/>
        <s v="01PL260210106" u="1"/>
        <s v="01PL2510215" u="1"/>
        <s v="01PL2512055" u="1"/>
        <s v="01PL2512296" u="1"/>
        <s v="01PL25101528" u="1"/>
        <s v="01PL25110728" u="1"/>
        <s v="01PL25123126" u="1"/>
        <s v="01PL26011974" u="1"/>
        <s v="01PL25101560" u="1"/>
        <s v="01PL26020223" u="1"/>
        <s v="01PL260115296" u="1"/>
        <s v="01PL25110620" u="1"/>
        <s v="01PL251127164" u="1"/>
        <s v="01PL251219164" u="1"/>
        <s v="01PL251219256" u="1"/>
        <s v="01PL251231145" u="1"/>
        <s v="01PL2510109" u="1"/>
        <s v="01PL260110115" u="1"/>
        <s v="01PL260110207" u="1"/>
        <s v="01PL2511015" u="1"/>
        <s v="01PL2511256" u="1"/>
        <s v="01PL25111127" u="1"/>
        <s v="01PL25111938" u="1"/>
        <s v="01PL25120327" u="1"/>
        <s v="01PL25122737" u="1"/>
        <s v="01PL26010774" u="1"/>
        <s v="01PL2511242" u="1"/>
        <s v="01PL25110878" u="1"/>
        <s v="01PL260102124" u="1"/>
        <s v="01PL260102216" u="1"/>
        <s v="01PL260106133" u="1"/>
        <s v="01PL260122215" u="1"/>
        <s v="01PL260126132" u="1"/>
        <s v="01PL260210114" u="1"/>
        <s v="01PL2510216" u="1"/>
        <s v="01PL2512056" u="1"/>
        <s v="01PL2512297" u="1"/>
        <s v="01PL25101538" u="1"/>
        <s v="01PL25110738" u="1"/>
        <s v="01PL25123136" u="1"/>
        <s v="01PL26011984" u="1"/>
        <s v="01PL26020373" u="1"/>
        <s v="01PL2511122" u="1"/>
        <s v="01PL26020233" u="1"/>
        <s v="01PL25110630" u="1"/>
        <s v="01PL251127172" u="1"/>
        <s v="01PL251219172" u="1"/>
        <s v="01PL251231153" u="1"/>
        <s v="01PL260110123" u="1"/>
        <s v="01PL260110215" u="1"/>
        <s v="01PL260202215" u="1"/>
        <s v="01PL2511016" u="1"/>
        <s v="01PL2511257" u="1"/>
        <s v="01PL25111137" u="1"/>
        <s v="01PL25111948" u="1"/>
        <s v="01PL25120337" u="1"/>
        <s v="01PL25122747" u="1"/>
        <s v="01PL260209109" u="1"/>
        <s v="01PL2511243" u="1"/>
        <s v="01PL251118149" u="1"/>
        <s v="01PL260102132" u="1"/>
        <s v="01PL260102224" u="1"/>
        <s v="01PL260122223" u="1"/>
        <s v="01PL260126140" u="1"/>
        <s v="01PL260210122" u="1"/>
        <s v="01PL2510217" u="1"/>
        <s v="01PL2512057" u="1"/>
        <s v="01PL2512298" u="1"/>
        <s v="01PL25101548" u="1"/>
        <s v="01PL25110748" u="1"/>
        <s v="01PL25123146" u="1"/>
        <s v="01PL26011994" u="1"/>
        <s v="01PL26020383" u="1"/>
        <s v="01PL251118101" u="1"/>
        <s v="01PL260109118" u="1"/>
        <s v="01PL2511123" u="1"/>
        <s v="01PL26020243" u="1"/>
        <s v="01PL251216571" u="1"/>
        <s v="01PL25110640" u="1"/>
        <s v="01PL26011714" u="1"/>
        <s v="01PL26020914" u="1"/>
        <s v="01PL251127180" u="1"/>
        <s v="01PL251219180" u="1"/>
        <s v="01PL260110179" u="1"/>
        <s v="01PL260114188" u="1"/>
        <s v="01PL260130178" u="1"/>
        <s v="01PL251106149" u="1"/>
        <s v="01PL251126148" u="1"/>
        <s v="01PL251230129" u="1"/>
        <s v="01PL260110131" u="1"/>
        <s v="01PL260110223" u="1"/>
        <s v="01PL260130130" u="1"/>
        <s v="01PL260202223" u="1"/>
        <s v="01PL260202315" u="1"/>
        <s v="01PL2511017" u="1"/>
        <s v="01PL2511258" u="1"/>
        <s v="01PL25111147" u="1"/>
        <s v="01PL25120347" u="1"/>
        <s v="01PL251218100" u="1"/>
        <s v="01PL260209117" u="1"/>
        <s v="01PL2511244" u="1"/>
        <s v="01PL25122617" u="1"/>
        <s v="01PL26010514" u="1"/>
        <s v="01PL26012113" u="1"/>
        <s v="01PL260102188" u="1"/>
        <s v="01PL25102510" u="1"/>
        <s v="01PL251222138" u="1"/>
        <s v="01PL251226147" u="1"/>
        <s v="01PL260102140" u="1"/>
        <s v="01PL260122231" u="1"/>
        <s v="01PL2510218" u="1"/>
        <s v="01PL2512058" u="1"/>
        <s v="01PL2512299" u="1"/>
        <s v="01PL25101558" u="1"/>
        <s v="01PL25121557" u="1"/>
        <s v="01PL25123156" u="1"/>
        <s v="01PL26020393" u="1"/>
        <s v="01PL251002101" u="1"/>
        <s v="01PL251022100" u="1"/>
        <s v="01PL251118201" u="1"/>
        <s v="01PL260109126" u="1"/>
        <s v="01PL260129309" u="1"/>
        <s v="01PL2511124" u="1"/>
        <s v="01PL25110618" u="1"/>
        <s v="01PL26020253" u="1"/>
        <s v="01PL2512271" u="1"/>
        <s v="01PL25110650" u="1"/>
        <s v="01PL26011724" u="1"/>
        <s v="01PL26020924" u="1"/>
        <s v="01PL260110187" u="1"/>
        <s v="01PL260114196" u="1"/>
        <s v="01PL260114288" u="1"/>
        <s v="01PL260202279" u="1"/>
        <s v="01PL25101310" u="1"/>
        <s v="01PL251126156" u="1"/>
        <s v="01PL251230137" u="1"/>
        <s v="01PL260110231" u="1"/>
        <s v="01PL260114240" u="1"/>
        <s v="01PL260202231" u="1"/>
        <s v="01PL260202323" u="1"/>
        <s v="01PL2511018" u="1"/>
        <s v="01PL2511259" u="1"/>
        <s v="01PL25111157" u="1"/>
        <s v="01PL25120357" u="1"/>
        <s v="01PL25122767" u="1"/>
        <s v="01PL260209125" u="1"/>
        <s v="01PL2511245" u="1"/>
        <s v="01PL25111017" u="1"/>
        <s v="01PL25122627" u="1"/>
        <s v="01PL26010524" u="1"/>
        <s v="01PL26012123" u="1"/>
        <s v="01PL260102196" u="1"/>
        <s v="01PL260122195" u="1"/>
        <s v="01PL25100921" u="1"/>
        <s v="01PL25102520" u="1"/>
        <s v="01PL251022248" u="1"/>
        <s v="01PL251202147" u="1"/>
        <s v="01PL251202239" u="1"/>
        <s v="01PL251206248" u="1"/>
        <s v="01PL251222146" u="1"/>
        <s v="01PL251226155" u="1"/>
        <s v="01PL2510219" u="1"/>
        <s v="01PL2512059" u="1"/>
        <s v="01PL25121567" u="1"/>
        <s v="01PL25123166" u="1"/>
        <s v="01PL251022200" u="1"/>
        <s v="01PL260105125" u="1"/>
        <s v="01PL260109134" u="1"/>
        <s v="01PL260129317" u="1"/>
        <s v="01PL2511125" u="1"/>
        <s v="01PL25110628" u="1"/>
        <s v="01PL26011063" u="1"/>
        <s v="01PL2512272" u="1"/>
        <s v="01PL26011734" u="1"/>
        <s v="01PL26020934" u="1"/>
        <s v="01PL260114296" u="1"/>
        <s v="01PL260202287" u="1"/>
        <s v="01PL25101320" u="1"/>
        <s v="01PL251010156" u="1"/>
        <s v="01PL251126164" u="1"/>
        <s v="01PL2511019" u="1"/>
        <s v="01PL25120367" u="1"/>
        <s v="01PL25122777" u="1"/>
        <s v="01PL251010200" u="1"/>
        <s v="01PL260209133" u="1"/>
        <s v="01PL2511246" u="1"/>
        <s v="01PL25111027" u="1"/>
        <s v="01PL25122637" u="1"/>
        <s v="01PL26010674" u="1"/>
        <s v="01PL26010534" u="1"/>
        <s v="01PL26012133" u="1"/>
        <s v="01PL25100931" u="1"/>
        <s v="01PL25102530" u="1"/>
        <s v="01PL251022256" u="1"/>
        <s v="01PL251202155" u="1"/>
        <s v="01PL251202247" u="1"/>
        <s v="01PL251206256" u="1"/>
        <s v="01PL251222154" u="1"/>
        <s v="01PL251226163" u="1"/>
        <s v="01PL25121577" u="1"/>
        <s v="01PL25123176" u="1"/>
        <s v="01PL260109142" u="1"/>
        <s v="01PL260129325" u="1"/>
        <s v="01PL2511126" u="1"/>
        <s v="01PL25110638" u="1"/>
        <s v="01PL26011073" u="1"/>
        <s v="01PL2511112" u="1"/>
        <s v="01PL2512273" u="1"/>
        <s v="01PL26011744" u="1"/>
        <s v="01PL26020944" u="1"/>
        <s v="01PL260202295" u="1"/>
        <s v="01PL25101330" u="1"/>
        <s v="01PL251010164" u="1"/>
        <s v="01PL251230153" u="1"/>
        <s v="01PL25100378" u="1"/>
        <s v="01PL25120377" u="1"/>
        <s v="01PL25122787" u="1"/>
        <s v="01PL2511247" u="1"/>
        <s v="01PL25111037" u="1"/>
        <s v="01PL26010684" u="1"/>
        <s v="01PL251017102" u="1"/>
        <s v="01PL260116109" u="1"/>
        <s v="01PL25111880" u="1"/>
        <s v="01PL26012143" u="1"/>
        <s v="01PL25100941" u="1"/>
        <s v="01PL25102540" u="1"/>
        <s v="01PL26012814" u="1"/>
        <s v="01PL251022264" u="1"/>
        <s v="01PL251114448" u="1"/>
        <s v="01PL251118181" u="1"/>
        <s v="01PL251202163" u="1"/>
        <s v="01PL251202255" u="1"/>
        <s v="01PL251206264" u="1"/>
        <s v="01PL251222162" u="1"/>
        <s v="01PL251226171" u="1"/>
        <s v="01PL260109198" u="1"/>
        <s v="01PL260129289" u="1"/>
        <s v="01PL25103187" u="1"/>
        <s v="01PL25121587" u="1"/>
        <s v="01PL25123186" u="1"/>
        <s v="01PL260109150" u="1"/>
        <s v="01PL260129333" u="1"/>
        <s v="01PL2510207" u="1"/>
        <s v="01PL2511127" u="1"/>
        <s v="01PL25110648" u="1"/>
        <s v="01PL26011083" u="1"/>
        <s v="01PL260128209" u="1"/>
        <s v="01PL2511113" u="1"/>
        <s v="01PL2512274" u="1"/>
        <s v="01PL26011754" u="1"/>
        <s v="01PL26020954" u="1"/>
        <s v="01PL25101340" u="1"/>
        <s v="01PL26011614" u="1"/>
        <s v="01PL25100388" u="1"/>
        <s v="01PL25112810" u="1"/>
        <s v="01PL25120387" u="1"/>
        <s v="01PL25122797" u="1"/>
        <s v="01PL251125148" u="1"/>
        <s v="01PL2511248" u="1"/>
        <s v="01PL25111047" u="1"/>
        <s v="01PL26010694" u="1"/>
        <s v="01PL251017110" u="1"/>
        <s v="01PL251125100" u="1"/>
        <s v="01PL260116117" u="1"/>
        <s v="01PL260204108" u="1"/>
        <s v="01PL25102518" u="1"/>
        <s v="01PL25111890" u="1"/>
        <s v="01PL25122517" u="1"/>
        <s v="01PL26010554" u="1"/>
        <s v="01PL26012153" u="1"/>
        <s v="01PL25100951" u="1"/>
        <s v="01PL25102550" u="1"/>
        <s v="01PL26012013" u="1"/>
        <s v="01PL26012824" u="1"/>
        <s v="01PL251022272" u="1"/>
        <s v="01PL251114456" u="1"/>
        <s v="01PL251202171" u="1"/>
        <s v="01PL251202263" u="1"/>
        <s v="01PL251222170" u="1"/>
        <s v="01PL260129297" u="1"/>
        <s v="01PL25121597" u="1"/>
        <s v="01PL25123196" u="1"/>
        <s v="01PL251229156" u="1"/>
        <s v="01PL260129341" u="1"/>
        <s v="01PL2510208" u="1"/>
        <s v="01PL2511128" u="1"/>
        <s v="01PL26011093" u="1"/>
        <s v="01PL251205100" u="1"/>
        <s v="01PL260128217" u="1"/>
        <s v="01PL2511114" u="1"/>
        <s v="01PL25101318" u="1"/>
        <s v="01PL26011764" u="1"/>
        <s v="01PL26020964" u="1"/>
        <s v="01PL25101350" u="1"/>
        <s v="01PL26011624" u="1"/>
        <s v="01PL251010180" u="1"/>
        <s v="01PL25100398" u="1"/>
        <s v="01PL25110410" u="1"/>
        <s v="01PL25112820" u="1"/>
        <s v="01PL25120397" u="1"/>
        <s v="01PL251105249" u="1"/>
        <s v="01PL251125156" u="1"/>
        <s v="01PL25111868" u="1"/>
        <s v="01PL260116125" u="1"/>
        <s v="01PL260204116" u="1"/>
        <s v="01PL260204208" u="1"/>
        <s v="01PL25100929" u="1"/>
        <s v="01PL25102528" u="1"/>
        <s v="01PL25120117" u="1"/>
        <s v="01PL25122527" u="1"/>
        <s v="01PL26010564" u="1"/>
        <s v="01PL26012163" u="1"/>
        <s v="01PL25100961" u="1"/>
        <s v="01PL25102560" u="1"/>
        <s v="01PL26012023" u="1"/>
        <s v="01PL26012834" u="1"/>
        <s v="01PL251022280" u="1"/>
        <s v="01PL251114464" u="1"/>
        <s v="01PL25120820" u="1"/>
        <s v="01PL2510209" u="1"/>
        <s v="01PL2511129" u="1"/>
        <s v="01PL260128225" u="1"/>
        <s v="01PL2512276" u="1"/>
        <s v="01PL25101328" u="1"/>
        <s v="01PL25121327" u="1"/>
        <s v="01PL26011774" u="1"/>
        <s v="01PL26020974" u="1"/>
        <s v="01PL2511101" u="1"/>
        <s v="01PL2512262" u="1"/>
        <s v="01PL25101360" u="1"/>
        <s v="01PL26011634" u="1"/>
        <s v="01PL25110420" u="1"/>
        <s v="01PL25112830" u="1"/>
        <s v="01PL251105257" u="1"/>
        <s v="01PL251105349" u="1"/>
        <s v="01PL251125164" u="1"/>
        <s v="01PL251217348" u="1"/>
        <s v="01PL25111878" u="1"/>
        <s v="01PL260116133" u="1"/>
        <s v="01PL260116409" u="1"/>
        <s v="01PL260204124" u="1"/>
        <s v="01PL25100939" u="1"/>
        <s v="01PL25102538" u="1"/>
        <s v="01PL25120127" u="1"/>
        <s v="01PL25122537" u="1"/>
        <s v="01PL26010574" u="1"/>
        <s v="01PL25102570" u="1"/>
        <s v="01PL25120970" u="1"/>
        <s v="01PL26012033" u="1"/>
        <s v="01PL26012844" u="1"/>
        <s v="01PL25120830" u="1"/>
        <s v="01PL260128189" u="1"/>
        <s v="01PL260128233" u="1"/>
        <s v="01PL2512036" u="1"/>
        <s v="01PL2512277" u="1"/>
        <s v="01PL25101338" u="1"/>
        <s v="01PL25121337" u="1"/>
        <s v="01PL26011784" u="1"/>
        <s v="01PL26020984" u="1"/>
        <s v="01PL2511102" u="1"/>
        <s v="01PL2512263" u="1"/>
        <s v="01PL26011644" u="1"/>
        <s v="01PL25110430" u="1"/>
        <s v="01PL25112840" u="1"/>
        <s v="01PL251105265" u="1"/>
        <s v="01PL251105357" u="1"/>
        <s v="01PL251217356" u="1"/>
        <s v="01PL25111077" u="1"/>
        <s v="01PL25111888" u="1"/>
        <s v="01PL251217400" u="1"/>
        <s v="01PL260116141" u="1"/>
        <s v="01PL260116417" u="1"/>
        <s v="01PL260204132" u="1"/>
        <s v="01PL25100949" u="1"/>
        <s v="01PL25102548" u="1"/>
        <s v="01PL25120137" u="1"/>
        <s v="01PL25122547" u="1"/>
        <s v="01PL26010584" u="1"/>
        <s v="01PL260119118" u="1"/>
        <s v="01PL25102580" u="1"/>
        <s v="01PL25120980" u="1"/>
        <s v="01PL26012043" u="1"/>
        <s v="01PL25120840" u="1"/>
        <s v="01PL26012714" u="1"/>
        <s v="01PL260108198" u="1"/>
        <s v="01PL260128197" u="1"/>
        <s v="01PL25123086" u="1"/>
        <s v="01PL251208149" u="1"/>
        <s v="01PL251224139" u="1"/>
        <s v="01PL260128241" u="1"/>
        <s v="01PL2512037" u="1"/>
        <s v="01PL2512278" u="1"/>
        <s v="01PL25101348" u="1"/>
        <s v="01PL25121347" u="1"/>
        <s v="01PL26011794" u="1"/>
        <s v="01PL26020994" u="1"/>
        <s v="01PL260103109" u="1"/>
        <s v="01PL2511103" u="1"/>
        <s v="01PL2512264" u="1"/>
        <s v="01PL25112818" u="1"/>
        <s v="01PL26011654" u="1"/>
        <s v="01PL25110440" u="1"/>
        <s v="01PL25112850" u="1"/>
        <s v="01PL26020714" u="1"/>
        <s v="01PL251217364" u="1"/>
        <s v="01PL25111087" u="1"/>
        <s v="01PL25111898" u="1"/>
        <s v="01PL251120139" u="1"/>
        <s v="01PL260204140" u="1"/>
        <s v="01PL260204508" u="1"/>
        <s v="01PL25100959" u="1"/>
        <s v="01PL25102558" u="1"/>
        <s v="01PL25120147" u="1"/>
        <s v="01PL25122557" u="1"/>
        <s v="01PL26010594" u="1"/>
        <s v="01PL251104101" u="1"/>
        <s v="01PL260115209" u="1"/>
        <s v="01PL260119126" u="1"/>
        <s v="01PL260203108" u="1"/>
        <s v="01PL260207209" u="1"/>
        <s v="01PL25102590" u="1"/>
        <s v="01PL25120818" u="1"/>
        <s v="01PL25120990" u="1"/>
        <s v="01PL25122417" u="1"/>
        <s v="01PL26012053" u="1"/>
        <s v="01PL26012864" u="1"/>
        <s v="01PL25120850" u="1"/>
        <s v="01PL26012724" u="1"/>
        <s v="01PL26021113" u="1"/>
        <s v="01PL25123096" u="1"/>
        <s v="01PL251008259" u="1"/>
        <s v="01PL251204148" u="1"/>
        <s v="01PL251208157" u="1"/>
        <s v="01PL251220138" u="1"/>
        <s v="01PL2511118" u="1"/>
        <s v="01PL2512038" u="1"/>
        <s v="01PL2512279" u="1"/>
        <s v="01PL25101358" u="1"/>
        <s v="01PL25121357" u="1"/>
        <s v="01PL251204100" u="1"/>
        <s v="01PL2511104" u="1"/>
        <s v="01PL2512265" u="1"/>
        <s v="01PL25110418" u="1"/>
        <s v="01PL25112828" u="1"/>
        <s v="01PL26020724" u="1"/>
        <s v="01PL251217372" u="1"/>
        <s v="01PL260116389" u="1"/>
        <s v="01PL260204196" u="1"/>
        <s v="01PL25101110" u="1"/>
        <s v="01PL25111097" u="1"/>
        <s v="01PL25121920" u="1"/>
        <s v="01PL251120147" u="1"/>
        <s v="01PL260204516" u="1"/>
        <s v="01PL25100969" u="1"/>
        <s v="01PL25102568" u="1"/>
        <s v="01PL25120157" u="1"/>
        <s v="01PL25120968" u="1"/>
        <s v="01PL251124200" u="1"/>
        <s v="01PL260115217" u="1"/>
        <s v="01PL260115309" u="1"/>
        <s v="01PL260119134" u="1"/>
        <s v="01PL260119226" u="1"/>
        <s v="01PL260203116" u="1"/>
        <s v="01PL260207217" u="1"/>
        <s v="01PL2511225" u="1"/>
        <s v="01PL25120828" u="1"/>
        <s v="01PL25122427" u="1"/>
        <s v="01PL26012063" u="1"/>
        <s v="01PL26012874" u="1"/>
        <s v="01PL2512131" u="1"/>
        <s v="01PL25120860" u="1"/>
        <s v="01PL26010324" u="1"/>
        <s v="01PL26012734" u="1"/>
        <s v="01PL26021123" u="1"/>
        <s v="01PL251008267" u="1"/>
        <s v="01PL251204156" u="1"/>
        <s v="01PL251220146" u="1"/>
        <s v="01PL2511119" u="1"/>
        <s v="01PL2512039" u="1"/>
        <s v="01PL2511105" u="1"/>
        <s v="01PL2512266" u="1"/>
        <s v="01PL25110428" u="1"/>
        <s v="01PL25112838" u="1"/>
        <s v="01PL26011674" u="1"/>
        <s v="01PL2512252" u="1"/>
        <s v="01PL26020734" u="1"/>
        <s v="01PL260116397" u="1"/>
        <s v="01PL25101120" u="1"/>
        <s v="01PL25121930" u="1"/>
        <s v="01PL251120155" u="1"/>
        <s v="01PL251124164" u="1"/>
        <s v="01PL251216348" u="1"/>
        <s v="01PL260204524" u="1"/>
        <s v="01PL25102578" u="1"/>
        <s v="01PL25120167" u="1"/>
        <s v="01PL25120978" u="1"/>
        <s v="01PL260115225" u="1"/>
        <s v="01PL260115317" u="1"/>
        <s v="01PL260119234" u="1"/>
        <s v="01PL260203124" u="1"/>
        <s v="01PL260207225" u="1"/>
        <s v="01PL2511226" u="1"/>
        <s v="01PL25120838" u="1"/>
        <s v="01PL25122437" u="1"/>
        <s v="01PL26012884" u="1"/>
        <s v="01PL2512132" u="1"/>
        <s v="01PL26010334" u="1"/>
        <s v="01PL26021133" u="1"/>
        <s v="01PL251008275" u="1"/>
        <s v="01PL251204164" u="1"/>
        <s v="01PL251220154" u="1"/>
        <s v="01PL2511106" u="1"/>
        <s v="01PL2512267" u="1"/>
        <s v="01PL25110438" u="1"/>
        <s v="01PL25112848" u="1"/>
        <s v="01PL26011684" u="1"/>
        <s v="01PL260126109" u="1"/>
        <s v="01PL2512253" u="1"/>
        <s v="01PL25110470" u="1"/>
        <s v="01PL26020744" u="1"/>
        <s v="01PL260204488" u="1"/>
        <s v="01PL25101130" u="1"/>
        <s v="01PL25121940" u="1"/>
        <s v="01PL251120163" u="1"/>
        <s v="01PL251124172" u="1"/>
        <s v="01PL251212163" u="1"/>
        <s v="01PL260115189" u="1"/>
        <s v="01PL260204532" u="1"/>
        <s v="01PL260207189" u="1"/>
        <s v="01PL25102588" u="1"/>
        <s v="01PL25120988" u="1"/>
        <s v="01PL251219149" u="1"/>
        <s v="01PL260115233" u="1"/>
        <s v="01PL260119242" u="1"/>
        <s v="01PL260203132" u="1"/>
        <s v="01PL260207233" u="1"/>
        <s v="01PL2511227" u="1"/>
        <s v="01PL25120848" u="1"/>
        <s v="01PL25122447" u="1"/>
        <s v="01PL251107102" u="1"/>
        <s v="01PL2512133" u="1"/>
        <s v="01PL26010344" u="1"/>
        <s v="01PL26021143" u="1"/>
        <s v="01PL251204172" u="1"/>
        <s v="01PL251220162" u="1"/>
        <s v="01PL260127197" u="1"/>
        <s v="01PL25121387" u="1"/>
        <s v="01PL251027158" u="1"/>
        <s v="01PL2511107" u="1"/>
        <s v="01PL2512268" u="1"/>
        <s v="01PL26011694" u="1"/>
        <s v="01PL251003102" u="1"/>
        <s v="01PL251227100" u="1"/>
        <s v="01PL260106118" u="1"/>
        <s v="01PL260126117" u="1"/>
        <s v="01PL2512013" u="1"/>
        <s v="01PL2512254" u="1"/>
        <s v="01PL25110480" u="1"/>
        <s v="01PL25121918" u="1"/>
        <s v="01PL26020754" u="1"/>
        <s v="01PL260204496" u="1"/>
        <s v="01PL25101140" u="1"/>
        <s v="01PL25121950" u="1"/>
        <s v="01PL251120171" u="1"/>
        <s v="01PL251124180" u="1"/>
        <s v="01PL251212171" u="1"/>
        <s v="01PL260115197" u="1"/>
        <s v="01PL260115289" u="1"/>
        <s v="01PL260207197" u="1"/>
        <s v="01PL25102598" u="1"/>
        <s v="01PL25112610" u="1"/>
        <s v="01PL25120998" u="1"/>
        <s v="01PL25121810" u="1"/>
        <s v="01PL251103149" u="1"/>
        <s v="01PL251127249" u="1"/>
        <s v="01PL251219157" u="1"/>
        <s v="01PL251219249" u="1"/>
        <s v="01PL251231138" u="1"/>
        <s v="01PL260115241" u="1"/>
        <s v="01PL260119250" u="1"/>
        <s v="01PL260203140" u="1"/>
        <s v="01PL260207241" u="1"/>
        <s v="01PL2511228" u="1"/>
        <s v="01PL25120858" u="1"/>
        <s v="01PL251103101" u="1"/>
        <s v="01PL251107110" u="1"/>
        <s v="01PL251215100" u="1"/>
        <s v="01PL251219201" u="1"/>
        <s v="01PL260110108" u="1"/>
        <s v="01PL2512134" u="1"/>
        <s v="01PL25122317" u="1"/>
        <s v="01PL26010354" u="1"/>
        <s v="01PL26021153" u="1"/>
        <s v="01PL251204180" u="1"/>
        <s v="01PL251220170" u="1"/>
        <s v="01PL25100611" u="1"/>
        <s v="01PL251027166" u="1"/>
        <s v="01PL2511108" u="1"/>
        <s v="01PL2512269" u="1"/>
        <s v="01PL25110458" u="1"/>
        <s v="01PL251003110" u="1"/>
        <s v="01PL251203100" u="1"/>
        <s v="01PL260102209" u="1"/>
        <s v="01PL260106126" u="1"/>
        <s v="01PL260122208" u="1"/>
        <s v="01PL260126125" u="1"/>
        <s v="01PL260210107" u="1"/>
        <s v="01PL2512014" u="1"/>
        <s v="01PL2512255" u="1"/>
        <s v="01PL25101118" u="1"/>
        <s v="01PL25110318" u="1"/>
        <s v="01PL25110490" u="1"/>
        <s v="01PL25121928" u="1"/>
        <s v="01PL26020764" u="1"/>
        <s v="01PL25101150" u="1"/>
        <s v="01PL25121960" u="1"/>
        <s v="01PL26020624" u="1"/>
        <s v="01PL260115297" u="1"/>
        <s v="01PL25101010" u="1"/>
        <s v="01PL25112620" u="1"/>
        <s v="01PL25121820" u="1"/>
        <s v="01PL251216600" u="1"/>
        <s v="01PL251219165" u="1"/>
        <s v="01PL251219257" u="1"/>
        <s v="01PL251231146" u="1"/>
        <s v="01PL2511229" u="1"/>
        <s v="01PL260110116" u="1"/>
        <s v="01PL260110208" u="1"/>
        <s v="01PL2512135" u="1"/>
        <s v="01PL25122327" u="1"/>
        <s v="01PL26010364" u="1"/>
        <s v="01PL26021163" u="1"/>
        <s v="01PL25100621" u="1"/>
        <s v="01PL2511109" u="1"/>
        <s v="01PL260102125" u="1"/>
        <s v="01PL260106134" u="1"/>
        <s v="01PL260126133" u="1"/>
        <s v="01PL260210115" u="1"/>
        <s v="01PL2512015" u="1"/>
        <s v="01PL2512256" u="1"/>
        <s v="01PL25101128" u="1"/>
        <s v="01PL25110328" u="1"/>
        <s v="01PL25121938" u="1"/>
        <s v="01PL2512242" u="1"/>
        <s v="01PL25121970" u="1"/>
        <s v="01PL26020634" u="1"/>
        <s v="01PL25101020" u="1"/>
        <s v="01PL25112630" u="1"/>
        <s v="01PL25121830" u="1"/>
        <s v="01PL251127173" u="1"/>
        <s v="01PL251231154" u="1"/>
        <s v="01PL260110124" u="1"/>
        <s v="01PL260110216" u="1"/>
        <s v="01PL260202216" u="1"/>
        <s v="01PL260202308" u="1"/>
        <s v="01PL2512136" u="1"/>
        <s v="01PL25122337" u="1"/>
        <s v="01PL26010374" u="1"/>
        <s v="01PL26021173" u="1"/>
        <s v="01PL25100631" u="1"/>
        <s v="01PL25110478" u="1"/>
        <s v="01PL260102133" u="1"/>
        <s v="01PL260102225" u="1"/>
        <s v="01PL260122224" u="1"/>
        <s v="01PL260210123" u="1"/>
        <s v="01PL2512016" u="1"/>
        <s v="01PL2512257" u="1"/>
        <s v="01PL25101138" u="1"/>
        <s v="01PL25110338" u="1"/>
        <s v="01PL25121137" u="1"/>
        <s v="01PL25121948" u="1"/>
        <s v="01PL251118102" u="1"/>
        <s v="01PL260109119" u="1"/>
        <s v="01PL2512243" u="1"/>
        <s v="01PL25121980" u="1"/>
        <s v="01PL26020644" u="1"/>
        <s v="01PL251216572" u="1"/>
        <s v="01PL25101030" u="1"/>
        <s v="01PL25112640" u="1"/>
        <s v="01PL25121840" u="1"/>
        <s v="01PL251127181" u="1"/>
        <s v="01PL251219181" u="1"/>
        <s v="01PL260114189" u="1"/>
        <s v="01PL260110132" u="1"/>
        <s v="01PL260110224" u="1"/>
        <s v="01PL260130131" u="1"/>
        <s v="01PL260202224" u="1"/>
        <s v="01PL260202316" u="1"/>
        <s v="01PL2512137" u="1"/>
        <s v="01PL25122347" u="1"/>
        <s v="01PL26010384" u="1"/>
        <s v="01PL251218101" u="1"/>
        <s v="01PL260209118" u="1"/>
        <s v="01PL25100641" u="1"/>
        <s v="01PL260102189" u="1"/>
        <s v="01PL" u="1"/>
        <s v="01PL25102911" u="1"/>
        <s v="01PL25110488" u="1"/>
        <s v="01PL25122910" u="1"/>
        <s v="01PL251118158" u="1"/>
        <s v="01PL251222139" u="1"/>
        <s v="01PL251226148" u="1"/>
        <s v="01PL260102141" u="1"/>
        <s v="01PL260122232" u="1"/>
        <s v="01PL2512017" u="1"/>
        <s v="01PL2512258" u="1"/>
        <s v="01PL25101148" u="1"/>
        <s v="01PL25110348" u="1"/>
        <s v="01PL25121147" u="1"/>
        <s v="01PL25121958" u="1"/>
        <s v="01PL251022101" u="1"/>
        <s v="01PL251118110" u="1"/>
        <s v="01PL251118202" u="1"/>
        <s v="01PL260109127" u="1"/>
        <s v="01PL2512244" u="1"/>
        <s v="01PL25112618" u="1"/>
        <s v="01PL25121818" u="1"/>
        <s v="01PL26011454" u="1"/>
        <s v="01PL26020654" u="1"/>
        <s v="01PL251216580" u="1"/>
        <s v="01PL25101040" u="1"/>
        <s v="01PL25112650" u="1"/>
        <s v="01PL25121850" u="1"/>
        <s v="01PL26011314" u="1"/>
        <s v="01PL26020514" u="1"/>
        <s v="01PL260110188" u="1"/>
        <s v="01PL260114289" u="1"/>
        <s v="01PL25112510" u="1"/>
        <s v="01PL25122497" u="1"/>
        <s v="01PL251010149" u="1"/>
        <s v="01PL251126157" u="1"/>
        <s v="01PL251230138" u="1"/>
        <s v="01PL260110140" u="1"/>
        <s v="01PL260110232" u="1"/>
        <s v="01PL260114241" u="1"/>
        <s v="01PL260202232" u="1"/>
        <s v="01PL260202324" u="1"/>
        <s v="01PL2512138" u="1"/>
        <s v="01PL25122357" u="1"/>
        <s v="01PL26010394" u="1"/>
        <s v="01PL251106110" u="1"/>
        <s v="01PL260209126" u="1"/>
        <s v="01PL25100619" u="1"/>
        <s v="01PL25100651" u="1"/>
        <s v="01PL260102197" u="1"/>
        <s v="01PL260122196" u="1"/>
        <s v="01PL25102921" u="1"/>
        <s v="01PL25110498" u="1"/>
        <s v="01PL25120510" u="1"/>
        <s v="01PL25122920" u="1"/>
        <s v="01PL251022249" u="1"/>
        <s v="01PL251202148" u="1"/>
        <s v="01PL251206249" u="1"/>
        <s v="01PL251222147" u="1"/>
        <s v="01PL251226156" u="1"/>
        <s v="01PL260122240" u="1"/>
        <s v="01PL2512018" u="1"/>
        <s v="01PL2512259" u="1"/>
        <s v="01PL25110358" u="1"/>
        <s v="01PL25121157" u="1"/>
        <s v="01PL25121968" u="1"/>
        <s v="01PL251022201" u="1"/>
        <s v="01PL251110100" u="1"/>
        <s v="01PL251118210" u="1"/>
        <s v="01PL251226200" u="1"/>
        <s v="01PL260105126" u="1"/>
        <s v="01PL260129318" u="1"/>
        <s v="01PL2512245" u="1"/>
        <s v="01PL25101018" u="1"/>
        <s v="01PL25112628" u="1"/>
        <s v="01PL25121828" u="1"/>
        <s v="01PL26011464" u="1"/>
        <s v="01PL26020664" u="1"/>
        <s v="01PL25101050" u="1"/>
        <s v="01PL25112660" u="1"/>
        <s v="01PL25121860" u="1"/>
        <s v="01PL26011324" u="1"/>
        <s v="01PL26020524" u="1"/>
        <s v="01PL260114297" u="1"/>
        <s v="01PL260202288" u="1"/>
        <s v="01PL25110110" u="1"/>
        <s v="01PL25112520" u="1"/>
        <s v="01PL251010157" u="1"/>
        <s v="01PL251126165" u="1"/>
        <s v="01PL260202240" u="1"/>
        <s v="01PL2512139" u="1"/>
        <s v="01PL25122367" u="1"/>
        <s v="01PL251010201" u="1"/>
        <s v="01PL260209134" u="1"/>
        <s v="01PL25100629" u="1"/>
        <s v="01PL26012674" u="1"/>
        <s v="01PL26021063" u="1"/>
        <s v="01PL25102260" u="1"/>
        <s v="01PL25102120" u="1"/>
        <s v="01PL25102931" u="1"/>
        <s v="01PL25120520" u="1"/>
        <s v="01PL25122930" u="1"/>
        <s v="01PL251022257" u="1"/>
        <s v="01PL251118174" u="1"/>
        <s v="01PL251202156" u="1"/>
        <s v="01PL251202248" u="1"/>
        <s v="01PL251206257" u="1"/>
        <s v="01PL251222155" u="1"/>
        <s v="01PL251226164" u="1"/>
        <s v="01PL2512019" u="1"/>
        <s v="01PL25110368" u="1"/>
        <s v="01PL25121167" u="1"/>
        <s v="01PL25121978" u="1"/>
        <s v="01PL251202200" u="1"/>
        <s v="01PL260109143" u="1"/>
        <s v="01PL260129326" u="1"/>
        <s v="01PL2512246" u="1"/>
        <s v="01PL25101028" u="1"/>
        <s v="01PL25112638" u="1"/>
        <s v="01PL25121838" u="1"/>
        <s v="01PL26011474" u="1"/>
        <s v="01PL2512232" u="1"/>
        <s v="01PL25101060" u="1"/>
        <s v="01PL25121870" u="1"/>
        <s v="01PL26011334" u="1"/>
        <s v="01PL26020534" u="1"/>
        <s v="01PL260202296" u="1"/>
        <s v="01PL25101731" u="1"/>
        <s v="01PL25110120" u="1"/>
        <s v="01PL25112530" u="1"/>
        <s v="01PL251010165" u="1"/>
        <s v="01PL251230154" u="1"/>
        <s v="01PL25122377" u="1"/>
        <s v="01PL260209142" u="1"/>
        <s v="01PL25100639" u="1"/>
        <s v="01PL25111438" u="1"/>
        <s v="01PL26012684" u="1"/>
        <s v="01PL26021073" u="1"/>
        <s v="01PL25102270" u="1"/>
        <s v="01PL25102130" u="1"/>
        <s v="01PL25102941" u="1"/>
        <s v="01PL25120530" u="1"/>
        <s v="01PL25122940" u="1"/>
        <s v="01PL251022265" u="1"/>
        <s v="01PL251114449" u="1"/>
        <s v="01PL251118182" u="1"/>
        <s v="01PL251202164" u="1"/>
        <s v="01PL251202256" u="1"/>
        <s v="01PL251206265" u="1"/>
        <s v="01PL251226172" u="1"/>
        <s v="01PL260109199" u="1"/>
        <s v="01PL25121177" u="1"/>
        <s v="01PL251202300" u="1"/>
        <s v="01PL251229149" u="1"/>
        <s v="01PL260109151" u="1"/>
        <s v="01PL2512247" u="1"/>
        <s v="01PL25101038" u="1"/>
        <s v="01PL25112648" u="1"/>
        <s v="01PL25121848" u="1"/>
        <s v="01PL26011484" u="1"/>
        <s v="01PL251209102" u="1"/>
        <s v="01PL251229101" u="1"/>
        <s v="01PL2512233" u="1"/>
        <s v="01PL25121880" u="1"/>
        <s v="01PL26011344" u="1"/>
        <s v="01PL26020544" u="1"/>
        <s v="01PL25101741" u="1"/>
        <s v="01PL25110130" u="1"/>
        <s v="01PL25112540" u="1"/>
        <s v="01PL251010173" u="1"/>
        <s v="01PL251230162" u="1"/>
        <s v="01PL25122387" u="1"/>
        <s v="01PL251125149" u="1"/>
        <s v="01PL25100649" u="1"/>
        <s v="01PL26012694" u="1"/>
        <s v="01PL26021083" u="1"/>
        <s v="01PL251017111" u="1"/>
        <s v="01PL251125101" u="1"/>
        <s v="01PL260116118" u="1"/>
        <s v="01PL260204109" u="1"/>
        <s v="01PL25102280" u="1"/>
        <s v="01PL25102919" u="1"/>
        <s v="01PL25122918" u="1"/>
        <s v="01PL25102140" u="1"/>
        <s v="01PL25120540" u="1"/>
        <s v="01PL25122950" u="1"/>
        <s v="01PL26010815" u="1"/>
        <s v="01PL251022181" u="1"/>
        <s v="01PL251114457" u="1"/>
        <s v="01PL251118190" u="1"/>
        <s v="01PL251202172" u="1"/>
        <s v="01PL251222171" u="1"/>
        <s v="01PL251226180" u="1"/>
        <s v="01PL260129298" u="1"/>
        <s v="01PL25110388" u="1"/>
        <s v="01PL25121187" u="1"/>
        <s v="01PL251229157" u="1"/>
        <s v="01PL260129342" u="1"/>
        <s v="01PL2512248" u="1"/>
        <s v="01PL25101048" u="1"/>
        <s v="01PL25112658" u="1"/>
        <s v="01PL25121858" u="1"/>
        <s v="01PL26011494" u="1"/>
        <s v="01PL251205101" u="1"/>
        <s v="01PL251209110" u="1"/>
        <s v="01PL2512234" u="1"/>
        <s v="01PL25112518" u="1"/>
        <s v="01PL25121890" u="1"/>
        <s v="01PL26011354" u="1"/>
        <s v="01PL26020554" u="1"/>
        <s v="01PL25110140" u="1"/>
        <s v="01PL25112550" u="1"/>
        <s v="01PL26011214" u="1"/>
        <s v="01PL251010181" u="1"/>
        <s v="01PL251230170" u="1"/>
        <s v="01PL25110811" u="1"/>
        <s v="01PL25112410" u="1"/>
        <s v="01PL25121610" u="1"/>
        <s v="01PL25122397" u="1"/>
        <s v="01PL251125157" u="1"/>
        <s v="01PL26021093" u="1"/>
        <s v="01PL260116126" u="1"/>
        <s v="01PL260204117" u="1"/>
        <s v="01PL260204209" u="1"/>
        <s v="01PL25102118" u="1"/>
        <s v="01PL25102290" u="1"/>
        <s v="01PL25102929" u="1"/>
        <s v="01PL25122928" u="1"/>
        <s v="01PL25120550" u="1"/>
        <s v="01PL25122960" u="1"/>
        <s v="01PL26010825" u="1"/>
        <s v="01PL251022281" u="1"/>
        <s v="01PL251114465" u="1"/>
        <s v="01PL251202272" u="1"/>
        <s v="01PL251206281" u="1"/>
        <s v="01PL25100411" u="1"/>
        <s v="01PL25110398" u="1"/>
        <s v="01PL25111210" u="1"/>
        <s v="01PL25121197" u="1"/>
        <s v="01PL260129350" u="1"/>
        <s v="01PL2512249" u="1"/>
        <s v="01PL25101058" u="1"/>
        <s v="01PL25121868" u="1"/>
        <s v="01PL260128226" u="1"/>
        <s v="01PL2512235" u="1"/>
        <s v="01PL25101729" u="1"/>
        <s v="01PL25110118" u="1"/>
        <s v="01PL25112528" u="1"/>
        <s v="01PL26011364" u="1"/>
        <s v="01PL26020564" u="1"/>
        <s v="01PL25101761" u="1"/>
        <s v="01PL25110150" u="1"/>
        <s v="01PL26011224" u="1"/>
        <s v="01PL25110821" u="1"/>
        <s v="01PL25112420" u="1"/>
        <s v="01PL25121620" u="1"/>
        <s v="01PL251105258" u="1"/>
        <s v="01PL251125165" u="1"/>
        <s v="01PL251217349" u="1"/>
        <s v="01PL260204125" u="1"/>
        <s v="01PL25102128" u="1"/>
        <s v="01PL25102939" u="1"/>
        <s v="01PL25120528" u="1"/>
        <s v="01PL25122938" u="1"/>
        <s v="01PL25120560" u="1"/>
        <s v="01PL25122970" u="1"/>
        <s v="01PL26010835" u="1"/>
        <s v="01PL251202280" u="1"/>
        <s v="01PL25100421" u="1"/>
        <s v="01PL25111220" u="1"/>
      </sharedItems>
    </cacheField>
    <cacheField name="Location" numFmtId="0">
      <sharedItems containsBlank="1"/>
    </cacheField>
    <cacheField name="Status" numFmtId="0">
      <sharedItems containsBlank="1"/>
    </cacheField>
    <cacheField name="Expected Qty" numFmtId="0">
      <sharedItems containsBlank="1"/>
    </cacheField>
    <cacheField name="Received Qty" numFmtId="0">
      <sharedItems containsString="0" containsBlank="1" containsNumber="1" containsInteger="1" minValue="0" maxValue="600"/>
    </cacheField>
    <cacheField name="Lottable02 - Supplier" numFmtId="0">
      <sharedItems containsBlank="1"/>
    </cacheField>
    <cacheField name="Lottable03 - PoMpe" numFmtId="0">
      <sharedItems containsBlank="1"/>
    </cacheField>
    <cacheField name="Lottable06" numFmtId="0">
      <sharedItems containsBlank="1"/>
    </cacheField>
    <cacheField name="Lottable07 - Version" numFmtId="0">
      <sharedItems containsBlank="1"/>
    </cacheField>
    <cacheField name="Lottable09 - PoSap" numFmtId="0">
      <sharedItems containsBlank="1"/>
    </cacheField>
    <cacheField name="Lottable10 - MaKiemSoat" numFmtId="0">
      <sharedItems containsBlank="1"/>
    </cacheField>
    <cacheField name="Gross Weight" numFmtId="0">
      <sharedItems containsBlank="1"/>
    </cacheField>
    <cacheField name="Net Weight" numFmtId="0">
      <sharedItems containsBlank="1"/>
    </cacheField>
    <cacheField name="Tare Weight" numFmtId="0">
      <sharedItems containsBlank="1"/>
    </cacheField>
    <cacheField name="UDF1 - Ref Doc (SAP)" numFmtId="0">
      <sharedItems containsBlank="1"/>
    </cacheField>
    <cacheField name="Date Created" numFmtId="0">
      <sharedItems containsBlank="1"/>
    </cacheField>
    <cacheField name="Date Updated" numFmtId="0">
      <sharedItems containsBlank="1"/>
    </cacheField>
    <cacheField name="Updated By" numFmtId="0">
      <sharedItems containsBlank="1"/>
    </cacheField>
    <cacheField name="Notes (SAP)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vu" refreshedDate="46065.522806134257" createdVersion="6" refreshedVersion="6" minRefreshableVersion="3" recordCount="6" xr:uid="{BE49F9F2-9C96-4E15-8C79-C7A91EFA7AD0}">
  <cacheSource type="worksheet">
    <worksheetSource ref="A1:S8998" sheet="IMPORT"/>
  </cacheSource>
  <cacheFields count="19">
    <cacheField name="ASN/Receipt" numFmtId="0">
      <sharedItems containsBlank="1"/>
    </cacheField>
    <cacheField name="Line #" numFmtId="0">
      <sharedItems containsBlank="1"/>
    </cacheField>
    <cacheField name="Item" numFmtId="0">
      <sharedItems containsBlank="1" count="748">
        <s v="SM_BKD-20_004"/>
        <s v="SM_BKG-20_004"/>
        <s v="SM_BKR-20_004"/>
        <s v="SM_BKY-20_004"/>
        <s v="SM_BKW-20_004"/>
        <m/>
        <s v="SM_SRPLB-18/3C_001" u="1"/>
        <s v="SM_SSPLB-18/3C_001" u="1"/>
        <s v="SM_HBE2-200T_001" u="1"/>
        <s v="SM_DLV-9T_004" u="1"/>
        <s v="SM_S7TV/TEL-GY_001" u="1"/>
        <s v="SM_TSLB2-20N_002" u="1"/>
        <s v="SM_RPL-9T/G_001" u="1"/>
        <s v="SM_DLTL-9N_004" u="1"/>
        <s v="SM_LB-20N_001" u="1"/>
        <s v="SM_RPL-9SV_002" u="1"/>
        <s v="SM_LBD2-50T_003" u="1"/>
        <s v="SM_AFC2-300_001" u="1"/>
        <s v="SM_SRPL2-12V_002" u="1"/>
        <s v="SM_LDL2_001" u="1"/>
        <s v="SM_RPL-9T/G_002" u="1"/>
        <s v="SM_LBD3-50T_003" u="1"/>
        <s v="SM_DLT-7T_006" u="1"/>
        <s v="SM_LCD-7V_001" u="1"/>
        <s v="SM_BCL22835-AC_001" u="1"/>
        <s v="SM_DLT-9T_004" u="1"/>
        <s v="SM_TSLB2-20V_002" u="1"/>
        <s v="SM_FLD2-50T_101" u="1"/>
        <s v="SM_FLD3-50T_101" u="1"/>
        <s v="SM_TSLB2-25N_002" u="1"/>
        <s v="SM_MWP-118_101" u="1"/>
        <s v="SM_MWP136_001" u="1"/>
        <s v="SM_FLM-3YL_002" u="1"/>
        <s v="SM_FLD2-50V_101" u="1"/>
        <s v="SM_MWP236_001" u="1"/>
        <s v="SM_FLD3-50V_101" u="1"/>
        <s v="SM_LBD3-5V_001" u="1"/>
        <s v="SM_DLB-12T_004" u="1"/>
        <s v="SM_DLF-12V_002" u="1"/>
        <s v="SM_RPL-6N_101" u="1"/>
        <s v="SM_DLB-7T_004" u="1"/>
        <s v="SM_S7MD20_001" u="1"/>
        <s v="SM_A6UESMV_001" u="1"/>
        <s v="SM_FLD2-150V_101" u="1"/>
        <s v="SM_SRPLB2-24T_001" u="1"/>
        <s v="SM_SSPLB2-24T_001" u="1"/>
        <s v="SM_AM6S_001" u="1"/>
        <s v="SM_RPL-9T/S_001" u="1"/>
        <s v="SM_A6M/1_004" u="1"/>
        <s v="SM_RPL-9T/S_002" u="1"/>
        <s v="SM_BN-40T_001" u="1"/>
        <s v="SM_DLV-9V_004" u="1"/>
        <s v="SM_LBD3-5T_001" u="1"/>
        <s v="SM_DLB-12N_006" u="1"/>
        <s v="SM_DLF-12T_002" u="1"/>
        <s v="SM_MC-LS2835/90-RGB/AC_001" u="1"/>
        <s v="SM_BN-60T_001" u="1"/>
        <s v="SM_VM1_002" u="1"/>
        <s v="SM_B6123_001" u="1"/>
        <s v="SM_S7DBP-W_001" u="1"/>
        <s v="SM_RPL-9ST_001" u="1"/>
        <s v="SM_S7TV/LAN-GY_001" u="1"/>
        <s v="SM_DPL-12V_001" u="1"/>
        <s v="SM_FLD5-150V_001" u="1"/>
        <s v="SM_S7MS-GY_001" u="1"/>
        <s v="SM_DPL-20V_001" u="1"/>
        <s v="SM_DLT-9V_004" u="1"/>
        <s v="SM_RPL2-18T_001" u="1"/>
        <s v="SM_MWP-218_101" u="1"/>
        <s v="SM_FPD-12060T_001" u="1"/>
        <s v="SM_LBD3-7V_001" u="1"/>
        <s v="SM_RPL-12ST/G_001" u="1"/>
        <s v="SM_MP10-C380_001" u="1"/>
        <s v="SM_DLV-7/3C_004" u="1"/>
        <s v="SM_S7TV/TEL-W_001" u="1"/>
        <s v="SM_MP10-C250_001" u="1"/>
        <s v="SM_DLF-20T_001" u="1"/>
        <s v="SM_A30RJ88_001" u="1"/>
        <s v="SM_S701/B_001" u="1"/>
        <s v="SM_S702/B_001" u="1"/>
        <s v="SM_AFC2-600_001" u="1"/>
        <s v="SM_DLB-9N_006" u="1"/>
        <s v="SM_S703/B_001" u="1"/>
        <s v="SM_DLF2-7N_001" u="1"/>
        <s v="SM_TL14-PK_001" u="1"/>
        <s v="SM_S704/B_001" u="1"/>
        <s v="SM_FPD-6060T_004" u="1"/>
        <s v="SM_MP10-C280_001" u="1"/>
        <s v="SM_MWP-136_101" u="1"/>
        <s v="SM_DLT-7/3C_005" u="1"/>
        <s v="SM_LBA-80T_001" u="1"/>
        <s v="SM_DLV-9T_006" u="1"/>
        <s v="SM_LBD3-7T_001" u="1"/>
        <s v="SM_FLD2-100V_101" u="1"/>
        <s v="SM_FLD3-100V_101" u="1"/>
        <s v="SM_DLB-12N_004" u="1"/>
        <s v="SM_S7UES2_001" u="1"/>
        <s v="SM_DLB-5/3C_004" u="1"/>
        <s v="SM_SSPL-24T/MS_001" u="1"/>
        <s v="SM_IRHD2_002" u="1"/>
        <s v="SM_RPL-9S/3C/G_002" u="1"/>
        <s v="SM_RPL-9S/3C/G_003" u="1"/>
        <s v="SM_DLT-9T_006" u="1"/>
        <s v="SM_DR/FPD-40_001" u="1"/>
        <s v="SM_S7DIM/L-GY_001" u="1"/>
        <s v="SM_A20USM_001" u="1"/>
        <s v="SM_SB-15A_101" u="1"/>
        <s v="SM_DLB2-7/3C_002" u="1"/>
        <s v="SM_LBD3-9V_001" u="1"/>
        <s v="SM_GT-120T_101" u="1"/>
        <s v="SM_RPL3-12N_001" u="1"/>
        <s v="SM_FLD2-200V_101" u="1"/>
        <s v="SM_DLBL2-9/3C_002" u="1"/>
        <s v="SM_FLD5-100V_001" u="1"/>
        <s v="SM_MWS1-AT_001" u="1"/>
        <s v="SM_DLF-30T_001" u="1"/>
        <s v="SM_DLB-9T_004" u="1"/>
        <s v="SM_SRPLB2-24/3C_001" u="1"/>
        <s v="SM_SSPLB2-24/3C_001" u="1"/>
        <s v="SM_S223_001" u="1"/>
        <s v="SM_BHR-12_001" u="1"/>
        <s v="SM_TN-2_001" u="1"/>
        <s v="SM_RPL-9SN_001" u="1"/>
        <s v="SM_TN-4_001" u="1"/>
        <s v="SM_RPL2-12T_001" u="1"/>
        <s v="SM_TS-10_003" u="1"/>
        <s v="SM_TN-6_001" u="1"/>
        <s v="SM_RPL3-12T_001" u="1"/>
        <s v="SM_TS-20_003" u="1"/>
        <s v="SM_MWP-236_101" u="1"/>
        <s v="SM_TS-40_003" u="1"/>
        <s v="SM_DLV-9V_006" u="1"/>
        <s v="SM_LBD3-9T_001" u="1"/>
        <s v="SM_RPL3-12V_001" u="1"/>
        <s v="SM_TS-60_003" u="1"/>
        <s v="SM_LB-20T_001" u="1"/>
        <s v="SM_LB-30T_001" u="1"/>
        <s v="SM_RPL-7/3C/S_001" u="1"/>
        <s v="SM_RPL-9/3C/S_001" u="1"/>
        <s v="SM_LB-40T_001" u="1"/>
        <s v="SM_LB-50T_001" u="1"/>
        <s v="SM_FLM-2/B35_002" u="1"/>
        <s v="SM_S7DIM/L-W_001" u="1"/>
        <s v="SM_DLT-9V_006" u="1"/>
        <s v="SM_KT_001" u="1"/>
        <s v="SM_RPL-12S/3C_001" u="1"/>
        <s v="SM_DLV2-9/3C_002" u="1"/>
        <s v="SM_RPL-12ST/G_002" u="1"/>
        <s v="SM_RPL-6T_101" u="1"/>
        <s v="SM_MRL-10/3C_001" u="1"/>
        <s v="SM_DLV-9/3C_004" u="1"/>
        <s v="SM_SRPL-18T_101" u="1"/>
        <s v="SM_RPL-9N_101" u="1"/>
        <s v="SM_DLB-9V_004" u="1"/>
        <s v="SM_DLV-9/3C_005" u="1"/>
        <s v="SM_SRPL-18V_101" u="1"/>
        <s v="SM_DLV-9/3C_006" u="1"/>
        <s v="SM_DLT-9/3C_004" u="1"/>
        <s v="SM_SSPL-18T_101" u="1"/>
        <s v="SM_S7DIM/F-GY_001" u="1"/>
        <s v="SM_S7UES2/FW_001" u="1"/>
        <s v="SM_AKSB_001" u="1"/>
        <s v="SM_DLT-9/3C_005" u="1"/>
        <s v="SM_SPL-6T_101" u="1"/>
        <s v="SM_DLF-25T_001" u="1"/>
        <s v="SM_DLT-9/3C_006" u="1"/>
        <s v="SM_S7MS2-GY_001" u="1"/>
        <s v="SM_LHB-100T_101" u="1"/>
        <s v="SM_F115_001" u="1"/>
        <s v="SM_TS-4_002" u="1"/>
        <s v="SM_TS-6_002" u="1"/>
        <s v="SM_TA8_002" u="1"/>
        <s v="SM_TSL2-12N_001" u="1"/>
        <s v="SM_TSL-8N_001" u="1"/>
        <s v="SM_DLB-12/3C_006" u="1"/>
        <s v="SM_DLT-12/3C_006" u="1"/>
        <s v="SM_DLV-12/3C_006" u="1"/>
        <s v="SM_LST2-150V_001" u="1"/>
        <s v="SM_AD1_001" u="1"/>
        <s v="SM_RPL-6V_101" u="1"/>
        <s v="SM_BHO-6_001" u="1"/>
        <s v="SM_S7TV/FGY_001" u="1"/>
        <s v="SM_A6NRDV_001" u="1"/>
        <s v="SM_TL14-RD_001" u="1"/>
        <s v="SM_A6USV_003" u="1"/>
        <s v="SM_DLB-9T_006" u="1"/>
        <s v="SM_TSL2-12T_001" u="1"/>
        <s v="SM_LRD1_001" u="1"/>
        <s v="SM_LS22835AC-V_001" u="1"/>
        <s v="SM_MC-LS2835AC_001" u="1"/>
        <s v="SM_TA6_001" u="1"/>
        <s v="SM_S7DIM/F-W_001" u="1"/>
        <s v="SM_NL2_001" u="1"/>
        <s v="SM_SSDL-16T_001" u="1"/>
        <s v="SM_SRPL-6/3C_101" u="1"/>
        <s v="SM_TS-32_003" u="1"/>
        <s v="SM_DB5_001" u="1"/>
        <s v="SM_WP-9_001" u="1"/>
        <s v="SM_A20US2XX_001" u="1"/>
        <s v="SM_A20US2_001" u="1"/>
        <s v="SM_GT-60T_001" u="1"/>
        <s v="SM_RPL-7/3C/S_002" u="1"/>
        <s v="SM_RPL-9/3C/S_002" u="1"/>
        <s v="SM_S7TEL-GY_001" u="1"/>
        <s v="SM_SRPL-24T_101" u="1"/>
        <s v="SM_SRPL-18T/MS_101" u="1"/>
        <s v="SM_SRPL-12T_101" u="1"/>
        <s v="SM_HBV-80T_001" u="1"/>
        <s v="SM_DB3_001" u="1"/>
        <s v="SM_TSL2-20N_001" u="1"/>
        <s v="SM_TSLB-12V_001" u="1"/>
        <s v="SM_DLE-7T_001" u="1"/>
        <s v="SM_SRPL-12V_101" u="1"/>
        <s v="SM_SRDL-24N_001" u="1"/>
        <s v="SM_DLE-9N_002" u="1"/>
        <s v="SM_TS-10/P_001" u="1"/>
        <s v="SM_SSPL-24T_101" u="1"/>
        <s v="SM_BKR-20_003" u="1"/>
        <s v="SM_GT8-120N_002" u="1"/>
        <s v="SM_LT8-60T/MS_002" u="1"/>
        <s v="SM_A20US3_001" u="1"/>
        <s v="SM_SRDL-48T_001" u="1"/>
        <s v="SM_LS22835AC-T_001" u="1"/>
        <s v="SM_BHR-18_001" u="1"/>
        <s v="SM_SRDL-24T_001" u="1"/>
        <s v="SM_RPL-9ST/G_003" u="1"/>
        <s v="SM_TSLB-20N_001" u="1"/>
        <s v="SM_A30/1_001" u="1"/>
        <s v="SM_GT8-120T_002" u="1"/>
        <s v="SM_LS25050AC-V_001" u="1"/>
        <s v="SM_RPL-9ST/S_001" u="1"/>
        <s v="SM_DLA2R-9T_001" u="1"/>
        <s v="SM_FLM-3GR_002" u="1"/>
        <s v="SM_BTD-01_001" u="1"/>
        <s v="SM_GT8-120V_002" u="1"/>
        <s v="SM_S7MD20-GY_001" u="1"/>
        <s v="SM_BN-36N_003" u="1"/>
        <s v="SM_BN2-18T_002" u="1"/>
        <s v="SM_TSL2-30T_001" u="1"/>
        <s v="SM_DLB-9/3C_004" u="1"/>
        <s v="SM_MP6-C163_001" u="1"/>
        <s v="SM_TSL2-30V_001" u="1"/>
        <s v="SM_RPL-12S/3C/G_001" u="1"/>
        <s v="SM_DLB-9/3C_005" u="1"/>
        <s v="SM_MP6-C150_001" u="1"/>
        <s v="SM_S7MS2_001" u="1"/>
        <s v="SM_DLV2-12/3C_002" u="1"/>
        <s v="SM_DLS-212N_001" u="1"/>
        <s v="SM_DLB-9/3C_006" u="1"/>
        <s v="SM_RPL3-9/3C_001" u="1"/>
        <s v="SM_KLSN2_001" u="1"/>
        <s v="SM_DLA2R-7T_001" u="1"/>
        <s v="SM_MP4-C163_001" u="1"/>
        <s v="SM_RPL-12S/3C/G_002" u="1"/>
        <s v="SM_RPL-9T_101" u="1"/>
        <s v="SM_RPL-12/3C_101" u="1"/>
        <s v="SM_MP6-C140_001" u="1"/>
        <s v="SM_BN2-36V_002" u="1"/>
        <s v="SM_KLSAC-5050_001" u="1"/>
        <s v="SM_DLA2R-7V_001" u="1"/>
        <s v="SM_SSL-7V_001" u="1"/>
        <s v="SM_S701M/B_001" u="1"/>
        <s v="SM_SRPL-12T/MS_101" u="1"/>
        <s v="SM_S702M/B_001" u="1"/>
        <s v="SM_SRDL-32T_001" u="1"/>
        <s v="SM_MP6-C263_001" u="1"/>
        <s v="SM_DLS-212T_001" u="1"/>
        <s v="SM_MP6-C250_001" u="1"/>
        <s v="SM_TL8_002" u="1"/>
        <s v="SM_DLS-212V_001" u="1"/>
        <s v="SM_RPL3-7T_002" u="1"/>
        <s v="SM_PL2_101" u="1"/>
        <s v="SM_TS-14_003" u="1"/>
        <s v="SM_SFLD2-100T_002" u="1"/>
        <s v="SM_DPM2_001" u="1"/>
        <s v="SM_LHE22_001" u="1"/>
        <s v="SM_TS-24_003" u="1"/>
        <s v="SM_MP6-C132_001" u="1"/>
        <s v="SM_SSDL-32T_001" u="1"/>
        <s v="SM_FPD-6060/SC_001" u="1"/>
        <s v="SM_DPM3_001" u="1"/>
        <s v="SM_MP4-C263_001" u="1"/>
        <s v="SM_LS25050AC-T_001" u="1"/>
        <s v="SM_DLA2R-5T_001" u="1"/>
        <s v="SM_SPL-9T_101" u="1"/>
        <s v="SM_MP4-C250_001" u="1"/>
        <s v="SM_MP6-C240_001" u="1"/>
        <s v="SM_MP6-C120_001" u="1"/>
        <s v="SM_BN2-36T_002" u="1"/>
        <s v="SM_DLA2R-5V_001" u="1"/>
        <s v="SM_LHK23_001" u="1"/>
        <s v="SM_TSL-8T_001" u="1"/>
        <s v="SM_MP6-C363_001" u="1"/>
        <s v="SM_A6MD20_001" u="1"/>
        <s v="SM_RCBO2-30/263_001" u="1"/>
        <s v="SM_MP6-C350_001" u="1"/>
        <s v="SM_RPL-7/3C/G_001" u="1"/>
        <s v="SM_RPL-9/3C/G_001" u="1"/>
        <s v="SM_BKD-20_003" u="1"/>
        <s v="SM_MP6-C110_001" u="1"/>
        <s v="SM_FPD3-6060T_003" u="1"/>
        <s v="SM_MP6-C125_001" u="1"/>
        <s v="SM_FLM-4/ST64_002" u="1"/>
        <s v="SM_FLM-6/ST64_002" u="1"/>
        <s v="SM_MP6-C232_001" u="1"/>
        <s v="SM_MS-HBE2_001" u="1"/>
        <s v="SM_MP4-C363_001" u="1"/>
        <s v="SM_A20UESM2_001" u="1"/>
        <s v="SM_LBD-60T_001" u="1"/>
        <s v="SM_RPL-9V_101" u="1"/>
        <s v="SM_CKPD-60_001" u="1"/>
        <s v="SM_DLA2R-3T_001" u="1"/>
        <s v="SM_MP4-C350_001" u="1"/>
        <s v="SM_MP6-C340_001" u="1"/>
        <s v="SM_MP6-C220_001" u="1"/>
        <s v="SM_DLA2R-3V_001" u="1"/>
        <s v="SM_WP-18_001" u="1"/>
        <s v="SM_MP6-C463_001" u="1"/>
        <s v="SM_RPL-12T/MS_101" u="1"/>
        <s v="SM_MP6-C116_001" u="1"/>
        <s v="SM_FPD-3030/SC_001" u="1"/>
        <s v="SM_SRDLB-32T_001" u="1"/>
        <s v="SM_RPL-12S/3C/S_001" u="1"/>
        <s v="SM_MP6-C210_001" u="1"/>
        <s v="SM_DR-250/LS2-2835_001" u="1"/>
        <s v="SM_DR-400/LS2-2835_001" u="1"/>
        <s v="SM_A30/1_002" u="1"/>
        <s v="SM_SSDLB-48T_001" u="1"/>
        <s v="SM_RPL3-9V_001" u="1"/>
        <s v="SM_MP6-C225_001" u="1"/>
        <s v="SM_MP6-C332_001" u="1"/>
        <s v="SM_RCBO2-30/240_001" u="1"/>
        <s v="SM_A223S_001" u="1"/>
        <s v="SM_BTD-03_002" u="1"/>
        <s v="SM_S7TEL/LAN-W_001" u="1"/>
        <s v="SM_MP6-C106_001" u="1"/>
        <s v="SM_SPL-9V_101" u="1"/>
        <s v="SM_S701/FGY_001" u="1"/>
        <s v="SM_BN-18N_003" u="1"/>
        <s v="SM_BN-36T_002" u="1"/>
        <s v="SM_MP6-C440_001" u="1"/>
        <s v="SM_RPL-12S/3C/S_002" u="1"/>
        <s v="SM_S7LAN-GY_001" u="1"/>
        <s v="SM_S702/FGY_001" u="1"/>
        <s v="SM_MP6-C320_001" u="1"/>
        <s v="SM_S703/FGY_001" u="1"/>
        <s v="SM_S704/FGY_001" u="1"/>
        <s v="SM_SRDLB-24T_001" u="1"/>
        <s v="SM_SSPLB-24T_001" u="1"/>
        <s v="SM_TSL-8V_001" u="1"/>
        <s v="SM_MP6-C216_001" u="1"/>
        <s v="SM_A6M/1V_001" u="1"/>
        <s v="SM_LB-9T/MS_002" u="1"/>
        <s v="SM_A6USB-A/C_001" u="1"/>
        <s v="SM_DLE-9T_002" u="1"/>
        <s v="SM_SRPLB-12T_001" u="1"/>
        <s v="SM_SSPLB-12T_001" u="1"/>
        <s v="SM_LT8-120T_001" u="1"/>
        <s v="SM_MP6-C310_001" u="1"/>
        <s v="SM_TS-4/P_001" u="1"/>
        <s v="SM_MP6-C325_001" u="1"/>
        <s v="SM_RPL3-9T_001" u="1"/>
        <s v="SM_LNEB-36N_002" u="1"/>
        <s v="SM_MP6-C432_001" u="1"/>
        <s v="SM_TS-6/P_001" u="1"/>
        <s v="SM_RPL2-6N_001" u="1"/>
        <s v="SM_RPL3-7N_002" u="1"/>
        <s v="SM_SRDLB-16T_001" u="1"/>
        <s v="SM_TSLB2-12T_001" u="1"/>
        <s v="SM_DLEL-6T_001" u="1"/>
        <s v="SM_SRPLB-18T_001" u="1"/>
        <s v="SM_SSPLB-18T_001" u="1"/>
        <s v="SM_A6UES2_001" u="1"/>
        <s v="SM_MP6-C316_001" u="1"/>
        <s v="SM_RCBO2-30/232_001" u="1"/>
        <s v="SM_RPL3-9S/3C_002" u="1"/>
        <s v="SM_KLSAC-2835_001" u="1"/>
        <s v="SM_SRPLB2-18T_001" u="1"/>
        <s v="SM_SSPLB2-18T_001" u="1"/>
        <s v="SM_LNEB-36T_002" u="1"/>
        <s v="SM_MP10-C3100_001" u="1"/>
        <s v="SM_LS3-2835AC-120-T_001" u="1"/>
        <s v="SM_S7TEL/2-W_001" u="1"/>
        <s v="SM_TL2_101" u="1"/>
        <s v="SM_MWS1-NT_001" u="1"/>
        <s v="SM_RCBO2-30/220_001" u="1"/>
        <s v="SM_BN-36T_003" u="1"/>
        <s v="SM_BN2-48T_002" u="1"/>
        <s v="SM_S7LAN/2-GY_001" u="1"/>
        <s v="SM_S7TEL/2-GY_001" u="1"/>
        <s v="SM_MP10-C2100_001" u="1"/>
        <s v="SM_VM2_001" u="1"/>
        <s v="SM_A6M/1V_002" u="1"/>
        <s v="SM_A6M/2V_001" u="1"/>
        <s v="SM_RPL-7/3C/G_002" u="1"/>
        <s v="SM_RPL-9/3C/G_002" u="1"/>
        <s v="SM_MC-LSN2_001" u="1"/>
        <s v="SM_SMPL-12030_001" u="1"/>
        <s v="SM_AM5S_101" u="1"/>
        <s v="SM_LS3-2835AC-120-V_001" u="1"/>
        <s v="SM_TR2_001" u="1"/>
        <s v="SM_DBP_001" u="1"/>
        <s v="SM_RPL-18/3C_101" u="1"/>
        <s v="SM_MRL-8/3C_001" u="1"/>
        <s v="SM_RPL3-7/3C_002" u="1"/>
        <s v="SM_SSL-12V_001" u="1"/>
        <s v="SM_FPD-6060T_002" u="1"/>
        <s v="SM_RCBO2-30/225_001" u="1"/>
        <s v="SM_TSLB-8V_001" u="1"/>
        <s v="SM_DLE-12T_001" u="1"/>
        <s v="SM_SRPL-6V_101" u="1"/>
        <s v="SM_A6RJ88_002" u="1"/>
        <s v="SM_A20UESMX_001" u="1"/>
        <s v="SM_RPL3-9N_001" u="1"/>
        <s v="SM_BN-36V_003" u="1"/>
        <s v="SM_STL-2V/1_001" u="1"/>
        <s v="SM_A662_001" u="1"/>
        <s v="SM_DLEL-9T_001" u="1"/>
        <s v="SM_S7MS2-W_001" u="1"/>
        <s v="SM_TSL-12V_001" u="1"/>
        <s v="SM_STL-2V/2_001" u="1"/>
        <s v="SM_BKT_001" u="1"/>
        <s v="SM_TSL-20V_001" u="1"/>
        <s v="SM_STL-2V/3_001" u="1"/>
        <s v="SM_A6M/1V_003" u="1"/>
        <s v="SM_STL-2V/4_001" u="1"/>
        <s v="SM_A6M/2V_002" u="1"/>
        <s v="SM_DLA-20T_001" u="1"/>
        <s v="SM_SRPL-6T_101" u="1"/>
        <s v="SM_STL-2V/5_001" u="1"/>
        <s v="SM_RCBO2-30/216_001" u="1"/>
        <s v="SM_S7LAN_001" u="1"/>
        <s v="SM_MAF2-150_001" u="1"/>
        <s v="SM_RPL-12V_101" u="1"/>
        <s v="SM_DBM-03_001" u="1"/>
        <s v="SM_GT8-60T_002" u="1"/>
        <s v="SM_S701M/FGY_001" u="1"/>
        <s v="SM_S702M/FGY_001" u="1"/>
        <s v="SM_S7TV/FW_001" u="1"/>
        <s v="SM_SRPL-18/3C_101" u="1"/>
        <s v="SM_F2Y-60_001" u="1"/>
        <s v="SM_TSL-12T_001" u="1"/>
        <s v="SM_AF2-200_001" u="1"/>
        <s v="SM_KLS2AC-5050_001" u="1"/>
        <s v="SM_RPL-18T/MS_101" u="1"/>
        <s v="SM_SRPLB2-18/3C_001" u="1"/>
        <s v="SM_SSPLB2-18/3C_001" u="1"/>
        <s v="SM_SPL-12V_101" u="1"/>
        <s v="SM_RPL-12T_101" u="1"/>
        <s v="SM_LB-9T/AM_001" u="1"/>
        <s v="SM_SRDL-16/3C_001" u="1"/>
        <s v="SM_A30M_001" u="1"/>
        <s v="SM_S7LAN/2-W_001" u="1"/>
        <s v="SM_BN-18T_003" u="1"/>
        <s v="SM_A30M_002" u="1"/>
        <s v="SM_A223V_001" u="1"/>
        <s v="SM_A7M/1_001" u="1"/>
        <s v="SM_DLV-7N_004" u="1"/>
        <s v="SM_TS-48_003" u="1"/>
        <s v="SM_S7TEL-W_001" u="1"/>
        <s v="SM_BHO-12_001" u="1"/>
        <s v="SM_S7DBP-GY_001" u="1"/>
        <s v="SM_DLF2-12N_001" u="1"/>
        <s v="SM_A20UES2_001" u="1"/>
        <s v="SM_MC2-LS5050AC_001" u="1"/>
        <s v="SM_DLE-12N_001" u="1"/>
        <s v="SM_A70KT_001" u="1"/>
        <s v="SM_DB_001" u="1"/>
        <s v="SM_TBS1_101" u="1"/>
        <s v="SM_DLT-7N_004" u="1"/>
        <s v="SM_S701M/FW_001" u="1"/>
        <s v="SM_S702M/FW_001" u="1"/>
        <s v="SM_DLE-7/3C_001" u="1"/>
        <s v="SM_S7UES2/B_001" u="1"/>
        <s v="SM_SPL-12T_101" u="1"/>
        <s v="SM_DBM-05_001" u="1"/>
        <s v="SM_TL9-PK-BD_002" u="1"/>
        <s v="SM_FPD3-6060/40T_001" u="1"/>
        <s v="SM_RPL3-12/3C_001" u="1"/>
        <s v="SM_FPD-6060/50T_001" u="1"/>
        <s v="SM_FLM-4/A60_002" u="1"/>
        <s v="SM_DLTL-9/3C_004" u="1"/>
        <s v="SM_DLF2-12T_001" u="1"/>
        <s v="SM_SLP2-15_001" u="1"/>
        <s v="SM_TR2B_001" u="1"/>
        <s v="SM_DLEL-9N_001" u="1"/>
        <s v="SM_DR-250/LS2-5050_001" u="1"/>
        <s v="SM_DR-400/LS2-5050_001" u="1"/>
        <s v="SM_TSLB-8N_001" u="1"/>
        <s v="SM_S7MD20-W_001" u="1"/>
        <s v="SM_DLA-12N_001" u="1"/>
        <s v="SM_MAFC2-250_001" u="1"/>
        <s v="SM_SRDL-48/3C_001" u="1"/>
        <s v="SM_SSDL-48/3C_001" u="1"/>
        <s v="SM_RPL-9S/3C/S_001" u="1"/>
        <s v="SM_RPL-9S/3C/S_003" u="1"/>
        <s v="SM_MAFC2-130_001" u="1"/>
        <s v="SM_MPN2-0342_001" u="1"/>
        <s v="SM_SRPL2-24T_002" u="1"/>
        <s v="SM_SSPL2-24T_002" u="1"/>
        <s v="SM_I_001" u="1"/>
        <s v="SM_MPN2-0352_001" u="1"/>
        <s v="SM_SW-120_001" u="1"/>
        <s v="SM_AF2-150_001" u="1"/>
        <s v="SM_SRPL-24/3C_101" u="1"/>
        <s v="SM_SRPL-12/3C_101" u="1"/>
        <s v="SM_SRPL2-12T_002" u="1"/>
        <s v="SM_DLB-12/3C_004" u="1"/>
        <s v="SM_DLT-12/3C_004" u="1"/>
        <s v="SM_DLV-12/3C_004" u="1"/>
        <s v="SM_MAF2-200_001" u="1"/>
        <s v="SM_LCD-3V_001" u="1"/>
        <s v="SM_A20UESMXX_002" u="1"/>
        <s v="SM_MPN2-0232_001" u="1"/>
        <s v="SM_TSL-12N_001" u="1"/>
        <s v="SM_TSL-20N_001" u="1"/>
        <s v="SM_DLT-5T_004" u="1"/>
        <s v="SM_MPN2-0242_001" u="1"/>
        <s v="SM_SRDLB-24V_001" u="1"/>
        <s v="SM_FLM-3PK_002" u="1"/>
        <s v="SM_BCL3-2835AC-120_001" u="1"/>
        <s v="SM_MPN2-0252_001" u="1"/>
        <s v="SM_AD2_001" u="1"/>
        <s v="SM_SRPLB-12V_001" u="1"/>
        <s v="SM_SRDLB-16N_001" u="1"/>
        <s v="SM_TSLB2-12N_001" u="1"/>
        <s v="SM_MPN2-0132_001" u="1"/>
        <s v="SM_RPL-12N_101" u="1"/>
        <s v="SM_MPN2-1342_001" u="1"/>
        <s v="SM_FPD-6060/60T_001" u="1"/>
        <s v="SM_MPN2-0142_001" u="1"/>
        <s v="SM_SRPL2-18T_002" u="1"/>
        <s v="SM_SSPL2-18T_002" u="1"/>
        <s v="SM_MPN2-1352_001" u="1"/>
        <s v="SM_MPN2-0152_001" u="1"/>
        <s v="SM_BKY-20_003" u="1"/>
        <s v="SM_DLF2-20T_001" u="1"/>
        <s v="SM_DLT-12V_006" u="1"/>
        <s v="SM_SRPLB2-12T_001" u="1"/>
        <s v="SM_SSPLB2-12T_001" u="1"/>
        <s v="SM_MC2-LS2835AC_001" u="1"/>
        <s v="SM_MC3-LS2835AC_001" u="1"/>
        <s v="SM_DLE-18T_001" u="1"/>
        <s v="SM_FLD2-150T_101" u="1"/>
        <s v="SM_FLD3-150T_101" u="1"/>
        <s v="SM_MPN2-1232_001" u="1"/>
        <s v="SM_LBD3-15T_001" u="1"/>
        <s v="SM_MPN2-1242_001" u="1"/>
        <s v="SM_SSPLB-18V_001" u="1"/>
        <s v="SM_NL3_001" u="1"/>
        <s v="SM_A60456GV_001" u="1"/>
        <s v="SM_MPN2-1252_001" u="1"/>
        <s v="SM_LBD3-15V_001" u="1"/>
        <s v="SM_BKW-20_003" u="1"/>
        <s v="SM_DLV-12T_006" u="1"/>
        <s v="SM_RPL-24T_101" u="1"/>
        <s v="SM_LBD2-15T_003" u="1"/>
        <s v="SM_MPN2-1132_001" u="1"/>
        <s v="SM_A30NRD_001" u="1"/>
        <s v="SM_DLTL-9V_006" u="1"/>
        <s v="SM_MPN2-2342_001" u="1"/>
        <s v="SM_SRDL-32/3C_001" u="1"/>
        <s v="SM_S7UES2/FGY_001" u="1"/>
        <s v="SM_MPN2-1152_001" u="1"/>
        <s v="SM_DLV-9N_004" u="1"/>
        <s v="SM_TL-10_001" u="1"/>
        <s v="SM_AF2-250_001" u="1"/>
        <s v="SM_DLT-12T_006" u="1"/>
        <s v="SM_AK2237ND_001" u="1"/>
        <s v="SM_MPN2-2232_001" u="1"/>
        <s v="SM_FLD5-150T_001" u="1"/>
        <s v="SM_CAT5E-4P_101" u="1"/>
        <s v="SM_MPN2-2242_001" u="1"/>
        <s v="SM_CAT6E-4P_101" u="1"/>
        <s v="SM_DLT-7N_006" u="1"/>
        <s v="SM_RPL-12ST/S_001" u="1"/>
        <s v="SM_DLT-9N_004" u="1"/>
        <s v="SM_SB-20A_101" u="1"/>
        <s v="SM_SB-30A_101" u="1"/>
        <s v="SM_TA1_001" u="1"/>
        <s v="SM_SB-40A_101" u="1"/>
        <s v="SM_SPL-24T_101" u="1"/>
        <s v="SM_MPN2-2132_001" u="1"/>
        <s v="SM_DLF2-40N_003" u="1"/>
        <s v="SM_LBD3-12T_001" u="1"/>
        <s v="SM_DLTL-9T_006" u="1"/>
        <s v="SM_MPN2-023_001" u="1"/>
        <s v="SM_MPN2-2142_001" u="1"/>
        <s v="SM_DLE-9/3C_002" u="1"/>
        <s v="SM_FLM-6/A60_002" u="1"/>
        <s v="SM_MPN2-024_001" u="1"/>
        <s v="SM_RPL-9/3C_101" u="1"/>
        <s v="SM_FLD5-10V_001" u="1"/>
        <s v="SM_LBD3-12V_001" u="1"/>
        <s v="SM_RPL-9ST/G_001" u="1"/>
        <s v="SM_MPN2-025_001" u="1"/>
        <s v="SM_DLT-12V_004" u="1"/>
        <s v="SM_MPN2-3232_001" u="1"/>
        <s v="SM_DLB-7N_004" u="1"/>
        <s v="SM_F2A-60_001" u="1"/>
        <s v="SM_TL9-BL-BD_002" u="1"/>
        <s v="SM_MPN2-013_001" u="1"/>
        <s v="SM_MPN2-014_001" u="1"/>
        <s v="SM_DLF2-40T_003" u="1"/>
        <s v="SM_AMHP-3S_001" u="1"/>
        <s v="SM_IB_001" u="1"/>
        <s v="SM_A6M/2_002" u="1"/>
        <s v="SM_RPL-18T_101" u="1"/>
        <s v="SM_MPN2-015_001" u="1"/>
        <s v="SM_DL65-12V_001" u="1"/>
        <s v="SM_DLV-12T_004" u="1"/>
        <s v="SM_MPN2-3132_001" u="1"/>
        <s v="SM_RPL3-9SN_002" u="1"/>
        <s v="SM_MPN2-4342_001" u="1"/>
        <s v="SM_FLD5-20T_001" u="1"/>
        <s v="SM_FLD2-100T_101" u="1"/>
        <s v="SM_FLD3-100T_101" u="1"/>
        <s v="SM_MPN2-123_001" u="1"/>
        <s v="SM_DLV-7T_004" u="1"/>
        <s v="SM_MPN2-4352_001" u="1"/>
        <s v="SM_S701/FW_001" u="1"/>
        <s v="SM_MPN2-124_001" u="1"/>
        <s v="SM_S7LAN-W_001" u="1"/>
        <s v="SM_S702/FW_001" u="1"/>
        <s v="SM_FLD5-20V_001" u="1"/>
        <s v="SM_S7TV/B_001" u="1"/>
        <s v="SM_S703/FW_001" u="1"/>
        <s v="SM_MPN2-125_001" u="1"/>
        <s v="SM_DLF-7T_002" u="1"/>
        <s v="SM_S704/FW_001" u="1"/>
        <s v="SM_SW-332_001" u="1"/>
        <s v="SM_MPN2-4232_001" u="1"/>
        <s v="SM_DLT-12T_004" u="1"/>
        <s v="SM_HBE2-150T_001" u="1"/>
        <s v="SM_LCD-5V_001" u="1"/>
        <s v="SM_MPN2-4242_001" u="1"/>
        <s v="SM_MPN2-113_001" u="1"/>
        <s v="SM_RPL-12SN_001" u="1"/>
        <s v="SM_DLT-7T_004" u="1"/>
        <s v="SM_MPN2-4252_001" u="1"/>
        <s v="SM_MPN2-114_001" u="1"/>
        <s v="SM_DPL-7V_001" u="1"/>
        <s v="SM_RPL3-9ST_002" u="1"/>
        <s v="SM_FLD2-10T_101" u="1"/>
        <s v="SM_SPL-18T_101" u="1"/>
        <s v="SM_DRDL-7/3C_001" u="1"/>
        <s v="SM_MPN2-115_001" u="1"/>
        <s v="SM_AFC2-250_001" u="1"/>
        <s v="SM_MPN2-4132_001" u="1"/>
        <s v="SM_AFC2-130_001" u="1"/>
        <s v="SM_FLD5-30T_001" u="1"/>
        <s v="SM_FLD2-200T_101" u="1"/>
        <s v="SM_FLD3-200T_101" u="1"/>
        <s v="SM_RPL-24N_101" u="1"/>
        <s v="SM_MPN2-223_001" u="1"/>
        <s v="SM_FLD2-10V_101" u="1"/>
        <s v="SM_FLD5-100T_001" u="1"/>
        <s v="SM_FLD3-10V_101" u="1"/>
        <s v="SM_DLTL-9T_004" u="1"/>
        <s v="SM_MPN2-224_001" u="1"/>
        <s v="SM_FLD5-30V_001" u="1"/>
        <s v="SM_GT3-120T_002" u="1"/>
        <s v="SM_MPN2-225_001" u="1"/>
        <s v="SM_SRPLB2-12/3C_001" u="1"/>
        <s v="SM_SSPLB2-12/3C_001" u="1"/>
        <s v="SM_RPL-12ST_001" u="1"/>
        <s v="SM_DLT-12N_006" u="1"/>
        <s v="SM_LBD2-20T_003" u="1"/>
        <s v="SM_LBD3-20T_003" u="1"/>
        <s v="SM_MPN2-213_001" u="1"/>
        <s v="SM_A6UESM-2_001" u="1"/>
        <s v="SM_MPN2-214_001" u="1"/>
        <s v="SM_S7TV/LAN-W_001" u="1"/>
        <s v="SM_SMPL-6060_001" u="1"/>
        <s v="SM_FLD2-20T_101" u="1"/>
        <s v="SM_S7TEL/LAN-GY_001" u="1"/>
        <s v="SM_LBD3-20V_003" u="1"/>
        <s v="SM_A6M/1_003" u="1"/>
        <s v="SM_RPL-7T/S_002" u="1"/>
        <s v="SM_BKG-20_003" u="1"/>
        <s v="SM_A601BV/G_001" u="1"/>
        <s v="SM_MPN2-323_001" u="1"/>
        <s v="SM_FLD2-20V_101" u="1"/>
        <s v="SM_FLD5-200T_001" u="1"/>
        <s v="SM_A602BV/G_001" u="1"/>
        <s v="SM_A603BV/G_001" u="1"/>
        <s v="SM_MPN2-324_001" u="1"/>
        <s v="SM_DLV-9N_006" u="1"/>
        <s v="SM_DLTL-9N_006" u="1"/>
        <s v="SM_MPN2-325_001" u="1"/>
        <s v="SM_FLM-3RD_002" u="1"/>
        <s v="SM_MPN2-1013_001" u="1"/>
        <s v="SM_A6US_002" u="1"/>
        <s v="SM_DLF-7V_002" u="1"/>
        <s v="SM_SRDLB-48/3C_001" u="1"/>
        <s v="SM_SSDLB-48/3C_001" u="1"/>
        <s v="SM_LBD2-30T_003" u="1"/>
        <s v="SM_S7MS-W_001" u="1"/>
        <s v="SM_LBD3-30T_003" u="1"/>
        <s v="SM_MPN2-313_001" u="1"/>
        <s v="SM_DLT-7V_004" u="1"/>
        <s v="SM_A20US2X_001" u="1"/>
        <s v="SM_RPL-12ST/S_002" u="1"/>
        <s v="SM_DLA-35N_001" u="1"/>
        <s v="SM_DLT-9N_006" u="1"/>
        <s v="SM_LE-120T_001" u="1"/>
        <s v="SM_FLD2-30T_101" u="1"/>
        <s v="SM_DLEL-9/3C_001" u="1"/>
        <s v="SM_DRDL-9/3C_001" u="1"/>
        <s v="SM_LBD3-30V_003" u="1"/>
        <s v="SM_MPN2-315_001" u="1"/>
        <s v="SM_FLD3-30T_101" u="1"/>
        <s v="SM_MWP118_001" u="1"/>
        <s v="SM_SRDLB-24/3C_001" u="1"/>
        <s v="SM_SRPLB-24/3C_001" u="1"/>
        <s v="SM_SSPL2-24/3C_002" u="1"/>
        <s v="SM_RPL-18N_101" u="1"/>
        <s v="SM_RPL-9S/3C_001" u="1"/>
        <s v="SM_FLD5-50T_001" u="1"/>
        <s v="SM_MPN2-423_001" u="1"/>
        <s v="SM_FLD2-30V_101" u="1"/>
        <s v="SM_DLB-12T_006" u="1"/>
        <s v="SM_DLV-12N_004" u="1"/>
        <s v="SM_FLD3-30V_101" u="1"/>
        <s v="SM_HBE2-100T_001" u="1"/>
        <s v="SM_LBD3-3V_001" u="1"/>
        <s v="SM_SRPLB-12/3C_001" u="1"/>
        <s v="SM_SSPLB-12/3C_001" u="1"/>
        <s v="SM_FLD5-50V_001" u="1"/>
        <s v="SM_DLB-5V_004" u="1"/>
        <s v="SM_FLM-2/P45_002" u="1"/>
        <s v="SM_MPN2-425_001" u="1"/>
        <s v="SM_RPL-6SV_101" u="1"/>
        <s v="SM_LBD2-40T_003" u="1"/>
        <s v="SM_DLB-9N_004" u="1"/>
        <s v="SM_LBD3-40T_003" u="1"/>
        <s v="SM_MPN2-413_001" u="1"/>
        <s v="SM_A601BV/S_001" u="1"/>
        <s v="SM_DLT-12N_004" u="1"/>
        <s v="SM_RPL-6SN_001" u="1"/>
        <s v="SM_A602BV/S_001" u="1"/>
        <s v="SM_MPN2-414_001" u="1"/>
        <s v="SM_A603BV/S_001" u="1"/>
        <s v="SM_SRDLB-16/3C_001" u="1"/>
        <s v="SM_SSDLB-16/3C_001" u="1"/>
        <s v="SM_LBD3-40V_003" u="1"/>
        <s v="SM_MPN2-415_001" u="1"/>
        <s v="SM_BCL2835-AC_001" u="1"/>
      </sharedItems>
    </cacheField>
    <cacheField name="Hold Code" numFmtId="0">
      <sharedItems containsBlank="1"/>
    </cacheField>
    <cacheField name="LPN" numFmtId="0">
      <sharedItems containsBlank="1"/>
    </cacheField>
    <cacheField name="Location" numFmtId="0">
      <sharedItems containsBlank="1"/>
    </cacheField>
    <cacheField name="Status" numFmtId="0">
      <sharedItems containsBlank="1"/>
    </cacheField>
    <cacheField name="Expected Qty" numFmtId="0">
      <sharedItems containsString="0" containsBlank="1" containsNumber="1" containsInteger="1" minValue="7000" maxValue="200000"/>
    </cacheField>
    <cacheField name="Received Qty" numFmtId="0">
      <sharedItems containsBlank="1"/>
    </cacheField>
    <cacheField name="Lottable02 - Supplier" numFmtId="0">
      <sharedItems containsBlank="1"/>
    </cacheField>
    <cacheField name="Lottable03 - PoMpe" numFmtId="0">
      <sharedItems containsBlank="1"/>
    </cacheField>
    <cacheField name="Lottable06" numFmtId="0">
      <sharedItems containsBlank="1"/>
    </cacheField>
    <cacheField name="Lottable07 - Version" numFmtId="0">
      <sharedItems containsBlank="1"/>
    </cacheField>
    <cacheField name="Lottable09 - PoSap" numFmtId="0">
      <sharedItems containsBlank="1"/>
    </cacheField>
    <cacheField name="Lottable10 - MaKiemSoat" numFmtId="0">
      <sharedItems containsBlank="1"/>
    </cacheField>
    <cacheField name="Gross Weight" numFmtId="0">
      <sharedItems containsBlank="1"/>
    </cacheField>
    <cacheField name="Net Weight" numFmtId="0">
      <sharedItems containsBlank="1"/>
    </cacheField>
    <cacheField name="Tare Weight" numFmtId="0">
      <sharedItems containsBlank="1"/>
    </cacheField>
    <cacheField name="UDF1 - Ref Doc (SAP)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vu" refreshedDate="46065.52280648148" createdVersion="6" refreshedVersion="6" minRefreshableVersion="3" recordCount="7" xr:uid="{31B6EC17-6277-47C6-9AA5-42653E7B4D12}">
  <cacheSource type="worksheet">
    <worksheetSource ref="A4:J1000" sheet="DASHBOARD"/>
  </cacheSource>
  <cacheFields count="10">
    <cacheField name="Item" numFmtId="0">
      <sharedItems containsBlank="1" count="379">
        <s v="SM_TS-14_003"/>
        <s v="SM_TS-24_003"/>
        <s v="SM_TS-10/P_001"/>
        <s v="SM_TN-2_001"/>
        <s v="SM_TN-4_001"/>
        <m/>
        <s v="SM_DLT2-9T_002" u="1"/>
        <s v="SM_FLM-3PU_002" u="1"/>
        <s v="SM_LBD3-3V_001" u="1"/>
        <s v="SM_DLB-7/3C_004" u="1"/>
        <s v="SM_DLT2-12V_002" u="1"/>
        <s v="SM_RPL-9T/G_001" u="1"/>
        <s v="SM_SFLD2-300T_001" u="1"/>
        <s v="SM_RPL-12S/3C/G_001" u="1"/>
        <s v="SM_A7MBP_001" u="1"/>
        <s v="SM_A6M/1V_001" u="1"/>
        <s v="SM_DLV-7N_004" u="1"/>
        <s v="SM_SB-20A_101" u="1"/>
        <s v="SM_GT8-60T_002" u="1"/>
        <s v="SM_DLB2-12T_002" u="1"/>
        <s v="SM_DLB2-5/3C_002" u="1"/>
        <s v="SM_DLT2-5/3C_002" u="1"/>
        <s v="SM_DLV2-5/3C_002" u="1"/>
        <s v="SM_RPL3-7/3C_002" u="1"/>
        <s v="SM_SSPLB-12T_001" u="1"/>
        <s v="SM_RPL3-12/3C_001" u="1"/>
        <s v="SM_LHK23_001" u="1"/>
        <s v="SM_RPL3-9SV_002" u="1"/>
        <s v="SM_SRPLB2-12V_001" u="1"/>
        <s v="SM_A6RJ88_002" u="1"/>
        <s v="SM_RPL3-9N_001" u="1"/>
        <s v="SM_SLP2-15_001" u="1"/>
        <s v="SM_LBD3-40T_003" u="1"/>
        <s v="SM_FLM-6/A60_001" u="1"/>
        <s v="SM_S223_001" u="1"/>
        <s v="SM_DLT-9V_004" u="1"/>
        <s v="SM_FLM-3OR_002" u="1"/>
        <s v="SM_MPN2-413_001" u="1"/>
        <s v="SM_SRPL2-18T_002" u="1"/>
        <s v="SM_SSPL2-18T_002" u="1"/>
        <s v="SM_DLT-7T_004" u="1"/>
        <s v="SM_SB-30A_101" u="1"/>
        <s v="SM_TSL2-20T_001" u="1"/>
        <s v="SM_RPL-7/3C/G_001" u="1"/>
        <s v="SM_RPL-9/3C/G_001" u="1"/>
        <s v="SM_BN-36T_002" u="1"/>
        <s v="SM_DLV2-9T_002" u="1"/>
        <s v="SM_DLTL2-9T_002" u="1"/>
        <s v="SM_DLV2-12V_002" u="1"/>
        <s v="SM_RPL3-9S/3C_002" u="1"/>
        <s v="SM_BN2-48T_002" u="1"/>
        <s v="SM_SPL-12T_101" u="1"/>
        <s v="SM_DLT2-12N_002" u="1"/>
        <s v="SM_MP6-C120_001" u="1"/>
        <s v="SM_MP6-C232_001" u="1"/>
        <s v="SM_MPN2-114_001" u="1"/>
        <s v="SM_SRDLB-16/3C_001" u="1"/>
        <s v="SM_SSDLB-16/3C_001" u="1"/>
        <s v="SM_DLA2R-7T_001" u="1"/>
        <s v="SM_SRDL-24N_001" u="1"/>
        <s v="SM_FLM-2/P45_002" u="1"/>
        <s v="SM_HBE2-150T_001" u="1"/>
        <s v="SM_BTD-02_001" u="1"/>
        <s v="SM_SB-40A_101" u="1"/>
        <s v="SM_A6UESMV_001" u="1"/>
        <s v="SM_LBA-80T_001" u="1"/>
        <s v="SM_RPL3-9SN_002" u="1"/>
        <s v="SM_RPL-9ST/S_001" u="1"/>
        <s v="SM_TA7_001" u="1"/>
        <s v="SM_DLV-9V_004" u="1"/>
        <s v="SM_LBD3-9V_001" u="1"/>
        <s v="SM_DLT-9/3C_003" u="1"/>
        <s v="SM_FPD-6060T_002" u="1"/>
        <s v="SM_SRPL-12/3C_101" u="1"/>
        <s v="SM_DLT-9N_003" u="1"/>
        <s v="SM_DLV-7T_004" u="1"/>
        <s v="SM_DLEL-9N_001" u="1"/>
        <s v="SM_FLM-3PK_002" u="1"/>
        <s v="SM_MP6-C363_001" u="1"/>
        <s v="SM_SSDL-32T_001" u="1"/>
        <s v="SM_DLB2-12/3C_002" u="1"/>
        <s v="SM_DLT2-12/3C_002" u="1"/>
        <s v="SM_DLV2-12/3C_002" u="1"/>
        <s v="SM_DLB-7N_004" u="1"/>
        <s v="SM_RPL-9N_101" u="1"/>
        <s v="SM_DLB-12N_004" u="1"/>
        <s v="SM_DLT2-9V_002" u="1"/>
        <s v="SM_DLA2R-5V_001" u="1"/>
        <s v="SM_DLVL2-9T_002" u="1"/>
        <s v="SM_LBD3-15V_001" u="1"/>
        <s v="SM_TA8_001" u="1"/>
        <s v="SM_A20US2XX_001" u="1"/>
        <s v="SM_DLV2-12N_002" u="1"/>
        <s v="SM_MPN2-124_001" u="1"/>
        <s v="SM_RPL3-9/3C_001" u="1"/>
        <s v="SM_SRDLB-32T_001" u="1"/>
        <s v="SM_SRPL-6/3C_101" u="1"/>
        <s v="SM_SSDLB-32T_001" u="1"/>
        <s v="SM_DLV2-7N_002" u="1"/>
        <s v="SM_RPL-12T_101" u="1"/>
        <s v="SM_SSL-12V_001" u="1"/>
        <s v="SM_DLBL-9/3C_004" u="1"/>
        <s v="SM_DLTL-9/3C_004" u="1"/>
        <s v="SM_DLVL-9/3C_004" u="1"/>
        <s v="SM_SPL-9T_101" u="1"/>
        <s v="SM_MPN2-115_001" u="1"/>
        <s v="SM_LEW-Y_001" u="1"/>
        <s v="SM_DLB2-9T_002" u="1"/>
        <s v="SM_DLT2-5T_002" u="1"/>
        <s v="SM_SPL-18T_101" u="1"/>
        <s v="SM_DLV-5/3C_004" u="1"/>
        <s v="SM_DLV2-9V_002" u="1"/>
        <s v="SM_SRDL-16/3C_001" u="1"/>
        <s v="SM_SPL-12V_101" u="1"/>
        <s v="SM_MP6-C140_001" u="1"/>
        <s v="SM_RPL3-12T_001" u="1"/>
        <s v="SM_SRPL2-18V_002" u="1"/>
        <s v="SM_SSPL2-18V_002" u="1"/>
        <s v="SM_SRPLB2-12T_001" u="1"/>
        <s v="SM_SSPLB2-12T_001" u="1"/>
        <s v="SM_DLE-9T_002" u="1"/>
        <s v="SM_RPL-9SN_001" u="1"/>
        <s v="SM_SPL-24T_101" u="1"/>
        <s v="SM_DLE-9/3C_002" u="1"/>
        <s v="SM_TR2_001" u="1"/>
        <s v="SM_DLT-9T_003" u="1"/>
        <s v="SM_DLTL-9N_004" u="1"/>
        <s v="SM_LBD2-30T_003" u="1"/>
        <s v="SM_MPN2-013_001" u="1"/>
        <s v="SM_MPN2-125_001" u="1"/>
        <s v="SM_SRDL-32/3C_001" u="1"/>
        <s v="SM_DLB-7T_004" u="1"/>
        <s v="SM_RPL-9T_101" u="1"/>
        <s v="SM_DLTL2-9V_002" u="1"/>
        <s v="SM_SRDL-32T_001" u="1"/>
        <s v="SM_SRPL-18T_101" u="1"/>
        <s v="SM_SRDLB-24T_001" u="1"/>
        <s v="SM_SSDLB-24T_001" u="1"/>
        <s v="SM_SSPLB-24T_001" u="1"/>
        <s v="SM_RPL-12ST/S_001" u="1"/>
        <s v="SM_SRPLB-18/3C_001" u="1"/>
        <s v="SM_SSPLB-18/3C_001" u="1"/>
        <s v="SM_DLF-7T_001" u="1"/>
        <s v="SM_DLF-12T_001" u="1"/>
        <s v="SM_RPL-18T_101" u="1"/>
        <s v="SM_RPL3-7T_002" u="1"/>
        <s v="SM_DLA2R-7V_001" u="1"/>
        <s v="SM_LBD2-15T_003" u="1"/>
        <s v="SM_MPN2-0132_001" u="1"/>
        <s v="SM_MPN2-1252_001" u="1"/>
        <s v="SM_SRPL2-18/3C_002" u="1"/>
        <s v="SM_SSPL2-18/3C_002" u="1"/>
        <s v="SM_SDL-12T_001" u="1"/>
        <s v="SM_A601BV/G_001" u="1"/>
        <s v="SM_LBD3-30T_003" u="1"/>
        <s v="SM_RPL-9T/S_001" u="1"/>
        <s v="SM_DLT-9/3C_004" u="1"/>
        <s v="SM_MPN2-313_001" u="1"/>
        <s v="SM_DLB-12/3C_003" u="1"/>
        <s v="SM_DLT-12/3C_003" u="1"/>
        <s v="SM_DLV-12/3C_003" u="1"/>
        <s v="SM_SRPL-12T/MS_101" u="1"/>
        <s v="SM_DLV-9T_003" u="1"/>
        <s v="SM_RPL-24T_101" u="1"/>
        <s v="SM_RPL-6ST_001" u="1"/>
        <s v="SM_DLB-9/3C_003" u="1"/>
        <s v="SM_MP4-C263_001" u="1"/>
        <s v="SM_MPN2-023_001" u="1"/>
        <s v="SM_DLB-9N_003" u="1"/>
        <s v="SM_DLB-5/3C_004" u="1"/>
        <s v="SM_DLVL2-9V_002" u="1"/>
        <s v="SM_TSL2-20N_001" u="1"/>
        <s v="SM_DLB2-7/3C_002" u="1"/>
        <s v="SM_DLT2-7/3C_002" u="1"/>
        <s v="SM_DLV2-7/3C_002" u="1"/>
        <s v="SM_SSL-7V_001" u="1"/>
        <s v="SM_A602BV/G_001" u="1"/>
        <s v="SM_MP6-C132_001" u="1"/>
        <s v="SM_PL2_101" u="1"/>
        <s v="SM_A6M/1_003" u="1"/>
        <s v="SM_SLP2-35_001" u="1"/>
        <s v="SM_MPN2-1352_001" u="1"/>
        <s v="SM_BN-18N_002" u="1"/>
        <s v="SM_BTD-01_001" u="1"/>
        <s v="SM_DLT-12T_004" u="1"/>
        <s v="SM_A30/1_001" u="1"/>
        <s v="SM_DLT-7V_004" u="1"/>
        <s v="SM_DLE-7/3C_001" u="1"/>
        <s v="SM_DLV-9/3C_004" u="1"/>
        <s v="SM_MPN2-0142_001" u="1"/>
        <s v="SM_DLT-5T_004" u="1"/>
        <s v="SM_A603BV/G_001" u="1"/>
        <s v="SM_SRDLB-16T_001" u="1"/>
        <s v="SM_A6USV_003" u="1"/>
        <s v="SM_DLT2-9N_002" u="1"/>
        <s v="SM_MPN2-024_001" u="1"/>
        <s v="SM_RPL3-12V_001" u="1"/>
        <s v="SM_RPL-12S/3C_001" u="1"/>
        <s v="SM_SRDL-48/3C_001" u="1"/>
        <s v="SM_DLB-12T_003" u="1"/>
        <s v="SM_DLF-12V_001" u="1"/>
        <s v="SM_GT8-60N_002" u="1"/>
        <s v="SM_A20UESM2_001" u="1"/>
        <s v="SM_GT8-120T_002" u="1"/>
        <s v="SM_SRDL-48T_001" u="1"/>
        <s v="SM_TSLB2-20N_002" u="1"/>
        <s v="SM_DLV-12T_004" u="1"/>
        <s v="SM_TSL-20V_001" u="1"/>
        <s v="SM_MPN2-015_001" u="1"/>
        <s v="SM_DLB-9T_003" u="1"/>
        <s v="SM_DLT-9N_004" u="1"/>
        <s v="SM_DLT-7/3C_003" u="1"/>
        <s v="SM_TSLB2-8N_001" u="1"/>
        <s v="SM_SRDLB-24V_001" u="1"/>
        <s v="SM_RPL3-9T_001" u="1"/>
        <s v="SM_MPN2-324_001" u="1"/>
        <s v="SM_DLEL-9/3C_001" u="1"/>
        <s v="SM_FPD-6060T_004" u="1"/>
        <s v="SM_PKD-60_001" u="1"/>
        <s v="SM_DLV2-9N_002" u="1"/>
        <s v="SM_DLB-12/3C_004" u="1"/>
        <s v="SM_DLT-12/3C_004" u="1"/>
        <s v="SM_DLV-12/3C_004" u="1"/>
        <s v="SM_SPL-9V_101" u="1"/>
        <s v="SM_LBD3-7T_001" u="1"/>
        <s v="SM_MPN2-315_001" u="1"/>
        <s v="SM_RPL3-12N_001" u="1"/>
        <s v="SM_SRDL-16N_001" u="1"/>
        <s v="SM_SMPL-6030_001" u="1"/>
        <s v="SM_SRPLB2-24T_001" u="1"/>
        <s v="SM_A6US_002" u="1"/>
        <s v="SM_DLB-9/3C_004" u="1"/>
        <s v="SM_LBD2-20T_003" u="1"/>
        <s v="SM_MPN2-025_001" u="1"/>
        <s v="SM_AM6S_001" u="1"/>
        <s v="SM_A6M/2_002" u="1"/>
        <s v="SM_DLV-9N_004" u="1"/>
        <s v="SM_A20US2X_001" u="1"/>
        <s v="SM_DLA-12N_001" u="1"/>
        <s v="SM_DLT2-7T_002" u="1"/>
        <s v="SM_DLV-7/3C_003" u="1"/>
        <s v="SM_RPL-12ST_001" u="1"/>
        <s v="SM_MPN2-0342_001" u="1"/>
        <s v="SM_LT8-60T/MS_001" u="1"/>
        <s v="SM_A20USM_001" u="1"/>
        <s v="SM_GT-60T_001" u="1"/>
        <s v="SM_DLTL-9T_003" u="1"/>
        <s v="SM_DLF2-40N_003" u="1"/>
        <s v="SM_RPL-12T/MS_101" u="1"/>
        <s v="SM_RPL-9/3C/S_001" u="1"/>
        <s v="SM_DLB2-5V_002" u="1"/>
        <s v="SM_LBD-60T_001" u="1"/>
        <s v="SM_DLBL2-9N_002" u="1"/>
        <s v="SM_MP6-C340_001" u="1"/>
        <s v="SM_SRPL-18/3C_101" u="1"/>
        <s v="SM_SSPLB-12/3C_001" u="1"/>
        <s v="SM_DLEL-9T_001" u="1"/>
        <s v="SM_LBD3-20T_003" u="1"/>
        <s v="SM_MP6-C125_001" u="1"/>
        <s v="SM_SSPL2-12/3C_002" u="1"/>
        <s v="SM_DLT-9T_004" u="1"/>
        <s v="SM_DLT-9V_003" u="1"/>
        <s v="SM_DLB-12T_004" u="1"/>
        <s v="SM_LBD2-50T_003" u="1"/>
        <s v="SM_MPN2-213_001" u="1"/>
        <s v="SM_SRPL-24T_101" u="1"/>
        <s v="SM_FPD3-6060T_002" u="1"/>
        <s v="SM_SFLD2-200T_002" u="1"/>
        <s v="SM_A20US3_001" u="1"/>
        <s v="SM_DLT-7T_003" u="1"/>
        <s v="SM_RPL-9V_101" u="1"/>
        <s v="SM_RPL-12N_101" u="1"/>
        <s v="SM_LBD3-12T_001" u="1"/>
        <s v="SM_HBE2-100T_001" u="1"/>
        <s v="SM_SRPL2-24T_002" u="1"/>
        <s v="SM_SRPLB-18T_001" u="1"/>
        <s v="SM_SSDLB-24N_001" u="1"/>
        <s v="SM_SSPLB-18T_001" u="1"/>
        <s v="SM_SRPLB2-12/3C_001" u="1"/>
        <s v="SM_DLV2-7T_002" u="1"/>
        <s v="SM_A601BV/S_001" u="1"/>
        <s v="SM_A20UESMXX_002" u="1"/>
        <s v="SM_RPL-12S/3C/S_001" u="1"/>
        <s v="SM_DLF-7V_001" u="1"/>
        <s v="SM_DLVL-9T_003" u="1"/>
        <s v="SM_MS-HBE2_001" u="1"/>
        <s v="SM_RPL3-9V_001" u="1"/>
        <s v="SM_RPL2-18T_001" u="1"/>
        <s v="SM_SLP2-25_001" u="1"/>
        <s v="SM_GT8-120V_002" u="1"/>
        <s v="SM_LBD3-50T_003" u="1"/>
        <s v="SM_MP6-C350_001" u="1"/>
        <s v="SM_RPL-9/3C_101" u="1"/>
        <s v="SM_MPN2-0352_001" u="1"/>
        <s v="SM_RPL-12/3C_101" u="1"/>
        <s v="SM_DLV-9T_004" u="1"/>
        <s v="SM_DLT-12N_003" u="1"/>
        <s v="SM_LBD3-7V_001" u="1"/>
        <s v="SM_A602BV/S_001" u="1"/>
        <s v="SM_DLT-7/3C_004" u="1"/>
        <s v="SM_MPN2-223_001" u="1"/>
        <s v="SM_RPL-9S/3C_001" u="1"/>
        <s v="SM_RPL-12ST/G_001" u="1"/>
        <s v="SM_DLB-9N_004" u="1"/>
        <s v="SM_DLV-7T_003" u="1"/>
        <s v="SM_DLA2R-3T_001" u="1"/>
        <s v="SM_DLB-7/3C_003" u="1"/>
        <s v="SM_DLT2-12T_002" u="1"/>
        <s v="SM_MP6-C163_001" u="1"/>
        <s v="SM_DLB2-9/3C_002" u="1"/>
        <s v="SM_DLV2-9/3C_002" u="1"/>
        <s v="SM_DLB-7N_003" u="1"/>
        <s v="SM_RPL-9ST_001" u="1"/>
        <s v="SM_MP6-C332_001" u="1"/>
        <s v="SM_MPN2-214_001" u="1"/>
        <s v="SM_SRDL-24T_001" u="1"/>
        <s v="SM_SPL-6T_101" u="1"/>
        <s v="SM_DLTL-9V_003" u="1"/>
        <s v="SM_RPL3-9ST_002" u="1"/>
        <s v="SM_RPL3-7/3C_001" u="1"/>
        <s v="SM_A6M/1_002" u="1"/>
        <s v="SM_A6M/2V_001" u="1"/>
        <s v="SM_BTD-03_001" u="1"/>
        <s v="SM_CKPD-60_001" u="1"/>
        <s v="SM_A603BV/S_001" u="1"/>
        <s v="SM_SRPL-12T_101" u="1"/>
        <s v="SM_FLM-2/B35_002" u="1"/>
        <s v="SM_SRDLB-32/3C_001" u="1"/>
        <s v="SM_RPL3-7N_002" u="1"/>
        <s v="SM_GT8-120N_002" u="1"/>
        <s v="SM_MPN2-2142_001" u="1"/>
        <s v="SM_SRDLB-16N_001" u="1"/>
        <s v="SM_SSDLB-16N_001" u="1"/>
        <s v="SM_SFLD2-100T_001" u="1"/>
        <s v="SM_TR2B_001" u="1"/>
        <s v="SM_S7MD20_001" u="1"/>
        <s v="SM_DLV-12N_003" u="1"/>
        <s v="SM_DLV2-12T_002" u="1"/>
        <s v="SM_RPL-9ST/G_001" u="1"/>
        <s v="SM_VM2_001" u="1"/>
        <s v="SM_DLV2-7V_002" u="1"/>
        <s v="SM_MPN2-224_001" u="1"/>
        <s v="SM_RPL-18/3C_101" u="1"/>
        <s v="SM_SRPL-18T/MS_101" u="1"/>
        <s v="SM_RPL-6T_101" u="1"/>
        <s v="SM_SRPL2-24V_002" u="1"/>
        <s v="SM_SRPLB2-18T_001" u="1"/>
        <s v="SM_SSPLB2-18T_001" u="1"/>
        <s v="SM_VM1_002" u="1"/>
        <s v="SM_DLB-9T_004" u="1"/>
        <s v="SM_BN2-36T_002" u="1"/>
        <s v="SM_LBD3-12V_001" u="1"/>
        <s v="SM_DLB-7T_003" u="1"/>
        <s v="SM_DLT-7N_004" u="1"/>
        <s v="SM_AMHP-3S_001" u="1"/>
        <s v="SM_DLT-12N_004" u="1"/>
        <s v="SM_SMPL-6060_001" u="1"/>
        <s v="SM_BN-36N_002" u="1"/>
        <s v="SM_A6UESM-2_001" u="1"/>
        <s v="SM_DLA2R-5T_001" u="1"/>
        <s v="SM_LBD3-15T_001" u="1"/>
        <s v="SM_RPL-12SN_001" u="1"/>
        <s v="SM_SRDLB-48T_001" u="1"/>
        <s v="SM_MP6-C240_001" u="1"/>
        <s v="SM_RPL-9S/3C/G_001" u="1"/>
        <s v="SM_SRDLB-24/3C_001" u="1"/>
        <s v="SM_LHE22_001" u="1"/>
        <s v="SM_DLB2-5N_002" u="1"/>
        <s v="SM_LBD3-9T_001" u="1"/>
        <s v="SM_RPL-9S/3C/G_002" u="1"/>
        <s v="SM_SRPL2-24/3C_002" u="1"/>
        <s v="SM_LBD2-40T_003" u="1"/>
        <s v="SM_MPN2-113_001" u="1"/>
        <s v="SM_MPN2-225_001" u="1"/>
        <s v="SM_DLVL-9/3C_003" u="1"/>
        <s v="SM_DLBL2-9/3C_002" u="1"/>
        <s v="SM_DLTL2-9/3C_002" u="1"/>
        <s v="SM_DLVL2-9/3C_002" u="1"/>
        <s v="SM_RPL-9S/3C/S_001" u="1"/>
      </sharedItems>
    </cacheField>
    <cacheField name=" " numFmtId="0">
      <sharedItems containsBlank="1"/>
    </cacheField>
    <cacheField name="SO LUONG" numFmtId="0">
      <sharedItems containsString="0" containsBlank="1" containsNumber="1" containsInteger="1" minValue="450" maxValue="5760"/>
    </cacheField>
    <cacheField name="Total Received Qty" numFmtId="0">
      <sharedItems containsString="0" containsBlank="1" containsNumber="1" containsInteger="1" minValue="0" maxValue="0"/>
    </cacheField>
    <cacheField name="PACK" numFmtId="0">
      <sharedItems containsString="0" containsBlank="1" containsNumber="1" containsInteger="1" minValue="6" maxValue="60"/>
    </cacheField>
    <cacheField name="PPACK" numFmtId="0">
      <sharedItems containsString="0" containsBlank="1" containsNumber="1" containsInteger="1" minValue="72" maxValue="1080"/>
    </cacheField>
    <cacheField name="QUY CACH XEP" numFmtId="0">
      <sharedItems containsString="0" containsBlank="1" containsNumber="1" containsInteger="1" minValue="8" maxValue="18"/>
    </cacheField>
    <cacheField name="SO THUNG" numFmtId="0">
      <sharedItems containsString="0" containsBlank="1" containsNumber="1" containsInteger="1" minValue="60" maxValue="320"/>
    </cacheField>
    <cacheField name="SO PALLET" numFmtId="0">
      <sharedItems containsString="0" containsBlank="1" containsNumber="1" containsInteger="1" minValue="4" maxValue="26"/>
    </cacheField>
    <cacheField name="THUNG LE" numFmtId="0">
      <sharedItems containsString="0" containsBlank="1" containsNumber="1" containsInteger="1" minValue="3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vu" refreshedDate="46065.52280648148" createdVersion="6" refreshedVersion="6" minRefreshableVersion="3" recordCount="6" xr:uid="{C4CFC627-39F4-49C4-832D-2B8FAC4465BE}">
  <cacheSource type="worksheet">
    <worksheetSource ref="A1:W8998" sheet="IMPORT"/>
  </cacheSource>
  <cacheFields count="23">
    <cacheField name="ASN/Receipt" numFmtId="0">
      <sharedItems containsBlank="1"/>
    </cacheField>
    <cacheField name="Line #" numFmtId="0">
      <sharedItems containsBlank="1"/>
    </cacheField>
    <cacheField name="Item" numFmtId="0">
      <sharedItems containsBlank="1" count="748">
        <s v="SM_BKD-20_004"/>
        <s v="SM_BKG-20_004"/>
        <s v="SM_BKR-20_004"/>
        <s v="SM_BKY-20_004"/>
        <s v="SM_BKW-20_004"/>
        <m/>
        <s v="SM_SRPLB-18/3C_001" u="1"/>
        <s v="SM_SSPLB-18/3C_001" u="1"/>
        <s v="SM_HBE2-200T_001" u="1"/>
        <s v="SM_DLV-9T_004" u="1"/>
        <s v="SM_S7TV/TEL-GY_001" u="1"/>
        <s v="SM_TSLB2-20N_002" u="1"/>
        <s v="SM_RPL-9T/G_001" u="1"/>
        <s v="SM_DLTL-9N_004" u="1"/>
        <s v="SM_LB-20N_001" u="1"/>
        <s v="SM_RPL-9SV_002" u="1"/>
        <s v="SM_LBD2-50T_003" u="1"/>
        <s v="SM_AFC2-300_001" u="1"/>
        <s v="SM_SRPL2-12V_002" u="1"/>
        <s v="SM_LDL2_001" u="1"/>
        <s v="SM_RPL-9T/G_002" u="1"/>
        <s v="SM_LBD3-50T_003" u="1"/>
        <s v="SM_DLT-7T_006" u="1"/>
        <s v="SM_LCD-7V_001" u="1"/>
        <s v="SM_BCL22835-AC_001" u="1"/>
        <s v="SM_DLT-9T_004" u="1"/>
        <s v="SM_TSLB2-20V_002" u="1"/>
        <s v="SM_FLD2-50T_101" u="1"/>
        <s v="SM_FLD3-50T_101" u="1"/>
        <s v="SM_TSLB2-25N_002" u="1"/>
        <s v="SM_MWP-118_101" u="1"/>
        <s v="SM_MWP136_001" u="1"/>
        <s v="SM_FLM-3YL_002" u="1"/>
        <s v="SM_FLD2-50V_101" u="1"/>
        <s v="SM_MWP236_001" u="1"/>
        <s v="SM_FLD3-50V_101" u="1"/>
        <s v="SM_LBD3-5V_001" u="1"/>
        <s v="SM_DLB-12T_004" u="1"/>
        <s v="SM_DLF-12V_002" u="1"/>
        <s v="SM_RPL-6N_101" u="1"/>
        <s v="SM_DLB-7T_004" u="1"/>
        <s v="SM_S7MD20_001" u="1"/>
        <s v="SM_A6UESMV_001" u="1"/>
        <s v="SM_FLD2-150V_101" u="1"/>
        <s v="SM_SRPLB2-24T_001" u="1"/>
        <s v="SM_SSPLB2-24T_001" u="1"/>
        <s v="SM_AM6S_001" u="1"/>
        <s v="SM_RPL-9T/S_001" u="1"/>
        <s v="SM_A6M/1_004" u="1"/>
        <s v="SM_RPL-9T/S_002" u="1"/>
        <s v="SM_BN-40T_001" u="1"/>
        <s v="SM_DLV-9V_004" u="1"/>
        <s v="SM_LBD3-5T_001" u="1"/>
        <s v="SM_DLB-12N_006" u="1"/>
        <s v="SM_DLF-12T_002" u="1"/>
        <s v="SM_MC-LS2835/90-RGB/AC_001" u="1"/>
        <s v="SM_BN-60T_001" u="1"/>
        <s v="SM_VM1_002" u="1"/>
        <s v="SM_B6123_001" u="1"/>
        <s v="SM_S7DBP-W_001" u="1"/>
        <s v="SM_RPL-9ST_001" u="1"/>
        <s v="SM_S7TV/LAN-GY_001" u="1"/>
        <s v="SM_DPL-12V_001" u="1"/>
        <s v="SM_FLD5-150V_001" u="1"/>
        <s v="SM_S7MS-GY_001" u="1"/>
        <s v="SM_DPL-20V_001" u="1"/>
        <s v="SM_DLT-9V_004" u="1"/>
        <s v="SM_RPL2-18T_001" u="1"/>
        <s v="SM_MWP-218_101" u="1"/>
        <s v="SM_FPD-12060T_001" u="1"/>
        <s v="SM_LBD3-7V_001" u="1"/>
        <s v="SM_RPL-12ST/G_001" u="1"/>
        <s v="SM_MP10-C380_001" u="1"/>
        <s v="SM_DLV-7/3C_004" u="1"/>
        <s v="SM_S7TV/TEL-W_001" u="1"/>
        <s v="SM_MP10-C250_001" u="1"/>
        <s v="SM_DLF-20T_001" u="1"/>
        <s v="SM_A30RJ88_001" u="1"/>
        <s v="SM_S701/B_001" u="1"/>
        <s v="SM_S702/B_001" u="1"/>
        <s v="SM_AFC2-600_001" u="1"/>
        <s v="SM_DLB-9N_006" u="1"/>
        <s v="SM_S703/B_001" u="1"/>
        <s v="SM_DLF2-7N_001" u="1"/>
        <s v="SM_TL14-PK_001" u="1"/>
        <s v="SM_S704/B_001" u="1"/>
        <s v="SM_FPD-6060T_004" u="1"/>
        <s v="SM_MP10-C280_001" u="1"/>
        <s v="SM_MWP-136_101" u="1"/>
        <s v="SM_DLT-7/3C_005" u="1"/>
        <s v="SM_LBA-80T_001" u="1"/>
        <s v="SM_DLV-9T_006" u="1"/>
        <s v="SM_LBD3-7T_001" u="1"/>
        <s v="SM_FLD2-100V_101" u="1"/>
        <s v="SM_FLD3-100V_101" u="1"/>
        <s v="SM_DLB-12N_004" u="1"/>
        <s v="SM_S7UES2_001" u="1"/>
        <s v="SM_DLB-5/3C_004" u="1"/>
        <s v="SM_SSPL-24T/MS_001" u="1"/>
        <s v="SM_IRHD2_002" u="1"/>
        <s v="SM_RPL-9S/3C/G_002" u="1"/>
        <s v="SM_RPL-9S/3C/G_003" u="1"/>
        <s v="SM_DLT-9T_006" u="1"/>
        <s v="SM_DR/FPD-40_001" u="1"/>
        <s v="SM_S7DIM/L-GY_001" u="1"/>
        <s v="SM_A20USM_001" u="1"/>
        <s v="SM_SB-15A_101" u="1"/>
        <s v="SM_DLB2-7/3C_002" u="1"/>
        <s v="SM_LBD3-9V_001" u="1"/>
        <s v="SM_GT-120T_101" u="1"/>
        <s v="SM_RPL3-12N_001" u="1"/>
        <s v="SM_FLD2-200V_101" u="1"/>
        <s v="SM_DLBL2-9/3C_002" u="1"/>
        <s v="SM_FLD5-100V_001" u="1"/>
        <s v="SM_MWS1-AT_001" u="1"/>
        <s v="SM_DLF-30T_001" u="1"/>
        <s v="SM_DLB-9T_004" u="1"/>
        <s v="SM_SRPLB2-24/3C_001" u="1"/>
        <s v="SM_SSPLB2-24/3C_001" u="1"/>
        <s v="SM_S223_001" u="1"/>
        <s v="SM_BHR-12_001" u="1"/>
        <s v="SM_TN-2_001" u="1"/>
        <s v="SM_RPL-9SN_001" u="1"/>
        <s v="SM_TN-4_001" u="1"/>
        <s v="SM_RPL2-12T_001" u="1"/>
        <s v="SM_TS-10_003" u="1"/>
        <s v="SM_TN-6_001" u="1"/>
        <s v="SM_RPL3-12T_001" u="1"/>
        <s v="SM_TS-20_003" u="1"/>
        <s v="SM_MWP-236_101" u="1"/>
        <s v="SM_TS-40_003" u="1"/>
        <s v="SM_DLV-9V_006" u="1"/>
        <s v="SM_LBD3-9T_001" u="1"/>
        <s v="SM_RPL3-12V_001" u="1"/>
        <s v="SM_TS-60_003" u="1"/>
        <s v="SM_LB-20T_001" u="1"/>
        <s v="SM_LB-30T_001" u="1"/>
        <s v="SM_RPL-7/3C/S_001" u="1"/>
        <s v="SM_RPL-9/3C/S_001" u="1"/>
        <s v="SM_LB-40T_001" u="1"/>
        <s v="SM_LB-50T_001" u="1"/>
        <s v="SM_FLM-2/B35_002" u="1"/>
        <s v="SM_S7DIM/L-W_001" u="1"/>
        <s v="SM_DLT-9V_006" u="1"/>
        <s v="SM_KT_001" u="1"/>
        <s v="SM_RPL-12S/3C_001" u="1"/>
        <s v="SM_DLV2-9/3C_002" u="1"/>
        <s v="SM_RPL-12ST/G_002" u="1"/>
        <s v="SM_RPL-6T_101" u="1"/>
        <s v="SM_MRL-10/3C_001" u="1"/>
        <s v="SM_DLV-9/3C_004" u="1"/>
        <s v="SM_SRPL-18T_101" u="1"/>
        <s v="SM_RPL-9N_101" u="1"/>
        <s v="SM_DLB-9V_004" u="1"/>
        <s v="SM_DLV-9/3C_005" u="1"/>
        <s v="SM_SRPL-18V_101" u="1"/>
        <s v="SM_DLV-9/3C_006" u="1"/>
        <s v="SM_DLT-9/3C_004" u="1"/>
        <s v="SM_SSPL-18T_101" u="1"/>
        <s v="SM_S7DIM/F-GY_001" u="1"/>
        <s v="SM_S7UES2/FW_001" u="1"/>
        <s v="SM_AKSB_001" u="1"/>
        <s v="SM_DLT-9/3C_005" u="1"/>
        <s v="SM_SPL-6T_101" u="1"/>
        <s v="SM_DLF-25T_001" u="1"/>
        <s v="SM_DLT-9/3C_006" u="1"/>
        <s v="SM_S7MS2-GY_001" u="1"/>
        <s v="SM_LHB-100T_101" u="1"/>
        <s v="SM_F115_001" u="1"/>
        <s v="SM_TS-4_002" u="1"/>
        <s v="SM_TS-6_002" u="1"/>
        <s v="SM_TA8_002" u="1"/>
        <s v="SM_TSL2-12N_001" u="1"/>
        <s v="SM_TSL-8N_001" u="1"/>
        <s v="SM_DLB-12/3C_006" u="1"/>
        <s v="SM_DLT-12/3C_006" u="1"/>
        <s v="SM_DLV-12/3C_006" u="1"/>
        <s v="SM_LST2-150V_001" u="1"/>
        <s v="SM_AD1_001" u="1"/>
        <s v="SM_RPL-6V_101" u="1"/>
        <s v="SM_BHO-6_001" u="1"/>
        <s v="SM_S7TV/FGY_001" u="1"/>
        <s v="SM_A6NRDV_001" u="1"/>
        <s v="SM_TL14-RD_001" u="1"/>
        <s v="SM_A6USV_003" u="1"/>
        <s v="SM_DLB-9T_006" u="1"/>
        <s v="SM_TSL2-12T_001" u="1"/>
        <s v="SM_LRD1_001" u="1"/>
        <s v="SM_LS22835AC-V_001" u="1"/>
        <s v="SM_MC-LS2835AC_001" u="1"/>
        <s v="SM_TA6_001" u="1"/>
        <s v="SM_S7DIM/F-W_001" u="1"/>
        <s v="SM_NL2_001" u="1"/>
        <s v="SM_SSDL-16T_001" u="1"/>
        <s v="SM_SRPL-6/3C_101" u="1"/>
        <s v="SM_TS-32_003" u="1"/>
        <s v="SM_DB5_001" u="1"/>
        <s v="SM_WP-9_001" u="1"/>
        <s v="SM_A20US2XX_001" u="1"/>
        <s v="SM_A20US2_001" u="1"/>
        <s v="SM_GT-60T_001" u="1"/>
        <s v="SM_RPL-7/3C/S_002" u="1"/>
        <s v="SM_RPL-9/3C/S_002" u="1"/>
        <s v="SM_S7TEL-GY_001" u="1"/>
        <s v="SM_SRPL-24T_101" u="1"/>
        <s v="SM_SRPL-18T/MS_101" u="1"/>
        <s v="SM_SRPL-12T_101" u="1"/>
        <s v="SM_HBV-80T_001" u="1"/>
        <s v="SM_DB3_001" u="1"/>
        <s v="SM_TSL2-20N_001" u="1"/>
        <s v="SM_TSLB-12V_001" u="1"/>
        <s v="SM_DLE-7T_001" u="1"/>
        <s v="SM_SRPL-12V_101" u="1"/>
        <s v="SM_SRDL-24N_001" u="1"/>
        <s v="SM_DLE-9N_002" u="1"/>
        <s v="SM_TS-10/P_001" u="1"/>
        <s v="SM_SSPL-24T_101" u="1"/>
        <s v="SM_BKR-20_003" u="1"/>
        <s v="SM_GT8-120N_002" u="1"/>
        <s v="SM_LT8-60T/MS_002" u="1"/>
        <s v="SM_A20US3_001" u="1"/>
        <s v="SM_SRDL-48T_001" u="1"/>
        <s v="SM_LS22835AC-T_001" u="1"/>
        <s v="SM_BHR-18_001" u="1"/>
        <s v="SM_SRDL-24T_001" u="1"/>
        <s v="SM_RPL-9ST/G_003" u="1"/>
        <s v="SM_TSLB-20N_001" u="1"/>
        <s v="SM_A30/1_001" u="1"/>
        <s v="SM_GT8-120T_002" u="1"/>
        <s v="SM_LS25050AC-V_001" u="1"/>
        <s v="SM_RPL-9ST/S_001" u="1"/>
        <s v="SM_DLA2R-9T_001" u="1"/>
        <s v="SM_FLM-3GR_002" u="1"/>
        <s v="SM_BTD-01_001" u="1"/>
        <s v="SM_GT8-120V_002" u="1"/>
        <s v="SM_S7MD20-GY_001" u="1"/>
        <s v="SM_BN-36N_003" u="1"/>
        <s v="SM_BN2-18T_002" u="1"/>
        <s v="SM_TSL2-30T_001" u="1"/>
        <s v="SM_DLB-9/3C_004" u="1"/>
        <s v="SM_MP6-C163_001" u="1"/>
        <s v="SM_TSL2-30V_001" u="1"/>
        <s v="SM_RPL-12S/3C/G_001" u="1"/>
        <s v="SM_DLB-9/3C_005" u="1"/>
        <s v="SM_MP6-C150_001" u="1"/>
        <s v="SM_S7MS2_001" u="1"/>
        <s v="SM_DLV2-12/3C_002" u="1"/>
        <s v="SM_DLS-212N_001" u="1"/>
        <s v="SM_DLB-9/3C_006" u="1"/>
        <s v="SM_RPL3-9/3C_001" u="1"/>
        <s v="SM_KLSN2_001" u="1"/>
        <s v="SM_DLA2R-7T_001" u="1"/>
        <s v="SM_MP4-C163_001" u="1"/>
        <s v="SM_RPL-12S/3C/G_002" u="1"/>
        <s v="SM_RPL-9T_101" u="1"/>
        <s v="SM_RPL-12/3C_101" u="1"/>
        <s v="SM_MP6-C140_001" u="1"/>
        <s v="SM_BN2-36V_002" u="1"/>
        <s v="SM_KLSAC-5050_001" u="1"/>
        <s v="SM_DLA2R-7V_001" u="1"/>
        <s v="SM_SSL-7V_001" u="1"/>
        <s v="SM_S701M/B_001" u="1"/>
        <s v="SM_SRPL-12T/MS_101" u="1"/>
        <s v="SM_S702M/B_001" u="1"/>
        <s v="SM_SRDL-32T_001" u="1"/>
        <s v="SM_MP6-C263_001" u="1"/>
        <s v="SM_DLS-212T_001" u="1"/>
        <s v="SM_MP6-C250_001" u="1"/>
        <s v="SM_TL8_002" u="1"/>
        <s v="SM_DLS-212V_001" u="1"/>
        <s v="SM_RPL3-7T_002" u="1"/>
        <s v="SM_PL2_101" u="1"/>
        <s v="SM_TS-14_003" u="1"/>
        <s v="SM_SFLD2-100T_002" u="1"/>
        <s v="SM_DPM2_001" u="1"/>
        <s v="SM_LHE22_001" u="1"/>
        <s v="SM_TS-24_003" u="1"/>
        <s v="SM_MP6-C132_001" u="1"/>
        <s v="SM_SSDL-32T_001" u="1"/>
        <s v="SM_FPD-6060/SC_001" u="1"/>
        <s v="SM_DPM3_001" u="1"/>
        <s v="SM_MP4-C263_001" u="1"/>
        <s v="SM_LS25050AC-T_001" u="1"/>
        <s v="SM_DLA2R-5T_001" u="1"/>
        <s v="SM_SPL-9T_101" u="1"/>
        <s v="SM_MP4-C250_001" u="1"/>
        <s v="SM_MP6-C240_001" u="1"/>
        <s v="SM_MP6-C120_001" u="1"/>
        <s v="SM_BN2-36T_002" u="1"/>
        <s v="SM_DLA2R-5V_001" u="1"/>
        <s v="SM_LHK23_001" u="1"/>
        <s v="SM_TSL-8T_001" u="1"/>
        <s v="SM_MP6-C363_001" u="1"/>
        <s v="SM_A6MD20_001" u="1"/>
        <s v="SM_RCBO2-30/263_001" u="1"/>
        <s v="SM_MP6-C350_001" u="1"/>
        <s v="SM_RPL-7/3C/G_001" u="1"/>
        <s v="SM_RPL-9/3C/G_001" u="1"/>
        <s v="SM_BKD-20_003" u="1"/>
        <s v="SM_MP6-C110_001" u="1"/>
        <s v="SM_FPD3-6060T_003" u="1"/>
        <s v="SM_MP6-C125_001" u="1"/>
        <s v="SM_FLM-4/ST64_002" u="1"/>
        <s v="SM_FLM-6/ST64_002" u="1"/>
        <s v="SM_MP6-C232_001" u="1"/>
        <s v="SM_MS-HBE2_001" u="1"/>
        <s v="SM_MP4-C363_001" u="1"/>
        <s v="SM_A20UESM2_001" u="1"/>
        <s v="SM_LBD-60T_001" u="1"/>
        <s v="SM_RPL-9V_101" u="1"/>
        <s v="SM_CKPD-60_001" u="1"/>
        <s v="SM_DLA2R-3T_001" u="1"/>
        <s v="SM_MP4-C350_001" u="1"/>
        <s v="SM_MP6-C340_001" u="1"/>
        <s v="SM_MP6-C220_001" u="1"/>
        <s v="SM_DLA2R-3V_001" u="1"/>
        <s v="SM_WP-18_001" u="1"/>
        <s v="SM_MP6-C463_001" u="1"/>
        <s v="SM_RPL-12T/MS_101" u="1"/>
        <s v="SM_MP6-C116_001" u="1"/>
        <s v="SM_FPD-3030/SC_001" u="1"/>
        <s v="SM_SRDLB-32T_001" u="1"/>
        <s v="SM_RPL-12S/3C/S_001" u="1"/>
        <s v="SM_MP6-C210_001" u="1"/>
        <s v="SM_DR-250/LS2-2835_001" u="1"/>
        <s v="SM_DR-400/LS2-2835_001" u="1"/>
        <s v="SM_A30/1_002" u="1"/>
        <s v="SM_SSDLB-48T_001" u="1"/>
        <s v="SM_RPL3-9V_001" u="1"/>
        <s v="SM_MP6-C225_001" u="1"/>
        <s v="SM_MP6-C332_001" u="1"/>
        <s v="SM_RCBO2-30/240_001" u="1"/>
        <s v="SM_A223S_001" u="1"/>
        <s v="SM_BTD-03_002" u="1"/>
        <s v="SM_S7TEL/LAN-W_001" u="1"/>
        <s v="SM_MP6-C106_001" u="1"/>
        <s v="SM_SPL-9V_101" u="1"/>
        <s v="SM_S701/FGY_001" u="1"/>
        <s v="SM_BN-18N_003" u="1"/>
        <s v="SM_BN-36T_002" u="1"/>
        <s v="SM_MP6-C440_001" u="1"/>
        <s v="SM_RPL-12S/3C/S_002" u="1"/>
        <s v="SM_S7LAN-GY_001" u="1"/>
        <s v="SM_S702/FGY_001" u="1"/>
        <s v="SM_MP6-C320_001" u="1"/>
        <s v="SM_S703/FGY_001" u="1"/>
        <s v="SM_S704/FGY_001" u="1"/>
        <s v="SM_SRDLB-24T_001" u="1"/>
        <s v="SM_SSPLB-24T_001" u="1"/>
        <s v="SM_TSL-8V_001" u="1"/>
        <s v="SM_MP6-C216_001" u="1"/>
        <s v="SM_A6M/1V_001" u="1"/>
        <s v="SM_LB-9T/MS_002" u="1"/>
        <s v="SM_A6USB-A/C_001" u="1"/>
        <s v="SM_DLE-9T_002" u="1"/>
        <s v="SM_SRPLB-12T_001" u="1"/>
        <s v="SM_SSPLB-12T_001" u="1"/>
        <s v="SM_LT8-120T_001" u="1"/>
        <s v="SM_MP6-C310_001" u="1"/>
        <s v="SM_TS-4/P_001" u="1"/>
        <s v="SM_MP6-C325_001" u="1"/>
        <s v="SM_RPL3-9T_001" u="1"/>
        <s v="SM_LNEB-36N_002" u="1"/>
        <s v="SM_MP6-C432_001" u="1"/>
        <s v="SM_TS-6/P_001" u="1"/>
        <s v="SM_RPL2-6N_001" u="1"/>
        <s v="SM_RPL3-7N_002" u="1"/>
        <s v="SM_SRDLB-16T_001" u="1"/>
        <s v="SM_TSLB2-12T_001" u="1"/>
        <s v="SM_DLEL-6T_001" u="1"/>
        <s v="SM_SRPLB-18T_001" u="1"/>
        <s v="SM_SSPLB-18T_001" u="1"/>
        <s v="SM_A6UES2_001" u="1"/>
        <s v="SM_MP6-C316_001" u="1"/>
        <s v="SM_RCBO2-30/232_001" u="1"/>
        <s v="SM_RPL3-9S/3C_002" u="1"/>
        <s v="SM_KLSAC-2835_001" u="1"/>
        <s v="SM_SRPLB2-18T_001" u="1"/>
        <s v="SM_SSPLB2-18T_001" u="1"/>
        <s v="SM_LNEB-36T_002" u="1"/>
        <s v="SM_MP10-C3100_001" u="1"/>
        <s v="SM_LS3-2835AC-120-T_001" u="1"/>
        <s v="SM_S7TEL/2-W_001" u="1"/>
        <s v="SM_TL2_101" u="1"/>
        <s v="SM_MWS1-NT_001" u="1"/>
        <s v="SM_RCBO2-30/220_001" u="1"/>
        <s v="SM_BN-36T_003" u="1"/>
        <s v="SM_BN2-48T_002" u="1"/>
        <s v="SM_S7LAN/2-GY_001" u="1"/>
        <s v="SM_S7TEL/2-GY_001" u="1"/>
        <s v="SM_MP10-C2100_001" u="1"/>
        <s v="SM_VM2_001" u="1"/>
        <s v="SM_A6M/1V_002" u="1"/>
        <s v="SM_A6M/2V_001" u="1"/>
        <s v="SM_RPL-7/3C/G_002" u="1"/>
        <s v="SM_RPL-9/3C/G_002" u="1"/>
        <s v="SM_MC-LSN2_001" u="1"/>
        <s v="SM_SMPL-12030_001" u="1"/>
        <s v="SM_AM5S_101" u="1"/>
        <s v="SM_LS3-2835AC-120-V_001" u="1"/>
        <s v="SM_TR2_001" u="1"/>
        <s v="SM_DBP_001" u="1"/>
        <s v="SM_RPL-18/3C_101" u="1"/>
        <s v="SM_MRL-8/3C_001" u="1"/>
        <s v="SM_RPL3-7/3C_002" u="1"/>
        <s v="SM_SSL-12V_001" u="1"/>
        <s v="SM_FPD-6060T_002" u="1"/>
        <s v="SM_RCBO2-30/225_001" u="1"/>
        <s v="SM_TSLB-8V_001" u="1"/>
        <s v="SM_DLE-12T_001" u="1"/>
        <s v="SM_SRPL-6V_101" u="1"/>
        <s v="SM_A6RJ88_002" u="1"/>
        <s v="SM_A20UESMX_001" u="1"/>
        <s v="SM_RPL3-9N_001" u="1"/>
        <s v="SM_BN-36V_003" u="1"/>
        <s v="SM_STL-2V/1_001" u="1"/>
        <s v="SM_A662_001" u="1"/>
        <s v="SM_DLEL-9T_001" u="1"/>
        <s v="SM_S7MS2-W_001" u="1"/>
        <s v="SM_TSL-12V_001" u="1"/>
        <s v="SM_STL-2V/2_001" u="1"/>
        <s v="SM_BKT_001" u="1"/>
        <s v="SM_TSL-20V_001" u="1"/>
        <s v="SM_STL-2V/3_001" u="1"/>
        <s v="SM_A6M/1V_003" u="1"/>
        <s v="SM_STL-2V/4_001" u="1"/>
        <s v="SM_A6M/2V_002" u="1"/>
        <s v="SM_DLA-20T_001" u="1"/>
        <s v="SM_SRPL-6T_101" u="1"/>
        <s v="SM_STL-2V/5_001" u="1"/>
        <s v="SM_RCBO2-30/216_001" u="1"/>
        <s v="SM_S7LAN_001" u="1"/>
        <s v="SM_MAF2-150_001" u="1"/>
        <s v="SM_RPL-12V_101" u="1"/>
        <s v="SM_DBM-03_001" u="1"/>
        <s v="SM_GT8-60T_002" u="1"/>
        <s v="SM_S701M/FGY_001" u="1"/>
        <s v="SM_S702M/FGY_001" u="1"/>
        <s v="SM_S7TV/FW_001" u="1"/>
        <s v="SM_SRPL-18/3C_101" u="1"/>
        <s v="SM_F2Y-60_001" u="1"/>
        <s v="SM_TSL-12T_001" u="1"/>
        <s v="SM_AF2-200_001" u="1"/>
        <s v="SM_KLS2AC-5050_001" u="1"/>
        <s v="SM_RPL-18T/MS_101" u="1"/>
        <s v="SM_SRPLB2-18/3C_001" u="1"/>
        <s v="SM_SSPLB2-18/3C_001" u="1"/>
        <s v="SM_SPL-12V_101" u="1"/>
        <s v="SM_RPL-12T_101" u="1"/>
        <s v="SM_LB-9T/AM_001" u="1"/>
        <s v="SM_SRDL-16/3C_001" u="1"/>
        <s v="SM_A30M_001" u="1"/>
        <s v="SM_S7LAN/2-W_001" u="1"/>
        <s v="SM_BN-18T_003" u="1"/>
        <s v="SM_A30M_002" u="1"/>
        <s v="SM_A223V_001" u="1"/>
        <s v="SM_A7M/1_001" u="1"/>
        <s v="SM_DLV-7N_004" u="1"/>
        <s v="SM_TS-48_003" u="1"/>
        <s v="SM_S7TEL-W_001" u="1"/>
        <s v="SM_BHO-12_001" u="1"/>
        <s v="SM_S7DBP-GY_001" u="1"/>
        <s v="SM_DLF2-12N_001" u="1"/>
        <s v="SM_A20UES2_001" u="1"/>
        <s v="SM_MC2-LS5050AC_001" u="1"/>
        <s v="SM_DLE-12N_001" u="1"/>
        <s v="SM_A70KT_001" u="1"/>
        <s v="SM_DB_001" u="1"/>
        <s v="SM_TBS1_101" u="1"/>
        <s v="SM_DLT-7N_004" u="1"/>
        <s v="SM_S701M/FW_001" u="1"/>
        <s v="SM_S702M/FW_001" u="1"/>
        <s v="SM_DLE-7/3C_001" u="1"/>
        <s v="SM_S7UES2/B_001" u="1"/>
        <s v="SM_SPL-12T_101" u="1"/>
        <s v="SM_DBM-05_001" u="1"/>
        <s v="SM_TL9-PK-BD_002" u="1"/>
        <s v="SM_FPD3-6060/40T_001" u="1"/>
        <s v="SM_RPL3-12/3C_001" u="1"/>
        <s v="SM_FPD-6060/50T_001" u="1"/>
        <s v="SM_FLM-4/A60_002" u="1"/>
        <s v="SM_DLTL-9/3C_004" u="1"/>
        <s v="SM_DLF2-12T_001" u="1"/>
        <s v="SM_SLP2-15_001" u="1"/>
        <s v="SM_TR2B_001" u="1"/>
        <s v="SM_DLEL-9N_001" u="1"/>
        <s v="SM_DR-250/LS2-5050_001" u="1"/>
        <s v="SM_DR-400/LS2-5050_001" u="1"/>
        <s v="SM_TSLB-8N_001" u="1"/>
        <s v="SM_S7MD20-W_001" u="1"/>
        <s v="SM_DLA-12N_001" u="1"/>
        <s v="SM_MAFC2-250_001" u="1"/>
        <s v="SM_SRDL-48/3C_001" u="1"/>
        <s v="SM_SSDL-48/3C_001" u="1"/>
        <s v="SM_RPL-9S/3C/S_001" u="1"/>
        <s v="SM_RPL-9S/3C/S_003" u="1"/>
        <s v="SM_MAFC2-130_001" u="1"/>
        <s v="SM_MPN2-0342_001" u="1"/>
        <s v="SM_SRPL2-24T_002" u="1"/>
        <s v="SM_SSPL2-24T_002" u="1"/>
        <s v="SM_I_001" u="1"/>
        <s v="SM_MPN2-0352_001" u="1"/>
        <s v="SM_SW-120_001" u="1"/>
        <s v="SM_AF2-150_001" u="1"/>
        <s v="SM_SRPL-24/3C_101" u="1"/>
        <s v="SM_SRPL-12/3C_101" u="1"/>
        <s v="SM_SRPL2-12T_002" u="1"/>
        <s v="SM_DLB-12/3C_004" u="1"/>
        <s v="SM_DLT-12/3C_004" u="1"/>
        <s v="SM_DLV-12/3C_004" u="1"/>
        <s v="SM_MAF2-200_001" u="1"/>
        <s v="SM_LCD-3V_001" u="1"/>
        <s v="SM_A20UESMXX_002" u="1"/>
        <s v="SM_MPN2-0232_001" u="1"/>
        <s v="SM_TSL-12N_001" u="1"/>
        <s v="SM_TSL-20N_001" u="1"/>
        <s v="SM_DLT-5T_004" u="1"/>
        <s v="SM_MPN2-0242_001" u="1"/>
        <s v="SM_SRDLB-24V_001" u="1"/>
        <s v="SM_FLM-3PK_002" u="1"/>
        <s v="SM_BCL3-2835AC-120_001" u="1"/>
        <s v="SM_MPN2-0252_001" u="1"/>
        <s v="SM_AD2_001" u="1"/>
        <s v="SM_SRPLB-12V_001" u="1"/>
        <s v="SM_SRDLB-16N_001" u="1"/>
        <s v="SM_TSLB2-12N_001" u="1"/>
        <s v="SM_MPN2-0132_001" u="1"/>
        <s v="SM_RPL-12N_101" u="1"/>
        <s v="SM_MPN2-1342_001" u="1"/>
        <s v="SM_FPD-6060/60T_001" u="1"/>
        <s v="SM_MPN2-0142_001" u="1"/>
        <s v="SM_SRPL2-18T_002" u="1"/>
        <s v="SM_SSPL2-18T_002" u="1"/>
        <s v="SM_MPN2-1352_001" u="1"/>
        <s v="SM_MPN2-0152_001" u="1"/>
        <s v="SM_BKY-20_003" u="1"/>
        <s v="SM_DLF2-20T_001" u="1"/>
        <s v="SM_DLT-12V_006" u="1"/>
        <s v="SM_SRPLB2-12T_001" u="1"/>
        <s v="SM_SSPLB2-12T_001" u="1"/>
        <s v="SM_MC2-LS2835AC_001" u="1"/>
        <s v="SM_MC3-LS2835AC_001" u="1"/>
        <s v="SM_DLE-18T_001" u="1"/>
        <s v="SM_FLD2-150T_101" u="1"/>
        <s v="SM_FLD3-150T_101" u="1"/>
        <s v="SM_MPN2-1232_001" u="1"/>
        <s v="SM_LBD3-15T_001" u="1"/>
        <s v="SM_MPN2-1242_001" u="1"/>
        <s v="SM_SSPLB-18V_001" u="1"/>
        <s v="SM_NL3_001" u="1"/>
        <s v="SM_A60456GV_001" u="1"/>
        <s v="SM_MPN2-1252_001" u="1"/>
        <s v="SM_LBD3-15V_001" u="1"/>
        <s v="SM_BKW-20_003" u="1"/>
        <s v="SM_DLV-12T_006" u="1"/>
        <s v="SM_RPL-24T_101" u="1"/>
        <s v="SM_LBD2-15T_003" u="1"/>
        <s v="SM_MPN2-1132_001" u="1"/>
        <s v="SM_A30NRD_001" u="1"/>
        <s v="SM_DLTL-9V_006" u="1"/>
        <s v="SM_MPN2-2342_001" u="1"/>
        <s v="SM_SRDL-32/3C_001" u="1"/>
        <s v="SM_S7UES2/FGY_001" u="1"/>
        <s v="SM_MPN2-1152_001" u="1"/>
        <s v="SM_DLV-9N_004" u="1"/>
        <s v="SM_TL-10_001" u="1"/>
        <s v="SM_AF2-250_001" u="1"/>
        <s v="SM_DLT-12T_006" u="1"/>
        <s v="SM_AK2237ND_001" u="1"/>
        <s v="SM_MPN2-2232_001" u="1"/>
        <s v="SM_FLD5-150T_001" u="1"/>
        <s v="SM_CAT5E-4P_101" u="1"/>
        <s v="SM_MPN2-2242_001" u="1"/>
        <s v="SM_CAT6E-4P_101" u="1"/>
        <s v="SM_DLT-7N_006" u="1"/>
        <s v="SM_RPL-12ST/S_001" u="1"/>
        <s v="SM_DLT-9N_004" u="1"/>
        <s v="SM_SB-20A_101" u="1"/>
        <s v="SM_SB-30A_101" u="1"/>
        <s v="SM_TA1_001" u="1"/>
        <s v="SM_SB-40A_101" u="1"/>
        <s v="SM_SPL-24T_101" u="1"/>
        <s v="SM_MPN2-2132_001" u="1"/>
        <s v="SM_DLF2-40N_003" u="1"/>
        <s v="SM_LBD3-12T_001" u="1"/>
        <s v="SM_DLTL-9T_006" u="1"/>
        <s v="SM_MPN2-023_001" u="1"/>
        <s v="SM_MPN2-2142_001" u="1"/>
        <s v="SM_DLE-9/3C_002" u="1"/>
        <s v="SM_FLM-6/A60_002" u="1"/>
        <s v="SM_MPN2-024_001" u="1"/>
        <s v="SM_RPL-9/3C_101" u="1"/>
        <s v="SM_FLD5-10V_001" u="1"/>
        <s v="SM_LBD3-12V_001" u="1"/>
        <s v="SM_RPL-9ST/G_001" u="1"/>
        <s v="SM_MPN2-025_001" u="1"/>
        <s v="SM_DLT-12V_004" u="1"/>
        <s v="SM_MPN2-3232_001" u="1"/>
        <s v="SM_DLB-7N_004" u="1"/>
        <s v="SM_F2A-60_001" u="1"/>
        <s v="SM_TL9-BL-BD_002" u="1"/>
        <s v="SM_MPN2-013_001" u="1"/>
        <s v="SM_MPN2-014_001" u="1"/>
        <s v="SM_DLF2-40T_003" u="1"/>
        <s v="SM_AMHP-3S_001" u="1"/>
        <s v="SM_IB_001" u="1"/>
        <s v="SM_A6M/2_002" u="1"/>
        <s v="SM_RPL-18T_101" u="1"/>
        <s v="SM_MPN2-015_001" u="1"/>
        <s v="SM_DL65-12V_001" u="1"/>
        <s v="SM_DLV-12T_004" u="1"/>
        <s v="SM_MPN2-3132_001" u="1"/>
        <s v="SM_RPL3-9SN_002" u="1"/>
        <s v="SM_MPN2-4342_001" u="1"/>
        <s v="SM_FLD5-20T_001" u="1"/>
        <s v="SM_FLD2-100T_101" u="1"/>
        <s v="SM_FLD3-100T_101" u="1"/>
        <s v="SM_MPN2-123_001" u="1"/>
        <s v="SM_DLV-7T_004" u="1"/>
        <s v="SM_MPN2-4352_001" u="1"/>
        <s v="SM_S701/FW_001" u="1"/>
        <s v="SM_MPN2-124_001" u="1"/>
        <s v="SM_S7LAN-W_001" u="1"/>
        <s v="SM_S702/FW_001" u="1"/>
        <s v="SM_FLD5-20V_001" u="1"/>
        <s v="SM_S7TV/B_001" u="1"/>
        <s v="SM_S703/FW_001" u="1"/>
        <s v="SM_MPN2-125_001" u="1"/>
        <s v="SM_DLF-7T_002" u="1"/>
        <s v="SM_S704/FW_001" u="1"/>
        <s v="SM_SW-332_001" u="1"/>
        <s v="SM_MPN2-4232_001" u="1"/>
        <s v="SM_DLT-12T_004" u="1"/>
        <s v="SM_HBE2-150T_001" u="1"/>
        <s v="SM_LCD-5V_001" u="1"/>
        <s v="SM_MPN2-4242_001" u="1"/>
        <s v="SM_MPN2-113_001" u="1"/>
        <s v="SM_RPL-12SN_001" u="1"/>
        <s v="SM_DLT-7T_004" u="1"/>
        <s v="SM_MPN2-4252_001" u="1"/>
        <s v="SM_MPN2-114_001" u="1"/>
        <s v="SM_DPL-7V_001" u="1"/>
        <s v="SM_RPL3-9ST_002" u="1"/>
        <s v="SM_FLD2-10T_101" u="1"/>
        <s v="SM_SPL-18T_101" u="1"/>
        <s v="SM_DRDL-7/3C_001" u="1"/>
        <s v="SM_MPN2-115_001" u="1"/>
        <s v="SM_AFC2-250_001" u="1"/>
        <s v="SM_MPN2-4132_001" u="1"/>
        <s v="SM_AFC2-130_001" u="1"/>
        <s v="SM_FLD5-30T_001" u="1"/>
        <s v="SM_FLD2-200T_101" u="1"/>
        <s v="SM_FLD3-200T_101" u="1"/>
        <s v="SM_RPL-24N_101" u="1"/>
        <s v="SM_MPN2-223_001" u="1"/>
        <s v="SM_FLD2-10V_101" u="1"/>
        <s v="SM_FLD5-100T_001" u="1"/>
        <s v="SM_FLD3-10V_101" u="1"/>
        <s v="SM_DLTL-9T_004" u="1"/>
        <s v="SM_MPN2-224_001" u="1"/>
        <s v="SM_FLD5-30V_001" u="1"/>
        <s v="SM_GT3-120T_002" u="1"/>
        <s v="SM_MPN2-225_001" u="1"/>
        <s v="SM_SRPLB2-12/3C_001" u="1"/>
        <s v="SM_SSPLB2-12/3C_001" u="1"/>
        <s v="SM_RPL-12ST_001" u="1"/>
        <s v="SM_DLT-12N_006" u="1"/>
        <s v="SM_LBD2-20T_003" u="1"/>
        <s v="SM_LBD3-20T_003" u="1"/>
        <s v="SM_MPN2-213_001" u="1"/>
        <s v="SM_A6UESM-2_001" u="1"/>
        <s v="SM_MPN2-214_001" u="1"/>
        <s v="SM_S7TV/LAN-W_001" u="1"/>
        <s v="SM_SMPL-6060_001" u="1"/>
        <s v="SM_FLD2-20T_101" u="1"/>
        <s v="SM_S7TEL/LAN-GY_001" u="1"/>
        <s v="SM_LBD3-20V_003" u="1"/>
        <s v="SM_A6M/1_003" u="1"/>
        <s v="SM_RPL-7T/S_002" u="1"/>
        <s v="SM_BKG-20_003" u="1"/>
        <s v="SM_A601BV/G_001" u="1"/>
        <s v="SM_MPN2-323_001" u="1"/>
        <s v="SM_FLD2-20V_101" u="1"/>
        <s v="SM_FLD5-200T_001" u="1"/>
        <s v="SM_A602BV/G_001" u="1"/>
        <s v="SM_A603BV/G_001" u="1"/>
        <s v="SM_MPN2-324_001" u="1"/>
        <s v="SM_DLV-9N_006" u="1"/>
        <s v="SM_DLTL-9N_006" u="1"/>
        <s v="SM_MPN2-325_001" u="1"/>
        <s v="SM_FLM-3RD_002" u="1"/>
        <s v="SM_MPN2-1013_001" u="1"/>
        <s v="SM_A6US_002" u="1"/>
        <s v="SM_DLF-7V_002" u="1"/>
        <s v="SM_SRDLB-48/3C_001" u="1"/>
        <s v="SM_SSDLB-48/3C_001" u="1"/>
        <s v="SM_LBD2-30T_003" u="1"/>
        <s v="SM_S7MS-W_001" u="1"/>
        <s v="SM_LBD3-30T_003" u="1"/>
        <s v="SM_MPN2-313_001" u="1"/>
        <s v="SM_DLT-7V_004" u="1"/>
        <s v="SM_A20US2X_001" u="1"/>
        <s v="SM_RPL-12ST/S_002" u="1"/>
        <s v="SM_DLA-35N_001" u="1"/>
        <s v="SM_DLT-9N_006" u="1"/>
        <s v="SM_LE-120T_001" u="1"/>
        <s v="SM_FLD2-30T_101" u="1"/>
        <s v="SM_DLEL-9/3C_001" u="1"/>
        <s v="SM_DRDL-9/3C_001" u="1"/>
        <s v="SM_LBD3-30V_003" u="1"/>
        <s v="SM_MPN2-315_001" u="1"/>
        <s v="SM_FLD3-30T_101" u="1"/>
        <s v="SM_MWP118_001" u="1"/>
        <s v="SM_SRDLB-24/3C_001" u="1"/>
        <s v="SM_SRPLB-24/3C_001" u="1"/>
        <s v="SM_SSPL2-24/3C_002" u="1"/>
        <s v="SM_RPL-18N_101" u="1"/>
        <s v="SM_RPL-9S/3C_001" u="1"/>
        <s v="SM_FLD5-50T_001" u="1"/>
        <s v="SM_MPN2-423_001" u="1"/>
        <s v="SM_FLD2-30V_101" u="1"/>
        <s v="SM_DLB-12T_006" u="1"/>
        <s v="SM_DLV-12N_004" u="1"/>
        <s v="SM_FLD3-30V_101" u="1"/>
        <s v="SM_HBE2-100T_001" u="1"/>
        <s v="SM_LBD3-3V_001" u="1"/>
        <s v="SM_SRPLB-12/3C_001" u="1"/>
        <s v="SM_SSPLB-12/3C_001" u="1"/>
        <s v="SM_FLD5-50V_001" u="1"/>
        <s v="SM_DLB-5V_004" u="1"/>
        <s v="SM_FLM-2/P45_002" u="1"/>
        <s v="SM_MPN2-425_001" u="1"/>
        <s v="SM_RPL-6SV_101" u="1"/>
        <s v="SM_LBD2-40T_003" u="1"/>
        <s v="SM_DLB-9N_004" u="1"/>
        <s v="SM_LBD3-40T_003" u="1"/>
        <s v="SM_MPN2-413_001" u="1"/>
        <s v="SM_A601BV/S_001" u="1"/>
        <s v="SM_DLT-12N_004" u="1"/>
        <s v="SM_RPL-6SN_001" u="1"/>
        <s v="SM_A602BV/S_001" u="1"/>
        <s v="SM_MPN2-414_001" u="1"/>
        <s v="SM_A603BV/S_001" u="1"/>
        <s v="SM_SRDLB-16/3C_001" u="1"/>
        <s v="SM_SSDLB-16/3C_001" u="1"/>
        <s v="SM_LBD3-40V_003" u="1"/>
        <s v="SM_MPN2-415_001" u="1"/>
        <s v="SM_BCL2835-AC_001" u="1"/>
      </sharedItems>
    </cacheField>
    <cacheField name="Hold Code" numFmtId="0">
      <sharedItems containsBlank="1"/>
    </cacheField>
    <cacheField name="LPN" numFmtId="0">
      <sharedItems containsBlank="1"/>
    </cacheField>
    <cacheField name="Location" numFmtId="0">
      <sharedItems containsBlank="1"/>
    </cacheField>
    <cacheField name="Status" numFmtId="0">
      <sharedItems containsBlank="1"/>
    </cacheField>
    <cacheField name="Expected Qty" numFmtId="0">
      <sharedItems containsString="0" containsBlank="1" containsNumber="1" containsInteger="1" minValue="7000" maxValue="200000"/>
    </cacheField>
    <cacheField name="Received Qty" numFmtId="0">
      <sharedItems containsBlank="1"/>
    </cacheField>
    <cacheField name="Lottable02 - Supplier" numFmtId="0">
      <sharedItems containsBlank="1"/>
    </cacheField>
    <cacheField name="Lottable03 - PoMpe" numFmtId="0">
      <sharedItems containsBlank="1" count="442">
        <s v="40/12/25-SINCERE"/>
        <m/>
        <s v="1105/05/25-LDS" u="1"/>
        <s v="1229/11/25-LDS" u="1"/>
        <s v="393/08/25-SZBQ" u="1"/>
        <s v="31/07/25-X4" u="1"/>
        <s v="27/11/25-ZHL" u="1"/>
        <s v="1158/08/25-LDS" u="1"/>
        <s v="378/06/25-SZBQ" u="1"/>
        <s v="98/12/24-SR" u="1"/>
        <s v="786/10/23-LDS" u="1"/>
        <s v="1115/05/25-LDS" u="1"/>
        <s v="394/08/25-SZBQ" u="1"/>
        <s v="09/04/25-STARLUX" u="1"/>
        <s v="27/07/25-KRL" u="1"/>
        <s v="1081/04/25-LDS" u="1"/>
        <s v="1168/08/25-LDS" u="1"/>
        <s v="379/06/25-SZBQ" u="1"/>
        <s v="66/10/25-KZ" u="1"/>
        <s v="22/03/25-KRL" u="1"/>
        <s v="22/04/25-LJG" u="1"/>
        <s v="1038/12/24-LDS" u="1"/>
        <s v="1125/05/25-LDS" u="1"/>
        <s v="1137/08/25-LDS" u="1"/>
        <s v="1189/09/25-LDS" u="1"/>
        <s v="395/08/25-SZBQ" u="1"/>
        <s v="187/07/25-KLITE" u="1"/>
        <s v="HANGBU/08/25-SZBQ" u="1"/>
        <s v="777/09/23-LDS" u="1"/>
        <s v="1091/04/25-LDS" u="1"/>
        <s v="1178/08/25-LDS" u="1"/>
        <s v="HANGBU.ER-01/25-LGD" u="1"/>
        <s v="1147/08/25-LDS" u="1"/>
        <s v="1207/10/25-LDS" u="1"/>
        <s v="03/11/25-LONGER" u="1"/>
        <s v="50/10/25-HENT" u="1"/>
        <s v="04/06/25-HSTAR" u="1"/>
        <s v="1104/05/25-LDS" u="1"/>
        <s v="1188/08/25-LDS" u="1"/>
        <s v="1228/11/25-LDS" u="1"/>
        <s v="110/05/25-SR" u="1"/>
        <s v="789/10/23-LDS" u="1"/>
        <s v="899/05/24-LDS" u="1"/>
        <s v="1157/08/25-LDS" u="1"/>
        <s v="1114/05/25-LDS" u="1"/>
        <s v="396/09/25-SZBQ" u="1"/>
        <s v="188/08/25-KLITE" u="1"/>
        <s v="03/12/24-CH" u="1"/>
        <s v="05/05/25-X4" u="1"/>
        <s v="13/01/25-X4" u="1"/>
        <s v="22/05/25-WD" u="1"/>
        <s v="48/05/25-NK" u="1"/>
        <s v="08/05/25-OYSHI" u="1"/>
        <s v="1000/08/25-LDS" u="1"/>
        <s v="1069/03/25-LDS" u="1"/>
        <s v="1080/04/25-LDS" u="1"/>
        <s v="1135/06/25-LDS" u="1"/>
        <s v="1167/08/25-LDS" u="1"/>
        <s v="24/07/25-X4" u="1"/>
        <s v="25/06/25-KRL" u="1"/>
        <s v="1037/12/24-LDS" u="1"/>
        <s v="1124/05/25-LDS" u="1"/>
        <s v="1136/08/25-LDS" u="1"/>
        <s v="1248/11/25-LDS" u="1"/>
        <s v="397/09/25-SZBQ" u="1"/>
        <s v="189/08/25-KLITE" u="1"/>
        <s v="HANGBU.ER-01-202407-SZBQ" u="1"/>
        <s v="1047/01/25-LDS" u="1"/>
        <s v="1090/04/25-LDS" u="1"/>
        <s v="1177/08/25-LDS" u="1"/>
        <s v="1269/12/25-LDS" u="1"/>
        <s v="HANGBU_LOI.07/25-SZBQ" u="1"/>
        <s v="1146/08/25-LDS" u="1"/>
        <s v="1206/10/25-LDS" u="1"/>
        <s v="398/09/25-SZBQ" u="1"/>
        <s v="26/07/25-X4" u="1"/>
        <s v="844/01/24-LDS" u="1"/>
        <s v="09/08/25-OYSHI" u="1"/>
        <s v="1103/05/25-LDS" u="1"/>
        <s v="1187/08/25-LDS" u="1"/>
        <s v="1227/11/25-LDS" u="1"/>
        <s v="141/09/24-KLITE" u="1"/>
        <s v="200/09/25-KLITE" u="1"/>
        <s v="HANGBU_ĐG.19/08/24-ZHL" u="1"/>
        <s v="112/06/25-SR" u="1"/>
        <s v="741/06/23-LDS" u="1"/>
        <s v="1156/08/25-LDS" u="1"/>
        <s v="399/09/25-SZBQ" u="1"/>
        <s v="170/04/25-KLITE" u="1"/>
        <s v="49/08/25-HENT" u="1"/>
        <s v="1079/04/25-LDS" u="1"/>
        <s v="1113/05/25-LDS" u="1"/>
        <s v="1237/11/25-LDS" u="1"/>
        <s v="210/11/25-KLITE" u="1"/>
        <s v="33/05/25-SINCERE" u="1"/>
        <s v="HANGBU/01/25-SZBQ" u="1"/>
        <s v="113/06/25-SR" u="1"/>
        <s v="17/08/25-OML" u="1"/>
        <s v="128/04/25-LGD" u="1"/>
        <s v="1068/03/25-LDS" u="1"/>
        <s v="1134/06/25-LDS" u="1"/>
        <s v="1166/08/25-LDS" u="1"/>
        <s v="171/04/25-KLITE" u="1"/>
        <s v="04/04/25-CH" u="1"/>
        <s v="28/09/25-KRL" u="1"/>
        <s v="1036/12/24-LDS" u="1"/>
        <s v="1089/04/25-LDS" u="1"/>
        <s v="1123/05/25-LDS" u="1"/>
        <s v="1247/11/25-LDS" u="1"/>
        <s v="211/11/25-KLITE" u="1"/>
        <s v="39/11/25-SINCERE" u="1"/>
        <s v="27/11/25-WD" u="1"/>
        <s v="06/05/25-YQN" u="1"/>
        <s v="760/07/23-LDS" u="1"/>
        <s v="862/03/24-LDS" u="1"/>
        <s v="1078/03/25-LDS" u="1"/>
        <s v="1176/08/25-LDS" u="1"/>
        <s v="421/11/25-SZBQ" u="1"/>
        <s v="172/04/25-KLITE" u="1"/>
        <s v="35/06/25-SINCERE" u="1"/>
        <s v="105/06/24-KS(HANGBH)-R5" u="1"/>
        <s v="1145/08/25-LDS" u="1"/>
        <s v="1205/10/25-LDS" u="1"/>
        <s v="212/11/25-KLITE" u="1"/>
        <s v="15/04/25-JINLING" u="1"/>
        <s v="62/05/25-KZ" u="1"/>
        <s v="761/07/23-LDS" u="1"/>
        <s v="829/01/24-LDS" u="1"/>
        <s v="1056/01/25-LDS" u="1"/>
        <s v="1102/05/25-LDS" u="1"/>
        <s v="1186/08/25-LDS" u="1"/>
        <s v="1226/11/25-LDS" u="1"/>
        <s v="405/10/25-SZBQ" u="1"/>
        <s v="173/04/25-KLITE" u="1"/>
        <s v="02/08/25-RL" u="1"/>
        <s v="24/06/25-X4" u="1"/>
        <s v="29/11/25-WD" u="1"/>
        <s v="129/05/25-LGD" u="1"/>
        <s v="1155/08/25-LDS" u="1"/>
        <s v="1215/10/25-LDS" u="1"/>
        <s v="380/06/25-SZBQ" u="1"/>
        <s v="37/06/25-SINCERE" u="1"/>
        <s v="48/04/25-HENT" u="1"/>
        <s v="864/03/24-LDS" u="1"/>
        <s v="1112/05/25-LDS" u="1"/>
        <s v="1236/11/25-LDS" u="1"/>
        <s v="406/10/25-SZBQ" u="1"/>
        <s v="174/04/25-KLITE" u="1"/>
        <s v="17/07/25-JINLING" u="1"/>
        <s v="121/11/25-SR" u="1"/>
        <s v="849/01/24-LDS" u="1"/>
        <s v="1067/03/25-LDS" u="1"/>
        <s v="1099/05/25-LDS" u="1"/>
        <s v="1133/06/25-LDS" u="1"/>
        <s v="1165/08/25-LDS" u="1"/>
        <s v="363/12/24-SZBQ" u="1"/>
        <s v="367/03/25-SZBQ" u="1"/>
        <s v="381/06/25-SZBQ" u="1"/>
        <s v="26/06/25-X4" u="1"/>
        <s v="49/07/25-NK" u="1"/>
        <s v="26/09/25-ZHL" u="1"/>
        <s v="1088/04/25-LDS" u="1"/>
        <s v="1122/05/25-LDS" u="1"/>
        <s v="407/10/25-SZBQ" u="1"/>
        <s v="175/04/25-KLITE" u="1"/>
        <s v="13/06/25-X4" u="1"/>
        <s v="1077/03/25-LDS" u="1"/>
        <s v="1175/08/25-LDS" u="1"/>
        <s v="368/03/25-SZBQ" u="1"/>
        <s v="423/12/25-SZBQ" u="1"/>
        <s v="115/08/25-SR" u="1"/>
        <s v="136/10/25-LGD" u="1"/>
        <s v="790/10/23-LDS" u="1"/>
        <s v="1144/08/25-LDS" u="1"/>
        <s v="1204/10/25-LDS" u="1"/>
        <s v="408/10/25-SZBQ" u="1"/>
        <s v="176/04/25-KLITE" u="1"/>
        <s v="25/07/25-WD" u="1"/>
        <s v="1101/05/25-LDS" u="1"/>
        <s v="1185/08/25-LDS" u="1"/>
        <s v="369/03/25-SZBQ" u="1"/>
        <s v=" 1067/03/25-LDS" u="1"/>
        <s v="116/08/25-SR" u="1"/>
        <s v="1154/08/25-LDS" u="1"/>
        <s v="1214/10/25-LDS" u="1"/>
        <s v="382/07/25-SZBQ" u="1"/>
        <s v="177/04/25-KLITE" u="1"/>
        <s v="22/05/25-X4" u="1"/>
        <s v="67/11/25-KZ" u="1"/>
        <s v="20/09/24-ZHL" u="1"/>
        <s v="23/04/25-KRL" u="1"/>
        <s v="952/09/24-LDS" u="1"/>
        <s v="1111/05/25-LDS" u="1"/>
        <s v="190/08/25-KLITE" u="1"/>
        <s v="117/08/25-SR" u="1"/>
        <s v="1098/05/25-LDS" u="1"/>
        <s v="1132/06/25-LDS" u="1"/>
        <s v="1164/08/25-LDS" u="1"/>
        <s v="383/07/25-SZBQ" u="1"/>
        <s v="137/11/25-LGD" u="1"/>
        <s v="953/09/24-LDS" u="1"/>
        <s v="1087/04/25-LDS" u="1"/>
        <s v="1121/05/25-LDS" u="1"/>
        <s v="24/05/25-X4" u="1"/>
        <s v="118/08/25-SR" u="1"/>
        <s v="869/03/24-LDS" u="1"/>
        <s v="1076/03/25-LDS" u="1"/>
        <s v="1174/08/25-LDS" u="1"/>
        <s v="20/06/25-BHO" u="1"/>
        <s v="138/11/25-LGD" u="1"/>
        <s v="1097/04/25-LDS" u="1"/>
        <s v="1143/08/25-LDS" u="1"/>
        <s v="1195/09/25-LDS" u="1"/>
        <s v="1203/10/25-LDS" u="1"/>
        <s v="30/07/25-X4" u="1"/>
        <s v="07/05/25-AXD" u="1"/>
        <s v="119/08/25-SR" u="1"/>
        <s v="1100/05/25-LDS" u="1"/>
        <s v="63/07/25-KZ" u="1"/>
        <s v="955/09/24-LDS" u="1"/>
        <s v="1153/08/25-LDS" u="1"/>
        <s v="1213/10/25-LDS" u="1"/>
        <s v="384/08/25-SZBQ" u="1"/>
        <s v="193/08/25-KLITE" u="1"/>
        <s v="41/12/25-SINCERE" u="1"/>
        <s v="19/01/25-BHO" u="1"/>
        <s v="1110/05/25-LDS" u="1"/>
        <s v="178/06/25-KLITE" u="1"/>
        <s v="08/11/25-AXD" u="1"/>
        <s v="174/12/24-HQ" u="1"/>
        <s v="956/09/24-LDS" u="1"/>
        <s v="985/10/24-LDS" u="1"/>
        <s v="1065/03/25-LDS" u="1"/>
        <s v="1131/06/25-LDS" u="1"/>
        <s v="1163/08/25-LDS" u="1"/>
        <s v="385/08/25-SZBQ" u="1"/>
        <s v="194/08/25-KLITE" u="1"/>
        <s v="28/05/25-X4" u="1"/>
        <s v="65/07/25-KZ" u="1"/>
        <s v="99/12/24-SR" u="1"/>
        <s v="139/12/25-LGD" u="1"/>
        <s v="1033/12/24-LDS" u="1"/>
        <s v="1086/04/25-LDS" u="1"/>
        <s v="1120/05/25-LDS" u="1"/>
        <s v="179/06/25-KLITE" u="1"/>
        <s v="1075/03/25-LDS" u="1"/>
        <s v="1173/08/25-LDS" u="1"/>
        <s v="386/08/25-SZBQ" u="1"/>
        <s v="195/08/25-KLITE" u="1"/>
        <s v=" 38/11/25-SINCERE" u="1"/>
        <s v="130/05/25-LGD" u="1"/>
        <s v="1096/04/25-LDS" u="1"/>
        <s v="1142/08/25-LDS" u="1"/>
        <s v="1202/10/25-LDS" u="1"/>
        <s v="02/08/25-LONGER" u="1"/>
        <s v="01/08/25-X4" u="1"/>
        <s v="177/05/25-HQ" u="1"/>
        <s v="958/09/24-LDS" u="1"/>
        <s v="1183/08/25-LDS" u="1"/>
        <s v="387/08/25-SZBQ" u="1"/>
        <s v="196/08/25-KLITE" u="1"/>
        <s v="26/09/25-WD" u="1"/>
        <s v="102/04/25-SR" u="1"/>
        <s v="1109/05/25-LDS" u="1"/>
        <s v="1152/08/25-LDS" u="1"/>
        <s v="1212/10/25-LDS" u="1"/>
        <s v="08/12/24-STARLUX" u="1"/>
        <s v="100/12/24-SR" u="1"/>
        <s v="178/05/25-HQ" u="1"/>
        <s v="1199/10/25-LDS" u="1"/>
        <s v="1233/11/25-LDS" u="1"/>
        <s v="388/08/25-SZBQ" u="1"/>
        <s v="162/01/25-KLITE" u="1"/>
        <s v="197/08/25-KLITE" u="1"/>
        <s v="HANGBU_ĐG.13/01/24-ZHL" u="1"/>
        <s v="23/07/25-X4" u="1"/>
        <s v="103/04/25-SR" u="1"/>
        <s v="01/06/25-SEITY" u="1"/>
        <s v="1064/03/25-LDS" u="1"/>
        <s v="1119/05/25-LDS" u="1"/>
        <s v="1130/06/25-LDS" u="1"/>
        <s v="1162/08/25-LDS" u="1"/>
        <s v="131/06/25-LGD" u="1"/>
        <s v="1085/04/25-LDS" u="1"/>
        <s v="389/08/25-SZBQ" u="1"/>
        <s v="198/08/25-KLITE" u="1"/>
        <s v="06/05/25-X4" u="1"/>
        <s v="23/05/25-WD" u="1"/>
        <s v="104/04/25-SR" u="1"/>
        <s v="02/08/25-DYANG" u="1"/>
        <s v="1074/03/25-LDS" u="1"/>
        <s v="1172/08/25-LDS" u="1"/>
        <s v="06/01/24-STARLUX" u="1"/>
        <s v="25/07/25-X4" u="1"/>
        <s v="21/03/25-ZHL" u="1"/>
        <s v="26/06/25-KRL" u="1"/>
        <s v="132/06/25-LGD" u="1"/>
        <s v="1095/04/25-LDS" u="1"/>
        <s v="1141/08/25-LDS" u="1"/>
        <s v="1193/09/25-LDS" u="1"/>
        <s v="1201/10/25-LDS" u="1"/>
        <s v="164/01/25-KLITE" u="1"/>
        <s v="199/08/25-KLITE" u="1"/>
        <s v="105/04/25-SR" u="1"/>
        <s v="1011/12/24-LDS" u="1"/>
        <s v="1182/08/25-LDS" u="1"/>
        <s v="400/09/25-SZBQ" u="1"/>
        <s v="201/10/25-KLITE" u="1"/>
        <s v="133/06/25-LGD" u="1"/>
        <s v="1108/05/25-LDS" u="1"/>
        <s v="1151/08/25-LDS" u="1"/>
        <s v="1211/10/25-LDS" u="1"/>
        <s v="370/04/25-SZBQ" u="1"/>
        <s v="106/04/25-SR" u="1"/>
        <s v="16/08/25-OML" u="1"/>
        <s v="1129/06/25-LDS" u="1"/>
        <s v="1198/10/25-LDS" u="1"/>
        <s v="1232/11/25-LDS" u="1"/>
        <s v="401/09/25-SZBQ" u="1"/>
        <s v="202/10/25-KLITE" u="1"/>
        <s v="22/06/25-ZHL" u="1"/>
        <s v="HANGBU/25-PSE" u="1"/>
        <s v="1063/03/25-LDS" u="1"/>
        <s v="1118/05/25-LDS" u="1"/>
        <s v="1161/08/25-LDS" u="1"/>
        <s v="166/01/25-KLITE" u="1"/>
        <s v="1084/04/25-LDS" u="1"/>
        <s v="402/09/25-SZBQ" u="1"/>
        <s v="203/10/25-KLITE" u="1"/>
        <s v="18/10/25-JINLING" u="1"/>
        <s v="34/06/25-SINCERE" u="1"/>
        <s v="17/04/25-X4" u="1"/>
        <s v="29/07/25-X4" u="1"/>
        <s v="837/01/24-LDS" u="1"/>
        <s v="1073/03/25-LDS" u="1"/>
        <s v="1171/08/25-LDS" u="1"/>
        <s v="21/04/25-WD" u="1"/>
        <s v="134/07/25-LGD" u="1"/>
        <s v="07/04/25-OYSHI" u="1"/>
        <s v="1094/04/25-LDS" u="1"/>
        <s v="1140/08/25-LDS" u="1"/>
        <s v="1192/09/25-LDS" u="1"/>
        <s v="1200/10/25-LDS" u="1"/>
        <s v="403/09/25-SZBQ" u="1"/>
        <s v="412/11/25-SZBQ" u="1"/>
        <s v="23/06/25-X4" u="1"/>
        <s v="28/11/25-WD" u="1"/>
        <s v="05/07/25-LCS" u="1"/>
        <s v="107/05/25-SR" u="1"/>
        <s v="24/05/25-KRL" u="1"/>
        <s v="03/05/25-FEIHE" u="1"/>
        <s v="1010/12/24-LDS" u="1"/>
        <s v="1181/08/25-LDS" u="1"/>
        <s v="161/12/24-KLITE" u="1"/>
        <s v="36/06/25-SINCERE" u="1"/>
        <s v="30/05/25-X4" u="1"/>
        <s v="120/09/25-SR" u="1"/>
        <s v="23/09/25-LJG" u="1"/>
        <s v="1107/05/25-LDS" u="1"/>
        <s v="1150/08/25-LDS" u="1"/>
        <s v="1210/10/25-LDS" u="1"/>
        <s v="413/11/25-SZBQ" u="1"/>
        <s v="16/06/25-JINLING" u="1"/>
        <s v="60/12/24-KZ" u="1"/>
        <s v="108/05/25-SR" u="1"/>
        <s v="140/12/25-LGD" u="1"/>
        <s v="873/03/24-LDS" u="1"/>
        <s v="1128/06/25-LDS" u="1"/>
        <s v="1197/10/25-LDS" u="1"/>
        <s v="1231/11/25-LDS" u="1"/>
        <s v="371/06/25-SZBQ" u="1"/>
        <s v="180/06/25-KLITE" u="1"/>
        <s v="25/06/25-X4" u="1"/>
        <s v="1062/03/25-LDS" u="1"/>
        <s v="1117/05/25-LDS" u="1"/>
        <s v="1160/08/25-LDS" u="1"/>
        <s v="414/11/25-SZBQ" u="1"/>
        <s v="109/05/25-SR" u="1"/>
        <s v="755/06/23-LDS" u="1"/>
        <s v="1083/04/25-LDS" u="1"/>
        <s v="372/06/25-SZBQ" u="1"/>
        <s v="181/06/25-KLITE" u="1"/>
        <s v="25/04/25-CS" u="1"/>
        <s v="1072/03/25-LDS" u="1"/>
        <s v="1139/08/25-LDS" u="1"/>
        <s v="1170/08/25-LDS" u="1"/>
        <s v="415/11/25-SZBQ" u="1"/>
        <s v="24/07/25-WD" u="1"/>
        <s v="1009/12/24-LDS" u="1"/>
        <s v="1093/04/25-LDS" u="1"/>
        <s v="1191/09/25-LDS" u="1"/>
        <s v="373/06/25-SZBQ" u="1"/>
        <s v="182/06/25-KLITE" u="1"/>
        <s v="206/11/25-KLITE" u="1"/>
        <s v="14/06/25-X4" u="1"/>
        <s v="135/09/25-LGD" u="1"/>
        <s v="1149/08/25-LDS" u="1"/>
        <s v="1180/08/25-LDS" u="1"/>
        <s v="1209/10/25-LDS" u="1"/>
        <s v="1106/05/25-LDS" u="1"/>
        <s v="374/06/25-SZBQ" u="1"/>
        <s v="183/06/25-KLITE" u="1"/>
        <s v="207/11/25-KLITE" u="1"/>
        <s v="09/07/25-X4" u="1"/>
        <s v="29/11/25-KRL" u="1"/>
        <s v="1060/01/25-LDS" u="1"/>
        <s v="1127/06/25-LDS" u="1"/>
        <s v="1159/08/25-LDS" u="1"/>
        <s v="1196/10/25-LDS" u="1"/>
        <s v="1219/10/25-LDS" u="1"/>
        <s v="1230/11/25-LDS" u="1"/>
        <s v="390/08/25-SZBQ" u="1"/>
        <s v="61/04/25-KZ" u="1"/>
        <s v="04/08/25-OULI" u="1"/>
        <s v="1116/05/25-LDS" u="1"/>
        <s v="375/06/25-SZBQ" u="1"/>
        <s v="184/06/25-KLITE" u="1"/>
        <s v="208/11/25-KLITE" u="1"/>
        <s v="23/05/25-X4" u="1"/>
        <s v="23/08/25-ZHL" u="1"/>
        <s v="1082/04/25-LDS" u="1"/>
        <s v="1169/08/25-LDS" u="1"/>
        <s v="391/08/25-SZBQ" u="1"/>
        <s v="169/04/25-KLITE" u="1"/>
        <s v="06/10/25-PSE" u="1"/>
        <s v="180/06/25-HQ" u="1"/>
        <s v="1071/03/25-LDS" u="1"/>
        <s v="1126/05/25-LDS" u="1"/>
        <s v="1138/08/25-LDS" u="1"/>
        <s v="376/06/25-SZBQ" u="1"/>
        <s v="209/11/25-KLITE" u="1"/>
        <s v="992/10/24-LDS" u="1"/>
        <s v="1092/04/25-LDS" u="1"/>
        <s v="1179/08/25-LDS" u="1"/>
        <s v="1190/09/25-LDS" u="1"/>
        <s v="392/08/25-SZBQ" u="1"/>
        <s v="25/08/25-ZHL" u="1"/>
        <s v="945/09/24-LDS" u="1"/>
        <s v="1148/08/25-LDS" u="1"/>
        <s v="1208/10/25-LDS" u="1"/>
        <s v="377/06/25-SZBQ" u="1"/>
        <s v="01/11/24- LONGER" u="1"/>
      </sharedItems>
    </cacheField>
    <cacheField name="Lottable06" numFmtId="0">
      <sharedItems containsBlank="1"/>
    </cacheField>
    <cacheField name="Lottable07 - Version" numFmtId="0">
      <sharedItems containsBlank="1"/>
    </cacheField>
    <cacheField name="Lottable09 - PoSap" numFmtId="0">
      <sharedItems containsBlank="1"/>
    </cacheField>
    <cacheField name="Lottable10 - MaKiemSoat" numFmtId="0">
      <sharedItems containsBlank="1"/>
    </cacheField>
    <cacheField name="Gross Weight" numFmtId="0">
      <sharedItems containsBlank="1"/>
    </cacheField>
    <cacheField name="Net Weight" numFmtId="0">
      <sharedItems containsBlank="1"/>
    </cacheField>
    <cacheField name="Tare Weight" numFmtId="0">
      <sharedItems containsBlank="1"/>
    </cacheField>
    <cacheField name="UDF1 - Ref Doc (SAP)" numFmtId="0">
      <sharedItems containsBlank="1"/>
    </cacheField>
    <cacheField name="Date Created" numFmtId="0">
      <sharedItems containsBlank="1"/>
    </cacheField>
    <cacheField name="Date Updated" numFmtId="0">
      <sharedItems containsBlank="1"/>
    </cacheField>
    <cacheField name="Updated By" numFmtId="0">
      <sharedItems containsBlank="1"/>
    </cacheField>
    <cacheField name="Notes (SAP)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vu" refreshedDate="46065.52280648148" createdVersion="6" refreshedVersion="6" minRefreshableVersion="3" recordCount="6" xr:uid="{422B9F37-51E1-42D9-A343-6F3309FE3E7C}">
  <cacheSource type="worksheet">
    <worksheetSource ref="A1:W5998" sheet="IMPORT"/>
  </cacheSource>
  <cacheFields count="23">
    <cacheField name="ASN/Receipt" numFmtId="0">
      <sharedItems containsBlank="1"/>
    </cacheField>
    <cacheField name="Line #" numFmtId="0">
      <sharedItems containsBlank="1"/>
    </cacheField>
    <cacheField name="Item" numFmtId="0">
      <sharedItems containsBlank="1" count="748">
        <s v="SM_BKD-20_004"/>
        <s v="SM_BKG-20_004"/>
        <s v="SM_BKR-20_004"/>
        <s v="SM_BKY-20_004"/>
        <s v="SM_BKW-20_004"/>
        <m/>
        <s v="SM_SRPLB-18/3C_001" u="1"/>
        <s v="SM_SSPLB-18/3C_001" u="1"/>
        <s v="SM_HBE2-200T_001" u="1"/>
        <s v="SM_DLV-9T_004" u="1"/>
        <s v="SM_S7TV/TEL-GY_001" u="1"/>
        <s v="SM_TSLB2-20N_002" u="1"/>
        <s v="SM_RPL-9T/G_001" u="1"/>
        <s v="SM_DLTL-9N_004" u="1"/>
        <s v="SM_LB-20N_001" u="1"/>
        <s v="SM_RPL-9SV_002" u="1"/>
        <s v="SM_LBD2-50T_003" u="1"/>
        <s v="SM_AFC2-300_001" u="1"/>
        <s v="SM_SRPL2-12V_002" u="1"/>
        <s v="SM_LDL2_001" u="1"/>
        <s v="SM_RPL-9T/G_002" u="1"/>
        <s v="SM_LBD3-50T_003" u="1"/>
        <s v="SM_DLT-7T_006" u="1"/>
        <s v="SM_LCD-7V_001" u="1"/>
        <s v="SM_BCL22835-AC_001" u="1"/>
        <s v="SM_DLT-9T_004" u="1"/>
        <s v="SM_TSLB2-20V_002" u="1"/>
        <s v="SM_FLD2-50T_101" u="1"/>
        <s v="SM_FLD3-50T_101" u="1"/>
        <s v="SM_TSLB2-25N_002" u="1"/>
        <s v="SM_MWP-118_101" u="1"/>
        <s v="SM_MWP136_001" u="1"/>
        <s v="SM_FLM-3YL_002" u="1"/>
        <s v="SM_FLD2-50V_101" u="1"/>
        <s v="SM_MWP236_001" u="1"/>
        <s v="SM_FLD3-50V_101" u="1"/>
        <s v="SM_LBD3-5V_001" u="1"/>
        <s v="SM_DLB-12T_004" u="1"/>
        <s v="SM_DLF-12V_002" u="1"/>
        <s v="SM_RPL-6N_101" u="1"/>
        <s v="SM_DLB-7T_004" u="1"/>
        <s v="SM_S7MD20_001" u="1"/>
        <s v="SM_A6UESMV_001" u="1"/>
        <s v="SM_FLD2-150V_101" u="1"/>
        <s v="SM_SRPLB2-24T_001" u="1"/>
        <s v="SM_SSPLB2-24T_001" u="1"/>
        <s v="SM_AM6S_001" u="1"/>
        <s v="SM_RPL-9T/S_001" u="1"/>
        <s v="SM_A6M/1_004" u="1"/>
        <s v="SM_RPL-9T/S_002" u="1"/>
        <s v="SM_BN-40T_001" u="1"/>
        <s v="SM_DLV-9V_004" u="1"/>
        <s v="SM_LBD3-5T_001" u="1"/>
        <s v="SM_DLB-12N_006" u="1"/>
        <s v="SM_DLF-12T_002" u="1"/>
        <s v="SM_MC-LS2835/90-RGB/AC_001" u="1"/>
        <s v="SM_BN-60T_001" u="1"/>
        <s v="SM_VM1_002" u="1"/>
        <s v="SM_B6123_001" u="1"/>
        <s v="SM_S7DBP-W_001" u="1"/>
        <s v="SM_RPL-9ST_001" u="1"/>
        <s v="SM_S7TV/LAN-GY_001" u="1"/>
        <s v="SM_DPL-12V_001" u="1"/>
        <s v="SM_FLD5-150V_001" u="1"/>
        <s v="SM_S7MS-GY_001" u="1"/>
        <s v="SM_DPL-20V_001" u="1"/>
        <s v="SM_DLT-9V_004" u="1"/>
        <s v="SM_RPL2-18T_001" u="1"/>
        <s v="SM_MWP-218_101" u="1"/>
        <s v="SM_FPD-12060T_001" u="1"/>
        <s v="SM_LBD3-7V_001" u="1"/>
        <s v="SM_RPL-12ST/G_001" u="1"/>
        <s v="SM_MP10-C380_001" u="1"/>
        <s v="SM_DLV-7/3C_004" u="1"/>
        <s v="SM_S7TV/TEL-W_001" u="1"/>
        <s v="SM_MP10-C250_001" u="1"/>
        <s v="SM_DLF-20T_001" u="1"/>
        <s v="SM_A30RJ88_001" u="1"/>
        <s v="SM_S701/B_001" u="1"/>
        <s v="SM_S702/B_001" u="1"/>
        <s v="SM_AFC2-600_001" u="1"/>
        <s v="SM_DLB-9N_006" u="1"/>
        <s v="SM_S703/B_001" u="1"/>
        <s v="SM_DLF2-7N_001" u="1"/>
        <s v="SM_TL14-PK_001" u="1"/>
        <s v="SM_S704/B_001" u="1"/>
        <s v="SM_FPD-6060T_004" u="1"/>
        <s v="SM_MP10-C280_001" u="1"/>
        <s v="SM_MWP-136_101" u="1"/>
        <s v="SM_DLT-7/3C_005" u="1"/>
        <s v="SM_LBA-80T_001" u="1"/>
        <s v="SM_DLV-9T_006" u="1"/>
        <s v="SM_LBD3-7T_001" u="1"/>
        <s v="SM_FLD2-100V_101" u="1"/>
        <s v="SM_FLD3-100V_101" u="1"/>
        <s v="SM_DLB-12N_004" u="1"/>
        <s v="SM_S7UES2_001" u="1"/>
        <s v="SM_DLB-5/3C_004" u="1"/>
        <s v="SM_SSPL-24T/MS_001" u="1"/>
        <s v="SM_IRHD2_002" u="1"/>
        <s v="SM_RPL-9S/3C/G_002" u="1"/>
        <s v="SM_RPL-9S/3C/G_003" u="1"/>
        <s v="SM_DLT-9T_006" u="1"/>
        <s v="SM_DR/FPD-40_001" u="1"/>
        <s v="SM_S7DIM/L-GY_001" u="1"/>
        <s v="SM_A20USM_001" u="1"/>
        <s v="SM_SB-15A_101" u="1"/>
        <s v="SM_DLB2-7/3C_002" u="1"/>
        <s v="SM_LBD3-9V_001" u="1"/>
        <s v="SM_GT-120T_101" u="1"/>
        <s v="SM_RPL3-12N_001" u="1"/>
        <s v="SM_FLD2-200V_101" u="1"/>
        <s v="SM_DLBL2-9/3C_002" u="1"/>
        <s v="SM_FLD5-100V_001" u="1"/>
        <s v="SM_MWS1-AT_001" u="1"/>
        <s v="SM_DLF-30T_001" u="1"/>
        <s v="SM_DLB-9T_004" u="1"/>
        <s v="SM_SRPLB2-24/3C_001" u="1"/>
        <s v="SM_SSPLB2-24/3C_001" u="1"/>
        <s v="SM_S223_001" u="1"/>
        <s v="SM_BHR-12_001" u="1"/>
        <s v="SM_TN-2_001" u="1"/>
        <s v="SM_RPL-9SN_001" u="1"/>
        <s v="SM_TN-4_001" u="1"/>
        <s v="SM_RPL2-12T_001" u="1"/>
        <s v="SM_TS-10_003" u="1"/>
        <s v="SM_TN-6_001" u="1"/>
        <s v="SM_RPL3-12T_001" u="1"/>
        <s v="SM_TS-20_003" u="1"/>
        <s v="SM_MWP-236_101" u="1"/>
        <s v="SM_TS-40_003" u="1"/>
        <s v="SM_DLV-9V_006" u="1"/>
        <s v="SM_LBD3-9T_001" u="1"/>
        <s v="SM_RPL3-12V_001" u="1"/>
        <s v="SM_TS-60_003" u="1"/>
        <s v="SM_LB-20T_001" u="1"/>
        <s v="SM_LB-30T_001" u="1"/>
        <s v="SM_RPL-7/3C/S_001" u="1"/>
        <s v="SM_RPL-9/3C/S_001" u="1"/>
        <s v="SM_LB-40T_001" u="1"/>
        <s v="SM_LB-50T_001" u="1"/>
        <s v="SM_FLM-2/B35_002" u="1"/>
        <s v="SM_S7DIM/L-W_001" u="1"/>
        <s v="SM_DLT-9V_006" u="1"/>
        <s v="SM_KT_001" u="1"/>
        <s v="SM_RPL-12S/3C_001" u="1"/>
        <s v="SM_DLV2-9/3C_002" u="1"/>
        <s v="SM_RPL-12ST/G_002" u="1"/>
        <s v="SM_RPL-6T_101" u="1"/>
        <s v="SM_MRL-10/3C_001" u="1"/>
        <s v="SM_DLV-9/3C_004" u="1"/>
        <s v="SM_SRPL-18T_101" u="1"/>
        <s v="SM_RPL-9N_101" u="1"/>
        <s v="SM_DLB-9V_004" u="1"/>
        <s v="SM_DLV-9/3C_005" u="1"/>
        <s v="SM_SRPL-18V_101" u="1"/>
        <s v="SM_DLV-9/3C_006" u="1"/>
        <s v="SM_DLT-9/3C_004" u="1"/>
        <s v="SM_SSPL-18T_101" u="1"/>
        <s v="SM_S7DIM/F-GY_001" u="1"/>
        <s v="SM_S7UES2/FW_001" u="1"/>
        <s v="SM_AKSB_001" u="1"/>
        <s v="SM_DLT-9/3C_005" u="1"/>
        <s v="SM_SPL-6T_101" u="1"/>
        <s v="SM_DLF-25T_001" u="1"/>
        <s v="SM_DLT-9/3C_006" u="1"/>
        <s v="SM_S7MS2-GY_001" u="1"/>
        <s v="SM_LHB-100T_101" u="1"/>
        <s v="SM_F115_001" u="1"/>
        <s v="SM_TS-4_002" u="1"/>
        <s v="SM_TS-6_002" u="1"/>
        <s v="SM_TA8_002" u="1"/>
        <s v="SM_TSL2-12N_001" u="1"/>
        <s v="SM_TSL-8N_001" u="1"/>
        <s v="SM_DLB-12/3C_006" u="1"/>
        <s v="SM_DLT-12/3C_006" u="1"/>
        <s v="SM_DLV-12/3C_006" u="1"/>
        <s v="SM_LST2-150V_001" u="1"/>
        <s v="SM_AD1_001" u="1"/>
        <s v="SM_RPL-6V_101" u="1"/>
        <s v="SM_BHO-6_001" u="1"/>
        <s v="SM_S7TV/FGY_001" u="1"/>
        <s v="SM_A6NRDV_001" u="1"/>
        <s v="SM_TL14-RD_001" u="1"/>
        <s v="SM_A6USV_003" u="1"/>
        <s v="SM_DLB-9T_006" u="1"/>
        <s v="SM_TSL2-12T_001" u="1"/>
        <s v="SM_LRD1_001" u="1"/>
        <s v="SM_LS22835AC-V_001" u="1"/>
        <s v="SM_MC-LS2835AC_001" u="1"/>
        <s v="SM_TA6_001" u="1"/>
        <s v="SM_S7DIM/F-W_001" u="1"/>
        <s v="SM_NL2_001" u="1"/>
        <s v="SM_SSDL-16T_001" u="1"/>
        <s v="SM_SRPL-6/3C_101" u="1"/>
        <s v="SM_TS-32_003" u="1"/>
        <s v="SM_DB5_001" u="1"/>
        <s v="SM_WP-9_001" u="1"/>
        <s v="SM_A20US2XX_001" u="1"/>
        <s v="SM_A20US2_001" u="1"/>
        <s v="SM_GT-60T_001" u="1"/>
        <s v="SM_RPL-7/3C/S_002" u="1"/>
        <s v="SM_RPL-9/3C/S_002" u="1"/>
        <s v="SM_S7TEL-GY_001" u="1"/>
        <s v="SM_SRPL-24T_101" u="1"/>
        <s v="SM_SRPL-18T/MS_101" u="1"/>
        <s v="SM_SRPL-12T_101" u="1"/>
        <s v="SM_HBV-80T_001" u="1"/>
        <s v="SM_DB3_001" u="1"/>
        <s v="SM_TSL2-20N_001" u="1"/>
        <s v="SM_TSLB-12V_001" u="1"/>
        <s v="SM_DLE-7T_001" u="1"/>
        <s v="SM_SRPL-12V_101" u="1"/>
        <s v="SM_SRDL-24N_001" u="1"/>
        <s v="SM_DLE-9N_002" u="1"/>
        <s v="SM_TS-10/P_001" u="1"/>
        <s v="SM_SSPL-24T_101" u="1"/>
        <s v="SM_BKR-20_003" u="1"/>
        <s v="SM_GT8-120N_002" u="1"/>
        <s v="SM_LT8-60T/MS_002" u="1"/>
        <s v="SM_A20US3_001" u="1"/>
        <s v="SM_SRDL-48T_001" u="1"/>
        <s v="SM_LS22835AC-T_001" u="1"/>
        <s v="SM_BHR-18_001" u="1"/>
        <s v="SM_SRDL-24T_001" u="1"/>
        <s v="SM_RPL-9ST/G_003" u="1"/>
        <s v="SM_TSLB-20N_001" u="1"/>
        <s v="SM_A30/1_001" u="1"/>
        <s v="SM_GT8-120T_002" u="1"/>
        <s v="SM_LS25050AC-V_001" u="1"/>
        <s v="SM_RPL-9ST/S_001" u="1"/>
        <s v="SM_DLA2R-9T_001" u="1"/>
        <s v="SM_FLM-3GR_002" u="1"/>
        <s v="SM_BTD-01_001" u="1"/>
        <s v="SM_GT8-120V_002" u="1"/>
        <s v="SM_S7MD20-GY_001" u="1"/>
        <s v="SM_BN-36N_003" u="1"/>
        <s v="SM_BN2-18T_002" u="1"/>
        <s v="SM_TSL2-30T_001" u="1"/>
        <s v="SM_DLB-9/3C_004" u="1"/>
        <s v="SM_MP6-C163_001" u="1"/>
        <s v="SM_TSL2-30V_001" u="1"/>
        <s v="SM_RPL-12S/3C/G_001" u="1"/>
        <s v="SM_DLB-9/3C_005" u="1"/>
        <s v="SM_MP6-C150_001" u="1"/>
        <s v="SM_S7MS2_001" u="1"/>
        <s v="SM_DLV2-12/3C_002" u="1"/>
        <s v="SM_DLS-212N_001" u="1"/>
        <s v="SM_DLB-9/3C_006" u="1"/>
        <s v="SM_RPL3-9/3C_001" u="1"/>
        <s v="SM_KLSN2_001" u="1"/>
        <s v="SM_DLA2R-7T_001" u="1"/>
        <s v="SM_MP4-C163_001" u="1"/>
        <s v="SM_RPL-12S/3C/G_002" u="1"/>
        <s v="SM_RPL-9T_101" u="1"/>
        <s v="SM_RPL-12/3C_101" u="1"/>
        <s v="SM_MP6-C140_001" u="1"/>
        <s v="SM_BN2-36V_002" u="1"/>
        <s v="SM_KLSAC-5050_001" u="1"/>
        <s v="SM_DLA2R-7V_001" u="1"/>
        <s v="SM_SSL-7V_001" u="1"/>
        <s v="SM_S701M/B_001" u="1"/>
        <s v="SM_SRPL-12T/MS_101" u="1"/>
        <s v="SM_S702M/B_001" u="1"/>
        <s v="SM_SRDL-32T_001" u="1"/>
        <s v="SM_MP6-C263_001" u="1"/>
        <s v="SM_DLS-212T_001" u="1"/>
        <s v="SM_MP6-C250_001" u="1"/>
        <s v="SM_TL8_002" u="1"/>
        <s v="SM_DLS-212V_001" u="1"/>
        <s v="SM_RPL3-7T_002" u="1"/>
        <s v="SM_PL2_101" u="1"/>
        <s v="SM_TS-14_003" u="1"/>
        <s v="SM_SFLD2-100T_002" u="1"/>
        <s v="SM_DPM2_001" u="1"/>
        <s v="SM_LHE22_001" u="1"/>
        <s v="SM_TS-24_003" u="1"/>
        <s v="SM_MP6-C132_001" u="1"/>
        <s v="SM_SSDL-32T_001" u="1"/>
        <s v="SM_FPD-6060/SC_001" u="1"/>
        <s v="SM_DPM3_001" u="1"/>
        <s v="SM_MP4-C263_001" u="1"/>
        <s v="SM_LS25050AC-T_001" u="1"/>
        <s v="SM_DLA2R-5T_001" u="1"/>
        <s v="SM_SPL-9T_101" u="1"/>
        <s v="SM_MP4-C250_001" u="1"/>
        <s v="SM_MP6-C240_001" u="1"/>
        <s v="SM_MP6-C120_001" u="1"/>
        <s v="SM_BN2-36T_002" u="1"/>
        <s v="SM_DLA2R-5V_001" u="1"/>
        <s v="SM_LHK23_001" u="1"/>
        <s v="SM_TSL-8T_001" u="1"/>
        <s v="SM_MP6-C363_001" u="1"/>
        <s v="SM_A6MD20_001" u="1"/>
        <s v="SM_RCBO2-30/263_001" u="1"/>
        <s v="SM_MP6-C350_001" u="1"/>
        <s v="SM_RPL-7/3C/G_001" u="1"/>
        <s v="SM_RPL-9/3C/G_001" u="1"/>
        <s v="SM_BKD-20_003" u="1"/>
        <s v="SM_MP6-C110_001" u="1"/>
        <s v="SM_FPD3-6060T_003" u="1"/>
        <s v="SM_MP6-C125_001" u="1"/>
        <s v="SM_FLM-4/ST64_002" u="1"/>
        <s v="SM_FLM-6/ST64_002" u="1"/>
        <s v="SM_MP6-C232_001" u="1"/>
        <s v="SM_MS-HBE2_001" u="1"/>
        <s v="SM_MP4-C363_001" u="1"/>
        <s v="SM_A20UESM2_001" u="1"/>
        <s v="SM_LBD-60T_001" u="1"/>
        <s v="SM_RPL-9V_101" u="1"/>
        <s v="SM_CKPD-60_001" u="1"/>
        <s v="SM_DLA2R-3T_001" u="1"/>
        <s v="SM_MP4-C350_001" u="1"/>
        <s v="SM_MP6-C340_001" u="1"/>
        <s v="SM_MP6-C220_001" u="1"/>
        <s v="SM_DLA2R-3V_001" u="1"/>
        <s v="SM_WP-18_001" u="1"/>
        <s v="SM_MP6-C463_001" u="1"/>
        <s v="SM_RPL-12T/MS_101" u="1"/>
        <s v="SM_MP6-C116_001" u="1"/>
        <s v="SM_FPD-3030/SC_001" u="1"/>
        <s v="SM_SRDLB-32T_001" u="1"/>
        <s v="SM_RPL-12S/3C/S_001" u="1"/>
        <s v="SM_MP6-C210_001" u="1"/>
        <s v="SM_DR-250/LS2-2835_001" u="1"/>
        <s v="SM_DR-400/LS2-2835_001" u="1"/>
        <s v="SM_A30/1_002" u="1"/>
        <s v="SM_SSDLB-48T_001" u="1"/>
        <s v="SM_RPL3-9V_001" u="1"/>
        <s v="SM_MP6-C225_001" u="1"/>
        <s v="SM_MP6-C332_001" u="1"/>
        <s v="SM_RCBO2-30/240_001" u="1"/>
        <s v="SM_A223S_001" u="1"/>
        <s v="SM_BTD-03_002" u="1"/>
        <s v="SM_S7TEL/LAN-W_001" u="1"/>
        <s v="SM_MP6-C106_001" u="1"/>
        <s v="SM_SPL-9V_101" u="1"/>
        <s v="SM_S701/FGY_001" u="1"/>
        <s v="SM_BN-18N_003" u="1"/>
        <s v="SM_BN-36T_002" u="1"/>
        <s v="SM_MP6-C440_001" u="1"/>
        <s v="SM_RPL-12S/3C/S_002" u="1"/>
        <s v="SM_S7LAN-GY_001" u="1"/>
        <s v="SM_S702/FGY_001" u="1"/>
        <s v="SM_MP6-C320_001" u="1"/>
        <s v="SM_S703/FGY_001" u="1"/>
        <s v="SM_S704/FGY_001" u="1"/>
        <s v="SM_SRDLB-24T_001" u="1"/>
        <s v="SM_SSPLB-24T_001" u="1"/>
        <s v="SM_TSL-8V_001" u="1"/>
        <s v="SM_MP6-C216_001" u="1"/>
        <s v="SM_A6M/1V_001" u="1"/>
        <s v="SM_LB-9T/MS_002" u="1"/>
        <s v="SM_A6USB-A/C_001" u="1"/>
        <s v="SM_DLE-9T_002" u="1"/>
        <s v="SM_SRPLB-12T_001" u="1"/>
        <s v="SM_SSPLB-12T_001" u="1"/>
        <s v="SM_LT8-120T_001" u="1"/>
        <s v="SM_MP6-C310_001" u="1"/>
        <s v="SM_TS-4/P_001" u="1"/>
        <s v="SM_MP6-C325_001" u="1"/>
        <s v="SM_RPL3-9T_001" u="1"/>
        <s v="SM_LNEB-36N_002" u="1"/>
        <s v="SM_MP6-C432_001" u="1"/>
        <s v="SM_TS-6/P_001" u="1"/>
        <s v="SM_RPL2-6N_001" u="1"/>
        <s v="SM_RPL3-7N_002" u="1"/>
        <s v="SM_SRDLB-16T_001" u="1"/>
        <s v="SM_TSLB2-12T_001" u="1"/>
        <s v="SM_DLEL-6T_001" u="1"/>
        <s v="SM_SRPLB-18T_001" u="1"/>
        <s v="SM_SSPLB-18T_001" u="1"/>
        <s v="SM_A6UES2_001" u="1"/>
        <s v="SM_MP6-C316_001" u="1"/>
        <s v="SM_RCBO2-30/232_001" u="1"/>
        <s v="SM_RPL3-9S/3C_002" u="1"/>
        <s v="SM_KLSAC-2835_001" u="1"/>
        <s v="SM_SRPLB2-18T_001" u="1"/>
        <s v="SM_SSPLB2-18T_001" u="1"/>
        <s v="SM_LNEB-36T_002" u="1"/>
        <s v="SM_MP10-C3100_001" u="1"/>
        <s v="SM_LS3-2835AC-120-T_001" u="1"/>
        <s v="SM_S7TEL/2-W_001" u="1"/>
        <s v="SM_TL2_101" u="1"/>
        <s v="SM_MWS1-NT_001" u="1"/>
        <s v="SM_RCBO2-30/220_001" u="1"/>
        <s v="SM_BN-36T_003" u="1"/>
        <s v="SM_BN2-48T_002" u="1"/>
        <s v="SM_S7LAN/2-GY_001" u="1"/>
        <s v="SM_S7TEL/2-GY_001" u="1"/>
        <s v="SM_MP10-C2100_001" u="1"/>
        <s v="SM_VM2_001" u="1"/>
        <s v="SM_A6M/1V_002" u="1"/>
        <s v="SM_A6M/2V_001" u="1"/>
        <s v="SM_RPL-7/3C/G_002" u="1"/>
        <s v="SM_RPL-9/3C/G_002" u="1"/>
        <s v="SM_MC-LSN2_001" u="1"/>
        <s v="SM_SMPL-12030_001" u="1"/>
        <s v="SM_AM5S_101" u="1"/>
        <s v="SM_LS3-2835AC-120-V_001" u="1"/>
        <s v="SM_TR2_001" u="1"/>
        <s v="SM_DBP_001" u="1"/>
        <s v="SM_RPL-18/3C_101" u="1"/>
        <s v="SM_MRL-8/3C_001" u="1"/>
        <s v="SM_RPL3-7/3C_002" u="1"/>
        <s v="SM_SSL-12V_001" u="1"/>
        <s v="SM_FPD-6060T_002" u="1"/>
        <s v="SM_RCBO2-30/225_001" u="1"/>
        <s v="SM_TSLB-8V_001" u="1"/>
        <s v="SM_DLE-12T_001" u="1"/>
        <s v="SM_SRPL-6V_101" u="1"/>
        <s v="SM_A6RJ88_002" u="1"/>
        <s v="SM_A20UESMX_001" u="1"/>
        <s v="SM_RPL3-9N_001" u="1"/>
        <s v="SM_BN-36V_003" u="1"/>
        <s v="SM_STL-2V/1_001" u="1"/>
        <s v="SM_A662_001" u="1"/>
        <s v="SM_DLEL-9T_001" u="1"/>
        <s v="SM_S7MS2-W_001" u="1"/>
        <s v="SM_TSL-12V_001" u="1"/>
        <s v="SM_STL-2V/2_001" u="1"/>
        <s v="SM_BKT_001" u="1"/>
        <s v="SM_TSL-20V_001" u="1"/>
        <s v="SM_STL-2V/3_001" u="1"/>
        <s v="SM_A6M/1V_003" u="1"/>
        <s v="SM_STL-2V/4_001" u="1"/>
        <s v="SM_A6M/2V_002" u="1"/>
        <s v="SM_DLA-20T_001" u="1"/>
        <s v="SM_SRPL-6T_101" u="1"/>
        <s v="SM_STL-2V/5_001" u="1"/>
        <s v="SM_RCBO2-30/216_001" u="1"/>
        <s v="SM_S7LAN_001" u="1"/>
        <s v="SM_MAF2-150_001" u="1"/>
        <s v="SM_RPL-12V_101" u="1"/>
        <s v="SM_DBM-03_001" u="1"/>
        <s v="SM_GT8-60T_002" u="1"/>
        <s v="SM_S701M/FGY_001" u="1"/>
        <s v="SM_S702M/FGY_001" u="1"/>
        <s v="SM_S7TV/FW_001" u="1"/>
        <s v="SM_SRPL-18/3C_101" u="1"/>
        <s v="SM_F2Y-60_001" u="1"/>
        <s v="SM_TSL-12T_001" u="1"/>
        <s v="SM_AF2-200_001" u="1"/>
        <s v="SM_KLS2AC-5050_001" u="1"/>
        <s v="SM_RPL-18T/MS_101" u="1"/>
        <s v="SM_SRPLB2-18/3C_001" u="1"/>
        <s v="SM_SSPLB2-18/3C_001" u="1"/>
        <s v="SM_SPL-12V_101" u="1"/>
        <s v="SM_RPL-12T_101" u="1"/>
        <s v="SM_LB-9T/AM_001" u="1"/>
        <s v="SM_SRDL-16/3C_001" u="1"/>
        <s v="SM_A30M_001" u="1"/>
        <s v="SM_S7LAN/2-W_001" u="1"/>
        <s v="SM_BN-18T_003" u="1"/>
        <s v="SM_A30M_002" u="1"/>
        <s v="SM_A223V_001" u="1"/>
        <s v="SM_A7M/1_001" u="1"/>
        <s v="SM_DLV-7N_004" u="1"/>
        <s v="SM_TS-48_003" u="1"/>
        <s v="SM_S7TEL-W_001" u="1"/>
        <s v="SM_BHO-12_001" u="1"/>
        <s v="SM_S7DBP-GY_001" u="1"/>
        <s v="SM_DLF2-12N_001" u="1"/>
        <s v="SM_A20UES2_001" u="1"/>
        <s v="SM_MC2-LS5050AC_001" u="1"/>
        <s v="SM_DLE-12N_001" u="1"/>
        <s v="SM_A70KT_001" u="1"/>
        <s v="SM_DB_001" u="1"/>
        <s v="SM_TBS1_101" u="1"/>
        <s v="SM_DLT-7N_004" u="1"/>
        <s v="SM_S701M/FW_001" u="1"/>
        <s v="SM_S702M/FW_001" u="1"/>
        <s v="SM_DLE-7/3C_001" u="1"/>
        <s v="SM_S7UES2/B_001" u="1"/>
        <s v="SM_SPL-12T_101" u="1"/>
        <s v="SM_DBM-05_001" u="1"/>
        <s v="SM_TL9-PK-BD_002" u="1"/>
        <s v="SM_FPD3-6060/40T_001" u="1"/>
        <s v="SM_RPL3-12/3C_001" u="1"/>
        <s v="SM_FPD-6060/50T_001" u="1"/>
        <s v="SM_FLM-4/A60_002" u="1"/>
        <s v="SM_DLTL-9/3C_004" u="1"/>
        <s v="SM_DLF2-12T_001" u="1"/>
        <s v="SM_SLP2-15_001" u="1"/>
        <s v="SM_TR2B_001" u="1"/>
        <s v="SM_DLEL-9N_001" u="1"/>
        <s v="SM_DR-250/LS2-5050_001" u="1"/>
        <s v="SM_DR-400/LS2-5050_001" u="1"/>
        <s v="SM_TSLB-8N_001" u="1"/>
        <s v="SM_S7MD20-W_001" u="1"/>
        <s v="SM_DLA-12N_001" u="1"/>
        <s v="SM_MAFC2-250_001" u="1"/>
        <s v="SM_SRDL-48/3C_001" u="1"/>
        <s v="SM_SSDL-48/3C_001" u="1"/>
        <s v="SM_RPL-9S/3C/S_001" u="1"/>
        <s v="SM_RPL-9S/3C/S_003" u="1"/>
        <s v="SM_MAFC2-130_001" u="1"/>
        <s v="SM_MPN2-0342_001" u="1"/>
        <s v="SM_SRPL2-24T_002" u="1"/>
        <s v="SM_SSPL2-24T_002" u="1"/>
        <s v="SM_I_001" u="1"/>
        <s v="SM_MPN2-0352_001" u="1"/>
        <s v="SM_SW-120_001" u="1"/>
        <s v="SM_AF2-150_001" u="1"/>
        <s v="SM_SRPL-24/3C_101" u="1"/>
        <s v="SM_SRPL-12/3C_101" u="1"/>
        <s v="SM_SRPL2-12T_002" u="1"/>
        <s v="SM_DLB-12/3C_004" u="1"/>
        <s v="SM_DLT-12/3C_004" u="1"/>
        <s v="SM_DLV-12/3C_004" u="1"/>
        <s v="SM_MAF2-200_001" u="1"/>
        <s v="SM_LCD-3V_001" u="1"/>
        <s v="SM_A20UESMXX_002" u="1"/>
        <s v="SM_MPN2-0232_001" u="1"/>
        <s v="SM_TSL-12N_001" u="1"/>
        <s v="SM_TSL-20N_001" u="1"/>
        <s v="SM_DLT-5T_004" u="1"/>
        <s v="SM_MPN2-0242_001" u="1"/>
        <s v="SM_SRDLB-24V_001" u="1"/>
        <s v="SM_FLM-3PK_002" u="1"/>
        <s v="SM_BCL3-2835AC-120_001" u="1"/>
        <s v="SM_MPN2-0252_001" u="1"/>
        <s v="SM_AD2_001" u="1"/>
        <s v="SM_SRPLB-12V_001" u="1"/>
        <s v="SM_SRDLB-16N_001" u="1"/>
        <s v="SM_TSLB2-12N_001" u="1"/>
        <s v="SM_MPN2-0132_001" u="1"/>
        <s v="SM_RPL-12N_101" u="1"/>
        <s v="SM_MPN2-1342_001" u="1"/>
        <s v="SM_FPD-6060/60T_001" u="1"/>
        <s v="SM_MPN2-0142_001" u="1"/>
        <s v="SM_SRPL2-18T_002" u="1"/>
        <s v="SM_SSPL2-18T_002" u="1"/>
        <s v="SM_MPN2-1352_001" u="1"/>
        <s v="SM_MPN2-0152_001" u="1"/>
        <s v="SM_BKY-20_003" u="1"/>
        <s v="SM_DLF2-20T_001" u="1"/>
        <s v="SM_DLT-12V_006" u="1"/>
        <s v="SM_SRPLB2-12T_001" u="1"/>
        <s v="SM_SSPLB2-12T_001" u="1"/>
        <s v="SM_MC2-LS2835AC_001" u="1"/>
        <s v="SM_MC3-LS2835AC_001" u="1"/>
        <s v="SM_DLE-18T_001" u="1"/>
        <s v="SM_FLD2-150T_101" u="1"/>
        <s v="SM_FLD3-150T_101" u="1"/>
        <s v="SM_MPN2-1232_001" u="1"/>
        <s v="SM_LBD3-15T_001" u="1"/>
        <s v="SM_MPN2-1242_001" u="1"/>
        <s v="SM_SSPLB-18V_001" u="1"/>
        <s v="SM_NL3_001" u="1"/>
        <s v="SM_A60456GV_001" u="1"/>
        <s v="SM_MPN2-1252_001" u="1"/>
        <s v="SM_LBD3-15V_001" u="1"/>
        <s v="SM_BKW-20_003" u="1"/>
        <s v="SM_DLV-12T_006" u="1"/>
        <s v="SM_RPL-24T_101" u="1"/>
        <s v="SM_LBD2-15T_003" u="1"/>
        <s v="SM_MPN2-1132_001" u="1"/>
        <s v="SM_A30NRD_001" u="1"/>
        <s v="SM_DLTL-9V_006" u="1"/>
        <s v="SM_MPN2-2342_001" u="1"/>
        <s v="SM_SRDL-32/3C_001" u="1"/>
        <s v="SM_S7UES2/FGY_001" u="1"/>
        <s v="SM_MPN2-1152_001" u="1"/>
        <s v="SM_DLV-9N_004" u="1"/>
        <s v="SM_TL-10_001" u="1"/>
        <s v="SM_AF2-250_001" u="1"/>
        <s v="SM_DLT-12T_006" u="1"/>
        <s v="SM_AK2237ND_001" u="1"/>
        <s v="SM_MPN2-2232_001" u="1"/>
        <s v="SM_FLD5-150T_001" u="1"/>
        <s v="SM_CAT5E-4P_101" u="1"/>
        <s v="SM_MPN2-2242_001" u="1"/>
        <s v="SM_CAT6E-4P_101" u="1"/>
        <s v="SM_DLT-7N_006" u="1"/>
        <s v="SM_RPL-12ST/S_001" u="1"/>
        <s v="SM_DLT-9N_004" u="1"/>
        <s v="SM_SB-20A_101" u="1"/>
        <s v="SM_SB-30A_101" u="1"/>
        <s v="SM_TA1_001" u="1"/>
        <s v="SM_SB-40A_101" u="1"/>
        <s v="SM_SPL-24T_101" u="1"/>
        <s v="SM_MPN2-2132_001" u="1"/>
        <s v="SM_DLF2-40N_003" u="1"/>
        <s v="SM_LBD3-12T_001" u="1"/>
        <s v="SM_DLTL-9T_006" u="1"/>
        <s v="SM_MPN2-023_001" u="1"/>
        <s v="SM_MPN2-2142_001" u="1"/>
        <s v="SM_DLE-9/3C_002" u="1"/>
        <s v="SM_FLM-6/A60_002" u="1"/>
        <s v="SM_MPN2-024_001" u="1"/>
        <s v="SM_RPL-9/3C_101" u="1"/>
        <s v="SM_FLD5-10V_001" u="1"/>
        <s v="SM_LBD3-12V_001" u="1"/>
        <s v="SM_RPL-9ST/G_001" u="1"/>
        <s v="SM_MPN2-025_001" u="1"/>
        <s v="SM_DLT-12V_004" u="1"/>
        <s v="SM_MPN2-3232_001" u="1"/>
        <s v="SM_DLB-7N_004" u="1"/>
        <s v="SM_F2A-60_001" u="1"/>
        <s v="SM_TL9-BL-BD_002" u="1"/>
        <s v="SM_MPN2-013_001" u="1"/>
        <s v="SM_MPN2-014_001" u="1"/>
        <s v="SM_DLF2-40T_003" u="1"/>
        <s v="SM_AMHP-3S_001" u="1"/>
        <s v="SM_IB_001" u="1"/>
        <s v="SM_A6M/2_002" u="1"/>
        <s v="SM_RPL-18T_101" u="1"/>
        <s v="SM_MPN2-015_001" u="1"/>
        <s v="SM_DL65-12V_001" u="1"/>
        <s v="SM_DLV-12T_004" u="1"/>
        <s v="SM_MPN2-3132_001" u="1"/>
        <s v="SM_RPL3-9SN_002" u="1"/>
        <s v="SM_MPN2-4342_001" u="1"/>
        <s v="SM_FLD5-20T_001" u="1"/>
        <s v="SM_FLD2-100T_101" u="1"/>
        <s v="SM_FLD3-100T_101" u="1"/>
        <s v="SM_MPN2-123_001" u="1"/>
        <s v="SM_DLV-7T_004" u="1"/>
        <s v="SM_MPN2-4352_001" u="1"/>
        <s v="SM_S701/FW_001" u="1"/>
        <s v="SM_MPN2-124_001" u="1"/>
        <s v="SM_S7LAN-W_001" u="1"/>
        <s v="SM_S702/FW_001" u="1"/>
        <s v="SM_FLD5-20V_001" u="1"/>
        <s v="SM_S7TV/B_001" u="1"/>
        <s v="SM_S703/FW_001" u="1"/>
        <s v="SM_MPN2-125_001" u="1"/>
        <s v="SM_DLF-7T_002" u="1"/>
        <s v="SM_S704/FW_001" u="1"/>
        <s v="SM_SW-332_001" u="1"/>
        <s v="SM_MPN2-4232_001" u="1"/>
        <s v="SM_DLT-12T_004" u="1"/>
        <s v="SM_HBE2-150T_001" u="1"/>
        <s v="SM_LCD-5V_001" u="1"/>
        <s v="SM_MPN2-4242_001" u="1"/>
        <s v="SM_MPN2-113_001" u="1"/>
        <s v="SM_RPL-12SN_001" u="1"/>
        <s v="SM_DLT-7T_004" u="1"/>
        <s v="SM_MPN2-4252_001" u="1"/>
        <s v="SM_MPN2-114_001" u="1"/>
        <s v="SM_DPL-7V_001" u="1"/>
        <s v="SM_RPL3-9ST_002" u="1"/>
        <s v="SM_FLD2-10T_101" u="1"/>
        <s v="SM_SPL-18T_101" u="1"/>
        <s v="SM_DRDL-7/3C_001" u="1"/>
        <s v="SM_MPN2-115_001" u="1"/>
        <s v="SM_AFC2-250_001" u="1"/>
        <s v="SM_MPN2-4132_001" u="1"/>
        <s v="SM_AFC2-130_001" u="1"/>
        <s v="SM_FLD5-30T_001" u="1"/>
        <s v="SM_FLD2-200T_101" u="1"/>
        <s v="SM_FLD3-200T_101" u="1"/>
        <s v="SM_RPL-24N_101" u="1"/>
        <s v="SM_MPN2-223_001" u="1"/>
        <s v="SM_FLD2-10V_101" u="1"/>
        <s v="SM_FLD5-100T_001" u="1"/>
        <s v="SM_FLD3-10V_101" u="1"/>
        <s v="SM_DLTL-9T_004" u="1"/>
        <s v="SM_MPN2-224_001" u="1"/>
        <s v="SM_FLD5-30V_001" u="1"/>
        <s v="SM_GT3-120T_002" u="1"/>
        <s v="SM_MPN2-225_001" u="1"/>
        <s v="SM_SRPLB2-12/3C_001" u="1"/>
        <s v="SM_SSPLB2-12/3C_001" u="1"/>
        <s v="SM_RPL-12ST_001" u="1"/>
        <s v="SM_DLT-12N_006" u="1"/>
        <s v="SM_LBD2-20T_003" u="1"/>
        <s v="SM_LBD3-20T_003" u="1"/>
        <s v="SM_MPN2-213_001" u="1"/>
        <s v="SM_A6UESM-2_001" u="1"/>
        <s v="SM_MPN2-214_001" u="1"/>
        <s v="SM_S7TV/LAN-W_001" u="1"/>
        <s v="SM_SMPL-6060_001" u="1"/>
        <s v="SM_FLD2-20T_101" u="1"/>
        <s v="SM_S7TEL/LAN-GY_001" u="1"/>
        <s v="SM_LBD3-20V_003" u="1"/>
        <s v="SM_A6M/1_003" u="1"/>
        <s v="SM_RPL-7T/S_002" u="1"/>
        <s v="SM_BKG-20_003" u="1"/>
        <s v="SM_A601BV/G_001" u="1"/>
        <s v="SM_MPN2-323_001" u="1"/>
        <s v="SM_FLD2-20V_101" u="1"/>
        <s v="SM_FLD5-200T_001" u="1"/>
        <s v="SM_A602BV/G_001" u="1"/>
        <s v="SM_A603BV/G_001" u="1"/>
        <s v="SM_MPN2-324_001" u="1"/>
        <s v="SM_DLV-9N_006" u="1"/>
        <s v="SM_DLTL-9N_006" u="1"/>
        <s v="SM_MPN2-325_001" u="1"/>
        <s v="SM_FLM-3RD_002" u="1"/>
        <s v="SM_MPN2-1013_001" u="1"/>
        <s v="SM_A6US_002" u="1"/>
        <s v="SM_DLF-7V_002" u="1"/>
        <s v="SM_SRDLB-48/3C_001" u="1"/>
        <s v="SM_SSDLB-48/3C_001" u="1"/>
        <s v="SM_LBD2-30T_003" u="1"/>
        <s v="SM_S7MS-W_001" u="1"/>
        <s v="SM_LBD3-30T_003" u="1"/>
        <s v="SM_MPN2-313_001" u="1"/>
        <s v="SM_DLT-7V_004" u="1"/>
        <s v="SM_A20US2X_001" u="1"/>
        <s v="SM_RPL-12ST/S_002" u="1"/>
        <s v="SM_DLA-35N_001" u="1"/>
        <s v="SM_DLT-9N_006" u="1"/>
        <s v="SM_LE-120T_001" u="1"/>
        <s v="SM_FLD2-30T_101" u="1"/>
        <s v="SM_DLEL-9/3C_001" u="1"/>
        <s v="SM_DRDL-9/3C_001" u="1"/>
        <s v="SM_LBD3-30V_003" u="1"/>
        <s v="SM_MPN2-315_001" u="1"/>
        <s v="SM_FLD3-30T_101" u="1"/>
        <s v="SM_MWP118_001" u="1"/>
        <s v="SM_SRDLB-24/3C_001" u="1"/>
        <s v="SM_SRPLB-24/3C_001" u="1"/>
        <s v="SM_SSPL2-24/3C_002" u="1"/>
        <s v="SM_RPL-18N_101" u="1"/>
        <s v="SM_RPL-9S/3C_001" u="1"/>
        <s v="SM_FLD5-50T_001" u="1"/>
        <s v="SM_MPN2-423_001" u="1"/>
        <s v="SM_FLD2-30V_101" u="1"/>
        <s v="SM_DLB-12T_006" u="1"/>
        <s v="SM_DLV-12N_004" u="1"/>
        <s v="SM_FLD3-30V_101" u="1"/>
        <s v="SM_HBE2-100T_001" u="1"/>
        <s v="SM_LBD3-3V_001" u="1"/>
        <s v="SM_SRPLB-12/3C_001" u="1"/>
        <s v="SM_SSPLB-12/3C_001" u="1"/>
        <s v="SM_FLD5-50V_001" u="1"/>
        <s v="SM_DLB-5V_004" u="1"/>
        <s v="SM_FLM-2/P45_002" u="1"/>
        <s v="SM_MPN2-425_001" u="1"/>
        <s v="SM_RPL-6SV_101" u="1"/>
        <s v="SM_LBD2-40T_003" u="1"/>
        <s v="SM_DLB-9N_004" u="1"/>
        <s v="SM_LBD3-40T_003" u="1"/>
        <s v="SM_MPN2-413_001" u="1"/>
        <s v="SM_A601BV/S_001" u="1"/>
        <s v="SM_DLT-12N_004" u="1"/>
        <s v="SM_RPL-6SN_001" u="1"/>
        <s v="SM_A602BV/S_001" u="1"/>
        <s v="SM_MPN2-414_001" u="1"/>
        <s v="SM_A603BV/S_001" u="1"/>
        <s v="SM_SRDLB-16/3C_001" u="1"/>
        <s v="SM_SSDLB-16/3C_001" u="1"/>
        <s v="SM_LBD3-40V_003" u="1"/>
        <s v="SM_MPN2-415_001" u="1"/>
        <s v="SM_BCL2835-AC_001" u="1"/>
      </sharedItems>
    </cacheField>
    <cacheField name="Hold Code" numFmtId="0">
      <sharedItems containsBlank="1"/>
    </cacheField>
    <cacheField name="LPN" numFmtId="0">
      <sharedItems containsBlank="1"/>
    </cacheField>
    <cacheField name="Location" numFmtId="0">
      <sharedItems containsBlank="1"/>
    </cacheField>
    <cacheField name="Status" numFmtId="0">
      <sharedItems containsBlank="1"/>
    </cacheField>
    <cacheField name="Expected Qty" numFmtId="0">
      <sharedItems containsString="0" containsBlank="1" containsNumber="1" containsInteger="1" minValue="7000" maxValue="200000"/>
    </cacheField>
    <cacheField name="Received Qty" numFmtId="0">
      <sharedItems containsBlank="1"/>
    </cacheField>
    <cacheField name="Lottable02 - Supplier" numFmtId="0">
      <sharedItems containsBlank="1"/>
    </cacheField>
    <cacheField name="Lottable03 - PoMpe" numFmtId="0">
      <sharedItems containsBlank="1"/>
    </cacheField>
    <cacheField name="Lottable06" numFmtId="0">
      <sharedItems containsBlank="1"/>
    </cacheField>
    <cacheField name="Lottable07 - Version" numFmtId="0">
      <sharedItems containsBlank="1"/>
    </cacheField>
    <cacheField name="Lottable09 - PoSap" numFmtId="0">
      <sharedItems containsBlank="1"/>
    </cacheField>
    <cacheField name="Lottable10 - MaKiemSoat" numFmtId="0">
      <sharedItems containsBlank="1"/>
    </cacheField>
    <cacheField name="Gross Weight" numFmtId="0">
      <sharedItems containsBlank="1"/>
    </cacheField>
    <cacheField name="Net Weight" numFmtId="0">
      <sharedItems containsBlank="1"/>
    </cacheField>
    <cacheField name="Tare Weight" numFmtId="0">
      <sharedItems containsBlank="1"/>
    </cacheField>
    <cacheField name="UDF1 - Ref Doc (SAP)" numFmtId="0">
      <sharedItems containsBlank="1"/>
    </cacheField>
    <cacheField name="Date Created" numFmtId="0">
      <sharedItems containsBlank="1"/>
    </cacheField>
    <cacheField name="Date Updated" numFmtId="0">
      <sharedItems containsBlank="1"/>
    </cacheField>
    <cacheField name="Updated By" numFmtId="0">
      <sharedItems containsBlank="1"/>
    </cacheField>
    <cacheField name="Notes (SAP)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Messages"/>
    <s v="GenericKey"/>
    <x v="0"/>
    <s v="Owner"/>
    <s v="Warehouse Reference"/>
    <s v="Expected Receipt Date"/>
    <s v="External Receipt"/>
    <s v="Purchase Order"/>
    <s v="Carrier Name"/>
    <s v="Carrier Reference"/>
    <s v="Container Reference"/>
    <s v="Last Receipt Date"/>
    <s v="Receipt Status"/>
    <s v="Type"/>
    <s v="Closed Date"/>
    <s v="Verified Closed Date"/>
    <s v="Earliest Ship Date"/>
    <s v="Requested or Latest Ship Date"/>
    <s v="Scheduled Ship Date"/>
    <s v="Actual Ship Date"/>
    <s v="Earliest Arrival Date"/>
    <s v="Requested or Latest Arrival Date"/>
    <s v="Actual Arrival Date"/>
    <s v="Actual Departure Date"/>
    <s v="Door"/>
    <s v="Appointment Number"/>
    <s v="Transaction Override Date"/>
    <s v="Vendor Reference"/>
    <s v="Gross Weight"/>
    <s v="Total Volume"/>
    <s v="Transportation Status"/>
    <s v="Advice/GRN Date"/>
    <s v="Advice/GRN Number"/>
    <s v="Allow Auto Receipt:"/>
    <x v="0"/>
    <s v="RMA"/>
    <s v="ASN Header UDF1"/>
    <x v="0"/>
    <s v="ASN Header UDF3"/>
    <s v="ASN Header UDF4"/>
    <s v="ASN Header UDF5"/>
    <s v="Tracking for Case Receipts:"/>
    <s v="Ship From Address Line 1:"/>
    <s v="Ship From Address Line 2:"/>
    <s v="Ship From Address Line 3:"/>
    <s v="Ship From Address Line 4:"/>
    <s v="Ship From Address Line 5:"/>
    <s v="Ship From Address Line 6:"/>
    <s v="Ship From City"/>
    <s v="Contact:"/>
    <s v="EMail:"/>
    <s v="ISO Country Code:"/>
    <s v="Phone:"/>
    <s v="Ship From State"/>
    <s v="Ship From Zip"/>
    <s v="Ship From Code"/>
    <s v="Ship From Name"/>
    <s v="Address 1:"/>
    <s v="Address 2:"/>
    <s v="City:"/>
    <s v="Country:"/>
    <s v="Carrier Code"/>
    <s v="Phone:"/>
    <s v="State:"/>
    <s v="Zip:"/>
    <s v="Driver Name"/>
    <s v="Trailer Key"/>
    <s v="Trailer Number"/>
    <s v="Trailer Owner"/>
    <s v="Trailer Type"/>
    <s v="Vehicle Number"/>
    <s v="Loading Date"/>
    <s v="Temperature"/>
    <s v="Quantity:"/>
    <s v="Type:"/>
    <s v="Pro Number"/>
    <s v="Country Of Destination"/>
    <s v="Terms Of Delivery:"/>
    <s v="Notes"/>
    <s v="Country of Origin:"/>
    <s v="Place of Delivery:"/>
    <s v="Place of Discharge:"/>
    <s v="Place of Loading:"/>
    <s v="Terms Of Payment:"/>
    <s v="Transportation Mode"/>
    <s v="Transportation Service:"/>
    <s v="TM Status"/>
    <s v="Freight Charge Amount"/>
    <s v="Freight Charge Currency"/>
    <s v="Freight Cost Amount:"/>
    <s v="Freight Cost Currency:"/>
    <s v="Date Created"/>
    <s v="Created By"/>
    <s v="Date Updated"/>
    <s v="Updated By"/>
    <s v="Receipt Source Location"/>
    <s v="Source Version"/>
    <s v="Initiating Document Type"/>
    <s v="Initiating Document"/>
    <s v="Initiating Document Location"/>
    <s v="Reference Version"/>
    <s v="Create Rainbow Pallets during Receiving:"/>
    <s v="ASN Receipt Text UDF 1"/>
    <s v="ASN Receipt Text UDF 2"/>
    <s v="ASN Receipt Text UDF 3"/>
    <s v="ASN Receipt Text UDF 4"/>
    <s v="ASN Receipt Text UDF 5"/>
    <s v="ASN Receipt Text UDF 6"/>
    <s v="ASN Receipt Text UDF 7"/>
    <s v="ASN Receipt Text UDF 8"/>
    <s v="ASN Receipt Text UDF 9"/>
    <s v="ASN Receipt Text UDF 10"/>
    <s v="ASN Receipt Text UDF 11"/>
    <s v="ASN Receipt Text UDF 12"/>
    <s v="ASN Receipt Text UDF 13"/>
    <s v="ASN Receipt Text UDF 14"/>
    <s v="ASN Receipt Text UDF 15"/>
    <s v="ASN Receipt Date UDF 1"/>
    <s v="ASN Receipt Date UDF 2"/>
    <s v="ASN Receipt Date UDF 3"/>
    <s v="ASN Receipt Date UDF 4"/>
    <s v="ASN Receipt Date UDF 5"/>
    <s v="ASN Receipt Numeric UDF 1"/>
    <s v="ASN Receipt Numeric UDF 2"/>
    <s v="ASN Receipt Numeric UDF 3"/>
    <s v="ASN Receipt Numeric UDF 4"/>
    <s v="ASN Receipt Numeric UDF 5"/>
    <s v="ASN Receipt Code List UDF 1"/>
    <s v="ASN Receipt Code List UDF 2"/>
    <s v="ASN Receipt Code List UDF 3"/>
    <s v="ASN Receipt Code List UDF 4"/>
    <s v="ASN Receipt Code List UDF 5"/>
    <s v="ASN Receipt Code List UDF 6"/>
    <s v="ASN Receipt Code List UDF 7"/>
    <s v="ASN Receipt Code List UDF 8"/>
    <s v="ASN Receipt Code List UDF 9"/>
    <s v="ASN Receipt Code List UDF 10"/>
  </r>
  <r>
    <s v=""/>
    <s v=""/>
    <x v="1"/>
    <s v="MPE"/>
    <s v=" "/>
    <s v=""/>
    <s v="7700001961#01"/>
    <s v=" "/>
    <s v=""/>
    <s v=""/>
    <s v=""/>
    <s v="2/11/26 3:25 P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11/26 3:25 PM"/>
    <s v=""/>
    <s v="0"/>
    <x v="1"/>
    <s v=""/>
    <s v=""/>
    <x v="1"/>
    <s v="M9622535"/>
    <s v=""/>
    <s v="EL"/>
    <s v="0"/>
    <s v=""/>
    <s v=""/>
    <s v=""/>
    <s v=""/>
    <s v=""/>
    <s v=""/>
    <s v=""/>
    <s v=""/>
    <s v=""/>
    <s v=""/>
    <s v=""/>
    <s v=""/>
    <s v=""/>
    <s v="3000000065"/>
    <s v="SINCERE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"/>
    <s v=""/>
    <s v=""/>
    <s v=""/>
    <s v=""/>
    <s v=""/>
    <s v=""/>
    <s v=""/>
    <s v="NEW"/>
    <s v=""/>
    <s v=""/>
    <s v=""/>
    <s v=""/>
    <s v="2/11/26 3:25 PM"/>
    <s v="wmwhse1"/>
    <s v="2/11/26 3:25 PM"/>
    <s v="wmwhse1"/>
    <s v=""/>
    <s v=""/>
    <s v=""/>
    <s v=""/>
    <s v=""/>
    <s v=""/>
    <s v="0"/>
    <s v=""/>
    <s v=""/>
    <s v=""/>
    <s v=""/>
    <s v=""/>
    <s v=""/>
    <s v=""/>
    <s v="EL-Inbound Delivery"/>
    <s v=""/>
    <s v=""/>
    <s v=""/>
    <s v=""/>
    <s v=""/>
    <s v=""/>
    <s v=""/>
    <s v="2/11/26 3:25 PM"/>
    <s v="2/11/26 3:25 P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2"/>
    <s v="MPE"/>
    <s v=" "/>
    <s v=""/>
    <s v="7700001959#01"/>
    <s v=" "/>
    <s v=""/>
    <s v=""/>
    <s v=""/>
    <s v="2/11/26 1:48 P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11/26 1:48 PM"/>
    <s v=""/>
    <s v="0"/>
    <x v="2"/>
    <s v=""/>
    <s v=""/>
    <x v="2"/>
    <s v="M9622537"/>
    <s v=""/>
    <s v="EL"/>
    <s v="0"/>
    <s v=""/>
    <s v=""/>
    <s v=""/>
    <s v=""/>
    <s v=""/>
    <s v=""/>
    <s v=""/>
    <s v=""/>
    <s v=""/>
    <s v=""/>
    <s v=""/>
    <s v=""/>
    <s v=""/>
    <s v="3000000065"/>
    <s v="SINCERE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"/>
    <s v=""/>
    <s v=""/>
    <s v=""/>
    <s v=""/>
    <s v=""/>
    <s v=""/>
    <s v=""/>
    <s v="NEW"/>
    <s v=""/>
    <s v=""/>
    <s v=""/>
    <s v=""/>
    <s v="2/11/26 1:48 PM"/>
    <s v="wmwhse1"/>
    <s v="2/11/26 1:48 PM"/>
    <s v="wmwhse1"/>
    <s v=""/>
    <s v=""/>
    <s v=""/>
    <s v=""/>
    <s v=""/>
    <s v=""/>
    <s v="0"/>
    <s v=""/>
    <s v=""/>
    <s v=""/>
    <s v=""/>
    <s v=""/>
    <s v=""/>
    <s v=""/>
    <s v="EL-Inbound Delivery"/>
    <s v=""/>
    <s v=""/>
    <s v=""/>
    <s v=""/>
    <s v=""/>
    <s v=""/>
    <s v=""/>
    <s v="2/11/26 1:48 PM"/>
    <s v="2/11/26 1:48 P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3"/>
    <s v="MPE"/>
    <s v=" "/>
    <s v=""/>
    <s v="7700001958#01"/>
    <s v=" "/>
    <s v=""/>
    <s v=""/>
    <s v=""/>
    <s v="2/11/26 10:29 A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11/26 10:29 AM"/>
    <s v=""/>
    <s v="0"/>
    <x v="3"/>
    <s v=""/>
    <s v=""/>
    <x v="3"/>
    <s v="EMCXMB4734"/>
    <s v=""/>
    <s v="EL"/>
    <s v="0"/>
    <s v=""/>
    <s v=""/>
    <s v=""/>
    <s v=""/>
    <s v=""/>
    <s v=""/>
    <s v=""/>
    <s v=""/>
    <s v=""/>
    <s v=""/>
    <s v=""/>
    <s v=""/>
    <s v=""/>
    <s v="3000000000"/>
    <s v="LEGEND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Có hàng đi kèm : Hàng bù thiếu cho đóng gói HANGBU.ER-01/25-LGD"/>
    <s v=""/>
    <s v=""/>
    <s v=""/>
    <s v=""/>
    <s v=""/>
    <s v=""/>
    <s v=""/>
    <s v="NEW"/>
    <s v=""/>
    <s v=""/>
    <s v=""/>
    <s v=""/>
    <s v="2/11/26 10:29 AM"/>
    <s v="wmwhse1"/>
    <s v="2/11/26 10:29 AM"/>
    <s v="wmwhse1"/>
    <s v=""/>
    <s v=""/>
    <s v=""/>
    <s v=""/>
    <s v=""/>
    <s v=""/>
    <s v="0"/>
    <s v=""/>
    <s v=""/>
    <s v=""/>
    <s v="Có hàng đi kèm : Hàng bù thiếu cho đóng gói HANGBU.ER-01/25-LGD"/>
    <s v=""/>
    <s v=""/>
    <s v=""/>
    <s v="EL-Inbound Delivery"/>
    <s v=""/>
    <s v=""/>
    <s v=""/>
    <s v=""/>
    <s v=""/>
    <s v=""/>
    <s v=""/>
    <s v="2/11/26 10:29 AM"/>
    <s v="2/11/26 10:29 A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4"/>
    <s v="MPE"/>
    <s v=" "/>
    <s v=""/>
    <s v="7700001957#01"/>
    <s v=" "/>
    <s v=""/>
    <s v=""/>
    <s v=""/>
    <s v="2/11/26 10:07 A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11/26 10:07 AM"/>
    <s v=""/>
    <s v="0"/>
    <x v="4"/>
    <s v=""/>
    <s v=""/>
    <x v="4"/>
    <s v="EMCXMB4714"/>
    <s v=""/>
    <s v="EL"/>
    <s v="0"/>
    <s v=""/>
    <s v=""/>
    <s v=""/>
    <s v=""/>
    <s v=""/>
    <s v=""/>
    <s v=""/>
    <s v=""/>
    <s v=""/>
    <s v=""/>
    <s v=""/>
    <s v=""/>
    <s v=""/>
    <s v="3000000000"/>
    <s v="LEGEND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"/>
    <s v=""/>
    <s v=""/>
    <s v=""/>
    <s v=""/>
    <s v=""/>
    <s v=""/>
    <s v=""/>
    <s v="NEW"/>
    <s v=""/>
    <s v=""/>
    <s v=""/>
    <s v=""/>
    <s v="2/11/26 10:07 AM"/>
    <s v="wmwhse1"/>
    <s v="2/11/26 10:07 AM"/>
    <s v="wmwhse1"/>
    <s v=""/>
    <s v=""/>
    <s v=""/>
    <s v=""/>
    <s v=""/>
    <s v=""/>
    <s v="0"/>
    <s v=""/>
    <s v=""/>
    <s v=""/>
    <s v=""/>
    <s v=""/>
    <s v=""/>
    <s v=""/>
    <s v="EL-Inbound Delivery"/>
    <s v=""/>
    <s v=""/>
    <s v=""/>
    <s v=""/>
    <s v=""/>
    <s v=""/>
    <s v=""/>
    <s v="2/11/26 10:07 AM"/>
    <s v="2/11/26 10:07 A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5"/>
    <s v="MPE"/>
    <s v=" "/>
    <s v=""/>
    <s v="7700001956#01"/>
    <s v=" "/>
    <s v=""/>
    <s v=""/>
    <s v=""/>
    <s v="2/10/26 4:13 P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10/26 4:13 PM"/>
    <s v=""/>
    <s v="0"/>
    <x v="5"/>
    <s v=""/>
    <s v=""/>
    <x v="5"/>
    <s v="FX45204356"/>
    <s v=""/>
    <s v="EL"/>
    <s v="0"/>
    <s v=""/>
    <s v=""/>
    <s v=""/>
    <s v=""/>
    <s v=""/>
    <s v=""/>
    <s v=""/>
    <s v=""/>
    <s v=""/>
    <s v=""/>
    <s v=""/>
    <s v=""/>
    <s v=""/>
    <s v="3000000003"/>
    <s v="SONGRI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Có hàng đi kèm : SONGRI 114/07/25-SR (ĐỦ) (Khuôn - Giao anh Khánh)"/>
    <s v=""/>
    <s v=""/>
    <s v=""/>
    <s v=""/>
    <s v=""/>
    <s v=""/>
    <s v=""/>
    <s v="NEW"/>
    <s v=""/>
    <s v=""/>
    <s v=""/>
    <s v=""/>
    <s v="2/10/26 4:13 PM"/>
    <s v="wmwhse1"/>
    <s v="2/10/26 4:13 PM"/>
    <s v="wmwhse1"/>
    <s v=""/>
    <s v=""/>
    <s v=""/>
    <s v=""/>
    <s v=""/>
    <s v=""/>
    <s v="0"/>
    <s v=""/>
    <s v=""/>
    <s v=""/>
    <s v="Có hàng đi kèm : SONGRI 114/07/25-SR (ĐỦ) (Khuôn - Giao anh Khánh)"/>
    <s v=""/>
    <s v=""/>
    <s v=""/>
    <s v="EL-Inbound Delivery"/>
    <s v=""/>
    <s v=""/>
    <s v=""/>
    <s v=""/>
    <s v=""/>
    <s v=""/>
    <s v=""/>
    <s v="2/10/26 4:13 PM"/>
    <s v="2/10/26 4:13 P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6"/>
    <s v="MPE"/>
    <s v=" "/>
    <s v=""/>
    <s v="7700001955#01"/>
    <s v=" "/>
    <s v=""/>
    <s v=""/>
    <s v=""/>
    <s v="2/10/26 3:39 P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10/26 3:39 PM"/>
    <s v=""/>
    <s v="0"/>
    <x v="6"/>
    <s v=""/>
    <s v=""/>
    <x v="6"/>
    <s v=""/>
    <s v=""/>
    <s v="EL"/>
    <s v="0"/>
    <s v=""/>
    <s v=""/>
    <s v=""/>
    <s v=""/>
    <s v=""/>
    <s v=""/>
    <s v=""/>
    <s v=""/>
    <s v=""/>
    <s v=""/>
    <s v=""/>
    <s v=""/>
    <s v=""/>
    <s v="3000000030"/>
    <s v="OML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HÀNG LẺ có hàng đi kèm:1/Hàng bù lỗi cho Driver DLS-60 (chỉ bù dây nguồn). 2/Spare part OML 17 - Không tính tiền"/>
    <s v=""/>
    <s v=""/>
    <s v=""/>
    <s v=""/>
    <s v=""/>
    <s v=""/>
    <s v=""/>
    <s v="NEW"/>
    <s v=""/>
    <s v=""/>
    <s v=""/>
    <s v=""/>
    <s v="2/10/26 3:39 PM"/>
    <s v="wmwhse1"/>
    <s v="2/10/26 3:39 PM"/>
    <s v="wmwhse1"/>
    <s v=""/>
    <s v=""/>
    <s v=""/>
    <s v=""/>
    <s v=""/>
    <s v=""/>
    <s v="0"/>
    <s v=""/>
    <s v=""/>
    <s v=""/>
    <s v="HÀNG LẺ có hàng đi kèm:1/Hàng bù lỗi cho Driver DLS-60 (chỉ bù dây nguồn). 2/Spare part OML 17 - Không tính tiền"/>
    <s v=""/>
    <s v=""/>
    <s v=""/>
    <s v="EL-Inbound Delivery"/>
    <s v=""/>
    <s v=""/>
    <s v=""/>
    <s v=""/>
    <s v=""/>
    <s v=""/>
    <s v=""/>
    <s v="2/10/26 3:39 PM"/>
    <s v="2/10/26 3:39 P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7"/>
    <s v="MPE"/>
    <s v=" "/>
    <s v=""/>
    <s v="7700001938#01"/>
    <s v=" "/>
    <s v=""/>
    <s v=""/>
    <s v=""/>
    <s v="2/6/26 10:58 A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6/26 10:58 AM"/>
    <s v=""/>
    <s v="0"/>
    <x v="7"/>
    <s v=""/>
    <s v=""/>
    <x v="7"/>
    <s v="FX45335633"/>
    <s v=""/>
    <s v="EL"/>
    <s v="0"/>
    <s v=""/>
    <s v=""/>
    <s v=""/>
    <s v=""/>
    <s v=""/>
    <s v=""/>
    <s v=""/>
    <s v=""/>
    <s v=""/>
    <s v=""/>
    <s v=""/>
    <s v=""/>
    <s v=""/>
    <s v="3000000121"/>
    <s v="ZHL NEW2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Có hàng đi kèm: 1/ Hàng bù ZHL PO22. 2/ SPARE PART ZHL 26 - KHÔNG TÍNH TIỀN (ĐỦ)"/>
    <s v=""/>
    <s v=""/>
    <s v=""/>
    <s v=""/>
    <s v=""/>
    <s v=""/>
    <s v=""/>
    <s v="NEW"/>
    <s v=""/>
    <s v=""/>
    <s v=""/>
    <s v=""/>
    <s v="2/6/26 10:58 AM"/>
    <s v="wmwhse1"/>
    <s v="2/7/26 3:10 PM"/>
    <s v="wmwhse1"/>
    <s v=""/>
    <s v=""/>
    <s v=""/>
    <s v=""/>
    <s v=""/>
    <s v=""/>
    <s v="0"/>
    <s v=""/>
    <s v=""/>
    <s v=""/>
    <s v="Có hàng đi kèm: 1/ Hàng bù ZHL PO22. 2/ SPARE PART ZHL 26 - KHÔNG TÍNH TIỀN (ĐỦ)"/>
    <s v=""/>
    <s v=""/>
    <s v=""/>
    <s v="EL-Inbound Delivery"/>
    <s v=""/>
    <s v=""/>
    <s v=""/>
    <s v=""/>
    <s v=""/>
    <s v=""/>
    <s v=""/>
    <s v="2/6/26 3:10 PM"/>
    <s v="2/6/26 3:10 P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8"/>
    <s v="MPE"/>
    <s v=" "/>
    <s v=""/>
    <s v="7700001934#01"/>
    <s v=" "/>
    <s v=""/>
    <s v=""/>
    <s v=""/>
    <s v="2/6/26 10:29 A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6/26 10:29 AM"/>
    <s v=""/>
    <s v="0"/>
    <x v="8"/>
    <s v=""/>
    <s v=""/>
    <x v="8"/>
    <s v="FX45335507"/>
    <s v=""/>
    <s v="EL"/>
    <s v="0"/>
    <s v=""/>
    <s v=""/>
    <s v=""/>
    <s v=""/>
    <s v=""/>
    <s v=""/>
    <s v=""/>
    <s v=""/>
    <s v=""/>
    <s v=""/>
    <s v=""/>
    <s v=""/>
    <s v=""/>
    <s v="3000000059"/>
    <s v="ZHL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Có hàng đi kèm : 1/ Hàng bù thiếu cho ZHL PO18. 2/ SPARE PART ZHL 27 - KHÔNG TÍNH TIỀN (ĐỦ)"/>
    <s v=""/>
    <s v=""/>
    <s v=""/>
    <s v=""/>
    <s v=""/>
    <s v=""/>
    <s v=""/>
    <s v="NEW"/>
    <s v=""/>
    <s v=""/>
    <s v=""/>
    <s v=""/>
    <s v="2/6/26 10:29 AM"/>
    <s v="wmwhse1"/>
    <s v="2/7/26 3:08 PM"/>
    <s v="wmwhse1"/>
    <s v=""/>
    <s v=""/>
    <s v=""/>
    <s v=""/>
    <s v=""/>
    <s v=""/>
    <s v="0"/>
    <s v=""/>
    <s v=""/>
    <s v=""/>
    <s v="Có hàng đi kèm : 1/ Hàng bù thiếu cho ZHL PO18. 2/ SPARE PART ZHL 27 - KHÔNG TÍNH TIỀN (ĐỦ)"/>
    <s v=""/>
    <s v=""/>
    <s v=""/>
    <s v="EL-Inbound Delivery"/>
    <s v=""/>
    <s v=""/>
    <s v=""/>
    <s v=""/>
    <s v=""/>
    <s v=""/>
    <s v=""/>
    <s v="2/6/26 3:08 PM"/>
    <s v="2/6/26 3:08 P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9"/>
    <s v="MPE"/>
    <s v=" "/>
    <s v=""/>
    <s v="7700001922#01"/>
    <s v=" "/>
    <s v=""/>
    <s v=""/>
    <s v=""/>
    <s v="2/4/26 2:10 P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4/26 2:10 PM"/>
    <s v=""/>
    <s v="0"/>
    <x v="9"/>
    <s v=""/>
    <s v=""/>
    <x v="9"/>
    <s v="YMAV927835"/>
    <s v=""/>
    <s v="EL"/>
    <s v="0"/>
    <s v=""/>
    <s v=""/>
    <s v=""/>
    <s v=""/>
    <s v=""/>
    <s v=""/>
    <s v=""/>
    <s v=""/>
    <s v=""/>
    <s v=""/>
    <s v=""/>
    <s v=""/>
    <s v=""/>
    <s v="3000000064"/>
    <s v="JINLING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JINLING 18/10/25-JINLING - CONT 1. Có hàng đi kèm: 1/ SPARE PART JINLING 18 - KHÔNG TÍNH TIỀN. 2/ Thùng bù cho cont JINLING 16 bị hư ướt - Giao anh Nhân"/>
    <s v=""/>
    <s v=""/>
    <s v=""/>
    <s v=""/>
    <s v=""/>
    <s v=""/>
    <s v=""/>
    <s v="NEW"/>
    <s v=""/>
    <s v=""/>
    <s v=""/>
    <s v=""/>
    <s v="2/4/26 2:10 PM"/>
    <s v="wmwhse1"/>
    <s v="2/10/26 1:20 PM"/>
    <s v="wmwhse1"/>
    <s v=""/>
    <s v=""/>
    <s v=""/>
    <s v=""/>
    <s v=""/>
    <s v=""/>
    <s v="0"/>
    <s v=""/>
    <s v=""/>
    <s v=""/>
    <s v="JINLING 18/10/25-JINLING - CONT 1. Có hàng đi kèm: 1/ SPARE PART JINLING 18 - KHÔNG TÍNH TIỀN. 2/ Thùng bù cho cont JINLING 16 b"/>
    <s v=""/>
    <s v=""/>
    <s v=""/>
    <s v="EL-Inbound Delivery"/>
    <s v=""/>
    <s v=""/>
    <s v=""/>
    <s v=""/>
    <s v=""/>
    <s v=""/>
    <s v=""/>
    <s v="2/4/26 1:20 PM"/>
    <s v="2/4/26 1:20 P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10"/>
    <s v="MPE"/>
    <s v=" "/>
    <s v=""/>
    <s v="7700001919#01"/>
    <s v=" "/>
    <s v=""/>
    <s v=""/>
    <s v=""/>
    <s v="2/4/26 9:27 A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4/26 9:27 AM"/>
    <s v=""/>
    <s v="0"/>
    <x v="10"/>
    <s v=""/>
    <s v=""/>
    <x v="10"/>
    <s v="OOLKQT2253"/>
    <s v=""/>
    <s v="EL"/>
    <s v="0"/>
    <s v=""/>
    <s v=""/>
    <s v=""/>
    <s v=""/>
    <s v=""/>
    <s v=""/>
    <s v=""/>
    <s v=""/>
    <s v=""/>
    <s v=""/>
    <s v=""/>
    <s v=""/>
    <s v=""/>
    <s v="3000000009"/>
    <s v="LEEDARSON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"/>
    <s v=""/>
    <s v=""/>
    <s v=""/>
    <s v=""/>
    <s v=""/>
    <s v=""/>
    <s v=""/>
    <s v="NEW"/>
    <s v=""/>
    <s v=""/>
    <s v=""/>
    <s v=""/>
    <s v="2/4/26 9:27 AM"/>
    <s v="wmwhse1"/>
    <s v="2/4/26 9:27 AM"/>
    <s v="wmwhse1"/>
    <s v=""/>
    <s v=""/>
    <s v=""/>
    <s v=""/>
    <s v=""/>
    <s v=""/>
    <s v="0"/>
    <s v=""/>
    <s v=""/>
    <s v=""/>
    <s v=""/>
    <s v=""/>
    <s v=""/>
    <s v=""/>
    <s v="EL-Inbound Delivery"/>
    <s v=""/>
    <s v=""/>
    <s v=""/>
    <s v=""/>
    <s v=""/>
    <s v=""/>
    <s v=""/>
    <s v="2/4/26 9:27 AM"/>
    <s v="2/4/26 9:27 A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11"/>
    <s v="MPE"/>
    <s v=" "/>
    <s v=""/>
    <s v="7700001918#01"/>
    <s v=" "/>
    <s v=""/>
    <s v=""/>
    <s v=""/>
    <s v="2/4/26 8:37 A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4/26 8:37 AM"/>
    <s v=""/>
    <s v="0"/>
    <x v="11"/>
    <s v=""/>
    <s v=""/>
    <x v="11"/>
    <s v="OOLKQT2274"/>
    <s v=""/>
    <s v="EL"/>
    <s v="0"/>
    <s v=""/>
    <s v=""/>
    <s v=""/>
    <s v=""/>
    <s v=""/>
    <s v=""/>
    <s v=""/>
    <s v=""/>
    <s v=""/>
    <s v=""/>
    <s v=""/>
    <s v=""/>
    <s v=""/>
    <s v="3000000009"/>
    <s v="LEEDARSON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"/>
    <s v=""/>
    <s v=""/>
    <s v=""/>
    <s v=""/>
    <s v=""/>
    <s v=""/>
    <s v=""/>
    <s v="NEW"/>
    <s v=""/>
    <s v=""/>
    <s v=""/>
    <s v=""/>
    <s v="2/4/26 8:37 AM"/>
    <s v="wmwhse1"/>
    <s v="2/4/26 8:37 AM"/>
    <s v="wmwhse1"/>
    <s v=""/>
    <s v=""/>
    <s v=""/>
    <s v=""/>
    <s v=""/>
    <s v=""/>
    <s v="0"/>
    <s v=""/>
    <s v=""/>
    <s v=""/>
    <s v=""/>
    <s v=""/>
    <s v=""/>
    <s v=""/>
    <s v="EL-Inbound Delivery"/>
    <s v=""/>
    <s v=""/>
    <s v=""/>
    <s v=""/>
    <s v=""/>
    <s v=""/>
    <s v=""/>
    <s v="2/4/26 8:37 AM"/>
    <s v="2/4/26 8:37 A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12"/>
    <s v="MPE"/>
    <s v=" "/>
    <s v=""/>
    <s v="7700001913#01"/>
    <s v=" "/>
    <s v=""/>
    <s v=""/>
    <s v=""/>
    <s v="2/3/26 10:14 A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2/3/26 10:14 AM"/>
    <s v=""/>
    <s v="0"/>
    <x v="12"/>
    <s v=""/>
    <s v=""/>
    <x v="12"/>
    <s v="FJ26877183"/>
    <s v=""/>
    <s v="EL"/>
    <s v="0"/>
    <s v=""/>
    <s v=""/>
    <s v=""/>
    <s v=""/>
    <s v=""/>
    <s v=""/>
    <s v=""/>
    <s v=""/>
    <s v=""/>
    <s v=""/>
    <s v=""/>
    <s v=""/>
    <s v=""/>
    <s v="3000000008"/>
    <s v="BANQ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"/>
    <s v=""/>
    <s v=""/>
    <s v=""/>
    <s v=""/>
    <s v=""/>
    <s v=""/>
    <s v=""/>
    <s v="NEW"/>
    <s v=""/>
    <s v=""/>
    <s v=""/>
    <s v=""/>
    <s v="2/3/26 10:14 AM"/>
    <s v="wmwhse1"/>
    <s v="2/3/26 10:14 AM"/>
    <s v="wmwhse1"/>
    <s v=""/>
    <s v=""/>
    <s v=""/>
    <s v=""/>
    <s v=""/>
    <s v=""/>
    <s v="0"/>
    <s v=""/>
    <s v=""/>
    <s v=""/>
    <s v=""/>
    <s v=""/>
    <s v=""/>
    <s v=""/>
    <s v="EL-Inbound Delivery"/>
    <s v=""/>
    <s v=""/>
    <s v=""/>
    <s v=""/>
    <s v=""/>
    <s v=""/>
    <s v=""/>
    <s v="2/3/26 10:14 AM"/>
    <s v="2/3/26 10:14 AM"/>
    <s v=""/>
    <s v=""/>
    <s v=""/>
    <s v=""/>
    <s v=""/>
    <s v=""/>
    <s v=""/>
    <s v=""/>
    <s v=""/>
    <s v=""/>
    <s v=""/>
    <s v=""/>
    <s v=""/>
    <s v=""/>
    <s v=""/>
    <s v=""/>
    <s v=""/>
    <s v=""/>
  </r>
  <r>
    <s v=""/>
    <s v=""/>
    <x v="13"/>
    <s v="MPE"/>
    <s v=" "/>
    <s v=""/>
    <s v="7700001889#01"/>
    <s v=" "/>
    <s v=""/>
    <s v=""/>
    <s v=""/>
    <s v="1/28/26 12:34 PM"/>
    <s v="0"/>
    <s v="400"/>
    <s v=""/>
    <s v=""/>
    <s v=""/>
    <s v=""/>
    <s v=""/>
    <s v=""/>
    <s v=""/>
    <s v=""/>
    <s v=""/>
    <s v=""/>
    <s v=""/>
    <s v=""/>
    <s v=""/>
    <s v=""/>
    <s v=""/>
    <s v=""/>
    <s v=""/>
    <s v="1/28/26 12:34 PM"/>
    <s v=""/>
    <s v="0"/>
    <x v="13"/>
    <s v=""/>
    <s v=""/>
    <x v="13"/>
    <s v="IAAJ251671"/>
    <s v=""/>
    <s v="EL"/>
    <s v="0"/>
    <s v=""/>
    <s v=""/>
    <s v=""/>
    <s v=""/>
    <s v=""/>
    <s v=""/>
    <s v=""/>
    <s v=""/>
    <s v=""/>
    <s v=""/>
    <s v=""/>
    <s v=""/>
    <s v=""/>
    <s v="3000000068"/>
    <s v="WEIDASI"/>
    <s v=""/>
    <s v=""/>
    <s v=""/>
    <s v=""/>
    <s v=""/>
    <s v=""/>
    <s v=""/>
    <s v=""/>
    <s v=""/>
    <s v=""/>
    <s v=""/>
    <s v=""/>
    <s v=""/>
    <s v=" "/>
    <s v=""/>
    <s v=""/>
    <s v=""/>
    <s v=""/>
    <s v=""/>
    <s v=""/>
    <s v=""/>
    <s v="Có hàng đi kèm : 1/SPARE PART VM2 - KHÔNG TÍNH TIỀN. 2/ SPARE PART DPM2 - KHÔNG TÍNH TIỀN. 3/Phụ kiện để sửa TL8 - Giao anh Hùng"/>
    <s v=""/>
    <s v=""/>
    <s v=""/>
    <s v=""/>
    <s v=""/>
    <s v=""/>
    <s v=""/>
    <s v="NEW"/>
    <s v=""/>
    <s v=""/>
    <s v=""/>
    <s v=""/>
    <s v="1/28/26 12:34 PM"/>
    <s v="wmwhse1"/>
    <s v="1/28/26 12:34 PM"/>
    <s v="wmwhse1"/>
    <s v=""/>
    <s v=""/>
    <s v=""/>
    <s v=""/>
    <s v=""/>
    <s v=""/>
    <s v="0"/>
    <s v=""/>
    <s v=""/>
    <s v=""/>
    <s v="Có hàng đi kèm : 1/SPARE PART VM2 - KHÔNG TÍNH TIỀN. 2/ SPARE PART DPM2 - KHÔNG TÍNH TIỀN. 3/Phụ kiện để sửa TL8 - Giao anh Hùng"/>
    <s v=""/>
    <s v=""/>
    <s v=""/>
    <s v="EL-Inbound Delivery"/>
    <s v=""/>
    <s v=""/>
    <s v=""/>
    <s v=""/>
    <s v=""/>
    <s v=""/>
    <s v=""/>
    <s v="1/28/26 12:34 PM"/>
    <s v="1/28/26 12:34 PM"/>
    <s v=""/>
    <s v=""/>
    <s v=""/>
    <s v=""/>
    <s v=""/>
    <s v=""/>
    <s v=""/>
    <s v=""/>
    <s v=""/>
    <s v=""/>
    <s v=""/>
    <s v=""/>
    <s v=""/>
    <s v=""/>
    <s v=""/>
    <s v=""/>
    <s v=""/>
    <s v=""/>
  </r>
  <r>
    <m/>
    <m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4"/>
    <m/>
    <m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">
  <r>
    <s v="0000007133"/>
    <s v="00001"/>
    <x v="0"/>
    <s v="OK"/>
    <x v="0"/>
    <s v="STAGE"/>
    <s v="Closed"/>
    <s v="80.00000"/>
    <n v="0"/>
    <s v="JINLING"/>
    <s v="16/06/25-JINLING"/>
    <s v="20260211"/>
    <s v="001"/>
    <s v="4000000692"/>
    <s v=" "/>
    <s v="0"/>
    <s v="0"/>
    <s v="0"/>
    <s v=""/>
    <s v="2/4/26 2:15 PM"/>
    <s v="2/11/26 5:43 PM"/>
    <s v="nhan.nguyensanh"/>
    <s v=""/>
  </r>
  <r>
    <s v="0000007133"/>
    <s v="00002"/>
    <x v="1"/>
    <s v="OK"/>
    <x v="0"/>
    <s v="STAGE"/>
    <s v="Closed"/>
    <s v="4,248.00000"/>
    <n v="0"/>
    <s v="JINLING"/>
    <s v="18/10/25-JINLING"/>
    <s v="20260211"/>
    <s v="001"/>
    <s v="4000001341"/>
    <s v=" "/>
    <s v="0"/>
    <s v="0"/>
    <s v="0"/>
    <s v=""/>
    <s v="2/4/26 2:15 PM"/>
    <s v="2/11/26 5:43 PM"/>
    <s v="nhan.nguyensanh"/>
    <s v=""/>
  </r>
  <r>
    <s v="0000007133"/>
    <s v="00003"/>
    <x v="0"/>
    <s v="OK"/>
    <x v="0"/>
    <s v="STAGE"/>
    <s v="Closed"/>
    <s v="388.00000"/>
    <n v="0"/>
    <s v="JINLING"/>
    <s v="18/10/25-JINLING"/>
    <s v="20260211"/>
    <s v="001"/>
    <s v="4000001341"/>
    <s v=" "/>
    <s v="0"/>
    <s v="0"/>
    <s v="0"/>
    <s v=""/>
    <s v="2/4/26 2:15 PM"/>
    <s v="2/11/26 5:43 PM"/>
    <s v="nhan.nguyensanh"/>
    <s v=""/>
  </r>
  <r>
    <s v="0000007133"/>
    <s v="00004"/>
    <x v="2"/>
    <s v="OK"/>
    <x v="0"/>
    <s v="STAGE"/>
    <s v="Closed"/>
    <s v="2,000.00000"/>
    <n v="0"/>
    <s v="JINLING"/>
    <s v="18/10/25-JINLING"/>
    <s v="20260211"/>
    <s v="001"/>
    <s v="4000001341"/>
    <s v=" "/>
    <s v="0"/>
    <s v="0"/>
    <s v="0"/>
    <s v=""/>
    <s v="2/4/26 2:15 PM"/>
    <s v="2/11/26 5:43 PM"/>
    <s v="nhan.nguyensanh"/>
    <s v=""/>
  </r>
  <r>
    <s v="0000007133"/>
    <s v="00005"/>
    <x v="3"/>
    <s v="OK"/>
    <x v="0"/>
    <s v="STAGE"/>
    <s v="Closed"/>
    <s v="1,000.00000"/>
    <n v="0"/>
    <s v="JINLING"/>
    <s v="18/10/25-JINLING"/>
    <s v="20260211"/>
    <s v="001"/>
    <s v="4000001341"/>
    <s v=" "/>
    <s v="0"/>
    <s v="0"/>
    <s v="0"/>
    <s v=""/>
    <s v="2/4/26 2:15 PM"/>
    <s v="2/11/26 5:43 PM"/>
    <s v="nhan.nguyensanh"/>
    <s v=""/>
  </r>
  <r>
    <s v="0000007133"/>
    <s v="00006"/>
    <x v="4"/>
    <s v="OK"/>
    <x v="0"/>
    <s v="STAGE"/>
    <s v="Closed"/>
    <s v="1,000.00000"/>
    <n v="0"/>
    <s v="JINLING"/>
    <s v="18/10/25-JINLING"/>
    <s v="20260211"/>
    <s v="001"/>
    <s v="4000001341"/>
    <s v=" "/>
    <s v="0"/>
    <s v="0"/>
    <s v="0"/>
    <s v=""/>
    <s v="2/4/26 2:15 PM"/>
    <s v="2/11/26 5:43 PM"/>
    <s v="nhan.nguyensanh"/>
    <s v=""/>
  </r>
  <r>
    <s v="0000007133"/>
    <s v="00007"/>
    <x v="5"/>
    <s v="OK"/>
    <x v="0"/>
    <s v="STAGE"/>
    <s v="Closed"/>
    <s v="1,000.00000"/>
    <n v="0"/>
    <s v="JINLING"/>
    <s v="18/10/25-JINLING"/>
    <s v="20260211"/>
    <s v="001"/>
    <s v="4000001341"/>
    <s v=" "/>
    <s v="0"/>
    <s v="0"/>
    <s v="0"/>
    <s v=""/>
    <s v="2/4/26 2:15 PM"/>
    <s v="2/11/26 5:43 PM"/>
    <s v="nhan.nguyensanh"/>
    <s v=""/>
  </r>
  <r>
    <s v="0000007133"/>
    <s v="00008"/>
    <x v="0"/>
    <s v="OK"/>
    <x v="1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05 PM"/>
    <s v="2/11/26 5:43 PM"/>
    <s v="nhan.nguyensanh"/>
    <s v=" "/>
  </r>
  <r>
    <s v="0000007133"/>
    <s v="00009"/>
    <x v="0"/>
    <s v="OK"/>
    <x v="2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05 PM"/>
    <s v="2/11/26 5:43 PM"/>
    <s v="nhan.nguyensanh"/>
    <s v=" "/>
  </r>
  <r>
    <s v="0000007133"/>
    <s v="00010"/>
    <x v="0"/>
    <s v="OK"/>
    <x v="3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05 PM"/>
    <s v="2/11/26 5:43 PM"/>
    <s v="nhan.nguyensanh"/>
    <s v=" "/>
  </r>
  <r>
    <s v="0000007133"/>
    <s v="00011"/>
    <x v="0"/>
    <s v="OK"/>
    <x v="4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05 PM"/>
    <s v="2/11/26 5:43 PM"/>
    <s v="nhan.nguyensanh"/>
    <s v=" "/>
  </r>
  <r>
    <s v="0000007133"/>
    <s v="00012"/>
    <x v="0"/>
    <s v="OK"/>
    <x v="5"/>
    <s v="STAGE"/>
    <s v="Closed"/>
    <s v="0.00000"/>
    <n v="80"/>
    <s v="JINLING"/>
    <s v="16/06/25-JINLING"/>
    <s v="20260211"/>
    <s v="001"/>
    <s v="4000000692"/>
    <s v=" "/>
    <s v="0"/>
    <s v="0"/>
    <s v="0"/>
    <s v=" "/>
    <s v="2/11/26 5:05 PM"/>
    <s v="2/11/26 5:43 PM"/>
    <s v="nhan.nguyensanh"/>
    <s v=" "/>
  </r>
  <r>
    <s v="0000007133"/>
    <s v="00013"/>
    <x v="0"/>
    <s v="OK"/>
    <x v="6"/>
    <s v="STAGE"/>
    <s v="Closed"/>
    <s v="0.00000"/>
    <n v="4"/>
    <s v="JINLING"/>
    <s v="18/10/25-JINLING"/>
    <s v="20260211"/>
    <s v="001"/>
    <s v="4000001341"/>
    <s v=" "/>
    <s v="0"/>
    <s v="0"/>
    <s v="0"/>
    <s v=" "/>
    <s v="2/11/26 5:05 PM"/>
    <s v="2/11/26 5:43 PM"/>
    <s v="nhan.nguyensanh"/>
    <s v=" "/>
  </r>
  <r>
    <s v="0000007133"/>
    <s v="00014"/>
    <x v="3"/>
    <s v="OK"/>
    <x v="7"/>
    <s v="STAGE"/>
    <s v="Closed"/>
    <s v="0.00000"/>
    <n v="600"/>
    <s v="JINLING"/>
    <s v="18/10/25-JINLING"/>
    <s v="20260211"/>
    <s v="001"/>
    <s v="4000001341"/>
    <s v=" "/>
    <s v="0"/>
    <s v="0"/>
    <s v="0"/>
    <s v=" "/>
    <s v="2/11/26 5:06 PM"/>
    <s v="2/11/26 5:43 PM"/>
    <s v="nhan.nguyensanh"/>
    <s v=" "/>
  </r>
  <r>
    <s v="0000007133"/>
    <s v="00015"/>
    <x v="2"/>
    <s v="OK"/>
    <x v="8"/>
    <s v="STAGE"/>
    <s v="Closed"/>
    <s v="0.00000"/>
    <n v="600"/>
    <s v="JINLING"/>
    <s v="18/10/25-JINLING"/>
    <s v="20260211"/>
    <s v="001"/>
    <s v="4000001341"/>
    <s v=" "/>
    <s v="0"/>
    <s v="0"/>
    <s v="0"/>
    <s v=" "/>
    <s v="2/11/26 5:06 PM"/>
    <s v="2/11/26 5:43 PM"/>
    <s v="nhan.nguyensanh"/>
    <s v=" "/>
  </r>
  <r>
    <s v="0000007133"/>
    <s v="00016"/>
    <x v="3"/>
    <s v="OK"/>
    <x v="9"/>
    <s v="STAGE"/>
    <s v="Closed"/>
    <s v="0.00000"/>
    <n v="400"/>
    <s v="JINLING"/>
    <s v="18/10/25-JINLING"/>
    <s v="20260211"/>
    <s v="001"/>
    <s v="4000001341"/>
    <s v=" "/>
    <s v="0"/>
    <s v="0"/>
    <s v="0"/>
    <s v=" "/>
    <s v="2/11/26 5:06 PM"/>
    <s v="2/11/26 5:43 PM"/>
    <s v="nhan.nguyensanh"/>
    <s v=" "/>
  </r>
  <r>
    <s v="0000007133"/>
    <s v="00017"/>
    <x v="2"/>
    <s v="OK"/>
    <x v="10"/>
    <s v="STAGE"/>
    <s v="Closed"/>
    <s v="0.00000"/>
    <n v="600"/>
    <s v="JINLING"/>
    <s v="18/10/25-JINLING"/>
    <s v="20260211"/>
    <s v="001"/>
    <s v="4000001341"/>
    <s v=" "/>
    <s v="0"/>
    <s v="0"/>
    <s v="0"/>
    <s v=" "/>
    <s v="2/11/26 5:06 PM"/>
    <s v="2/11/26 5:43 PM"/>
    <s v="nhan.nguyensanh"/>
    <s v=" "/>
  </r>
  <r>
    <s v="0000007133"/>
    <s v="00018"/>
    <x v="5"/>
    <s v="OK"/>
    <x v="11"/>
    <s v="STAGE"/>
    <s v="Closed"/>
    <s v="0.00000"/>
    <n v="600"/>
    <s v="JINLING"/>
    <s v="18/10/25-JINLING"/>
    <s v="20260211"/>
    <s v="001"/>
    <s v="4000001341"/>
    <s v=" "/>
    <s v="0"/>
    <s v="0"/>
    <s v="0"/>
    <s v=" "/>
    <s v="2/11/26 5:06 PM"/>
    <s v="2/11/26 5:43 PM"/>
    <s v="nhan.nguyensanh"/>
    <s v=" "/>
  </r>
  <r>
    <s v="0000007133"/>
    <s v="00019"/>
    <x v="2"/>
    <s v="OK"/>
    <x v="12"/>
    <s v="STAGE"/>
    <s v="Closed"/>
    <s v="0.00000"/>
    <n v="200"/>
    <s v="JINLING"/>
    <s v="18/10/25-JINLING"/>
    <s v="20260211"/>
    <s v="001"/>
    <s v="4000001341"/>
    <s v=" "/>
    <s v="0"/>
    <s v="0"/>
    <s v="0"/>
    <s v=" "/>
    <s v="2/11/26 5:07 PM"/>
    <s v="2/11/26 5:43 PM"/>
    <s v="nhan.nguyensanh"/>
    <s v=" "/>
  </r>
  <r>
    <s v="0000007133"/>
    <s v="00020"/>
    <x v="5"/>
    <s v="OK"/>
    <x v="13"/>
    <s v="STAGE"/>
    <s v="Closed"/>
    <s v="0.00000"/>
    <n v="400"/>
    <s v="JINLING"/>
    <s v="18/10/25-JINLING"/>
    <s v="20260211"/>
    <s v="001"/>
    <s v="4000001341"/>
    <s v=" "/>
    <s v="0"/>
    <s v="0"/>
    <s v="0"/>
    <s v=" "/>
    <s v="2/11/26 5:07 PM"/>
    <s v="2/11/26 5:43 PM"/>
    <s v="nhan.nguyensanh"/>
    <s v=" "/>
  </r>
  <r>
    <s v="0000007133"/>
    <s v="00021"/>
    <x v="2"/>
    <s v="OK"/>
    <x v="14"/>
    <s v="STAGE"/>
    <s v="Closed"/>
    <s v="0.00000"/>
    <n v="600"/>
    <s v="JINLING"/>
    <s v="18/10/25-JINLING"/>
    <s v="20260211"/>
    <s v="001"/>
    <s v="4000001341"/>
    <s v=" "/>
    <s v="0"/>
    <s v="0"/>
    <s v="0"/>
    <s v=" "/>
    <s v="2/11/26 5:07 PM"/>
    <s v="2/11/26 5:43 PM"/>
    <s v="nhan.nguyensanh"/>
    <s v=" "/>
  </r>
  <r>
    <s v="0000007133"/>
    <s v="00022"/>
    <x v="4"/>
    <s v="OK"/>
    <x v="15"/>
    <s v="STAGE"/>
    <s v="Closed"/>
    <s v="0.00000"/>
    <n v="600"/>
    <s v="JINLING"/>
    <s v="18/10/25-JINLING"/>
    <s v="20260211"/>
    <s v="001"/>
    <s v="4000001341"/>
    <s v=" "/>
    <s v="0"/>
    <s v="0"/>
    <s v="0"/>
    <s v=" "/>
    <s v="2/11/26 5:07 PM"/>
    <s v="2/11/26 5:43 PM"/>
    <s v="nhan.nguyensanh"/>
    <s v=" "/>
  </r>
  <r>
    <s v="0000007133"/>
    <s v="00023"/>
    <x v="4"/>
    <s v="OK"/>
    <x v="16"/>
    <s v="STAGE"/>
    <s v="Closed"/>
    <s v="0.00000"/>
    <n v="398"/>
    <s v="JINLING"/>
    <s v="18/10/25-JINLING"/>
    <s v="20260211"/>
    <s v="001"/>
    <s v="4000001341"/>
    <s v=" "/>
    <s v="0"/>
    <s v="0"/>
    <s v="0"/>
    <s v=" "/>
    <s v="2/11/26 5:07 PM"/>
    <s v="2/11/26 5:43 PM"/>
    <s v="nhan.nguyensanh"/>
    <s v=" "/>
  </r>
  <r>
    <s v="0000007133"/>
    <s v="00024"/>
    <x v="1"/>
    <s v="OK"/>
    <x v="17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2 PM"/>
    <s v="2/11/26 5:43 PM"/>
    <s v="nhan.nguyensanh"/>
    <s v=" "/>
  </r>
  <r>
    <s v="0000007133"/>
    <s v="00025"/>
    <x v="1"/>
    <s v="OK"/>
    <x v="18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2 PM"/>
    <s v="2/11/26 5:43 PM"/>
    <s v="nhan.nguyensanh"/>
    <s v=" "/>
  </r>
  <r>
    <s v="0000007133"/>
    <s v="00026"/>
    <x v="1"/>
    <s v="OK"/>
    <x v="19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2 PM"/>
    <s v="2/11/26 5:43 PM"/>
    <s v="nhan.nguyensanh"/>
    <s v=" "/>
  </r>
  <r>
    <s v="0000007133"/>
    <s v="00027"/>
    <x v="1"/>
    <s v="OK"/>
    <x v="20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2 PM"/>
    <s v="2/11/26 5:43 PM"/>
    <s v="nhan.nguyensanh"/>
    <s v=" "/>
  </r>
  <r>
    <s v="0000007133"/>
    <s v="00028"/>
    <x v="1"/>
    <s v="OK"/>
    <x v="21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2 PM"/>
    <s v="2/11/26 5:43 PM"/>
    <s v="nhan.nguyensanh"/>
    <s v=" "/>
  </r>
  <r>
    <s v="0000007133"/>
    <s v="00029"/>
    <x v="1"/>
    <s v="OK"/>
    <x v="22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0"/>
    <x v="1"/>
    <s v="OK"/>
    <x v="23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1"/>
    <x v="1"/>
    <s v="OK"/>
    <x v="24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2"/>
    <x v="1"/>
    <s v="OK"/>
    <x v="25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3"/>
    <x v="1"/>
    <s v="OK"/>
    <x v="26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4"/>
    <x v="1"/>
    <s v="OK"/>
    <x v="27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5"/>
    <x v="1"/>
    <s v="OK"/>
    <x v="28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6"/>
    <x v="1"/>
    <s v="OK"/>
    <x v="29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7"/>
    <x v="1"/>
    <s v="OK"/>
    <x v="30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8"/>
    <x v="1"/>
    <s v="OK"/>
    <x v="31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39"/>
    <x v="1"/>
    <s v="OK"/>
    <x v="32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3 PM"/>
    <s v="2/11/26 5:43 PM"/>
    <s v="nhan.nguyensanh"/>
    <s v=" "/>
  </r>
  <r>
    <s v="0000007133"/>
    <s v="00040"/>
    <x v="1"/>
    <s v="OK"/>
    <x v="33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1"/>
    <x v="1"/>
    <s v="OK"/>
    <x v="34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2"/>
    <x v="1"/>
    <s v="OK"/>
    <x v="35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3"/>
    <x v="1"/>
    <s v="OK"/>
    <x v="36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4"/>
    <x v="1"/>
    <s v="OK"/>
    <x v="37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5"/>
    <x v="1"/>
    <s v="OK"/>
    <x v="38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6"/>
    <x v="1"/>
    <s v="OK"/>
    <x v="39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7"/>
    <x v="1"/>
    <s v="OK"/>
    <x v="40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8"/>
    <x v="1"/>
    <s v="OK"/>
    <x v="41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49"/>
    <x v="1"/>
    <s v="OK"/>
    <x v="42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4 PM"/>
    <s v="2/11/26 5:43 PM"/>
    <s v="nhan.nguyensanh"/>
    <s v=" "/>
  </r>
  <r>
    <s v="0000007133"/>
    <s v="00050"/>
    <x v="1"/>
    <s v="OK"/>
    <x v="43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1"/>
    <x v="1"/>
    <s v="OK"/>
    <x v="44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2"/>
    <x v="1"/>
    <s v="OK"/>
    <x v="45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3"/>
    <x v="1"/>
    <s v="OK"/>
    <x v="46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4"/>
    <x v="1"/>
    <s v="OK"/>
    <x v="47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5"/>
    <x v="1"/>
    <s v="OK"/>
    <x v="48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6"/>
    <x v="1"/>
    <s v="OK"/>
    <x v="49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7"/>
    <x v="1"/>
    <s v="OK"/>
    <x v="50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8"/>
    <x v="1"/>
    <s v="OK"/>
    <x v="51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15 PM"/>
    <s v="2/11/26 5:43 PM"/>
    <s v="nhan.nguyensanh"/>
    <s v=" "/>
  </r>
  <r>
    <s v="0000007133"/>
    <s v="00059"/>
    <x v="1"/>
    <s v="OK"/>
    <x v="52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0 PM"/>
    <s v="2/11/26 5:43 PM"/>
    <s v="nhan.nguyensanh"/>
    <s v=" "/>
  </r>
  <r>
    <s v="0000007133"/>
    <s v="00060"/>
    <x v="1"/>
    <s v="OK"/>
    <x v="53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0 PM"/>
    <s v="2/11/26 5:43 PM"/>
    <s v="nhan.nguyensanh"/>
    <s v=" "/>
  </r>
  <r>
    <s v="0000007133"/>
    <s v="00061"/>
    <x v="1"/>
    <s v="OK"/>
    <x v="54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0 PM"/>
    <s v="2/11/26 5:43 PM"/>
    <s v="nhan.nguyensanh"/>
    <s v=" "/>
  </r>
  <r>
    <s v="0000007133"/>
    <s v="00062"/>
    <x v="1"/>
    <s v="OK"/>
    <x v="55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0 PM"/>
    <s v="2/11/26 5:43 PM"/>
    <s v="nhan.nguyensanh"/>
    <s v=" "/>
  </r>
  <r>
    <s v="0000007133"/>
    <s v="00063"/>
    <x v="1"/>
    <s v="OK"/>
    <x v="56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0 PM"/>
    <s v="2/11/26 5:43 PM"/>
    <s v="nhan.nguyensanh"/>
    <s v=" "/>
  </r>
  <r>
    <s v="0000007133"/>
    <s v="00064"/>
    <x v="1"/>
    <s v="OK"/>
    <x v="57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1 PM"/>
    <s v="2/11/26 5:43 PM"/>
    <s v="nhan.nguyensanh"/>
    <s v=" "/>
  </r>
  <r>
    <s v="0000007133"/>
    <s v="00065"/>
    <x v="1"/>
    <s v="OK"/>
    <x v="58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1 PM"/>
    <s v="2/11/26 5:43 PM"/>
    <s v="nhan.nguyensanh"/>
    <s v=" "/>
  </r>
  <r>
    <s v="0000007133"/>
    <s v="00066"/>
    <x v="1"/>
    <s v="OK"/>
    <x v="59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1 PM"/>
    <s v="2/11/26 5:43 PM"/>
    <s v="nhan.nguyensanh"/>
    <s v=" "/>
  </r>
  <r>
    <s v="0000007133"/>
    <s v="00067"/>
    <x v="1"/>
    <s v="OK"/>
    <x v="60"/>
    <s v="STAGE"/>
    <s v="Closed"/>
    <s v="0.00000"/>
    <n v="96"/>
    <s v="JINLING"/>
    <s v="18/10/25-JINLING"/>
    <s v="20260211"/>
    <s v="001"/>
    <s v="4000001341"/>
    <s v=" "/>
    <s v="0"/>
    <s v="0"/>
    <s v="0"/>
    <s v=" "/>
    <s v="2/11/26 5:31 PM"/>
    <s v="2/11/26 5:43 PM"/>
    <s v="nhan.nguyensanh"/>
    <s v=" "/>
  </r>
  <r>
    <s v="0000007133"/>
    <s v="00068"/>
    <x v="1"/>
    <s v="OK"/>
    <x v="61"/>
    <s v="STAGE"/>
    <s v="Closed"/>
    <s v="0.00000"/>
    <n v="24"/>
    <s v="JINLING"/>
    <s v="18/10/25-JINLING"/>
    <s v="20260211"/>
    <s v="001"/>
    <s v="4000001341"/>
    <s v=" "/>
    <s v="0"/>
    <s v="0"/>
    <s v="0"/>
    <s v=" "/>
    <s v="2/11/26 5:31 PM"/>
    <s v="2/11/26 5:43 PM"/>
    <s v="nhan.nguyensanh"/>
    <s v=" "/>
  </r>
  <r>
    <m/>
    <m/>
    <x v="6"/>
    <m/>
    <x v="62"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0000007185"/>
    <s v="00001"/>
    <x v="0"/>
    <s v="OK"/>
    <s v=""/>
    <s v="STAGE"/>
    <s v="New"/>
    <n v="200000"/>
    <s v="0.00000"/>
    <s v=""/>
    <s v="40/12/25-SINCERE"/>
    <s v=""/>
    <s v="004"/>
    <s v="4000001285"/>
    <s v=""/>
    <s v="0"/>
    <s v="0"/>
    <s v="0"/>
    <s v=""/>
  </r>
  <r>
    <s v="0000007185"/>
    <s v="00002"/>
    <x v="1"/>
    <s v="OK"/>
    <s v=""/>
    <s v="STAGE"/>
    <s v="New"/>
    <n v="10000"/>
    <s v="0.00000"/>
    <s v=""/>
    <s v="40/12/25-SINCERE"/>
    <s v=""/>
    <s v="004"/>
    <s v="4000001285"/>
    <s v=""/>
    <s v="0"/>
    <s v="0"/>
    <s v="0"/>
    <s v=""/>
  </r>
  <r>
    <s v="0000007185"/>
    <s v="00003"/>
    <x v="2"/>
    <s v="OK"/>
    <s v=""/>
    <s v="STAGE"/>
    <s v="New"/>
    <n v="11000"/>
    <s v="0.00000"/>
    <s v=""/>
    <s v="40/12/25-SINCERE"/>
    <s v=""/>
    <s v="004"/>
    <s v="4000001285"/>
    <s v=""/>
    <s v="0"/>
    <s v="0"/>
    <s v="0"/>
    <s v=""/>
  </r>
  <r>
    <s v="0000007185"/>
    <s v="00004"/>
    <x v="3"/>
    <s v="OK"/>
    <s v=""/>
    <s v="STAGE"/>
    <s v="New"/>
    <n v="7000"/>
    <s v="0.00000"/>
    <s v=""/>
    <s v="40/12/25-SINCERE"/>
    <s v=""/>
    <s v="004"/>
    <s v="4000001285"/>
    <s v=""/>
    <s v="0"/>
    <s v="0"/>
    <s v="0"/>
    <s v=""/>
  </r>
  <r>
    <s v="0000007185"/>
    <s v="00005"/>
    <x v="4"/>
    <s v="OK"/>
    <s v=""/>
    <s v="STAGE"/>
    <s v="New"/>
    <n v="14000"/>
    <s v="0.00000"/>
    <s v=""/>
    <s v="40/12/25-SINCERE"/>
    <s v=""/>
    <s v="004"/>
    <s v="4000001285"/>
    <s v=""/>
    <s v="0"/>
    <s v="0"/>
    <s v="0"/>
    <s v=""/>
  </r>
  <r>
    <m/>
    <m/>
    <x v="5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61/04/25-KZ"/>
    <n v="3200"/>
    <n v="0"/>
    <n v="10"/>
    <n v="120"/>
    <n v="12"/>
    <n v="320"/>
    <n v="26"/>
    <n v="8"/>
  </r>
  <r>
    <x v="1"/>
    <s v="61/04/25-KZ"/>
    <n v="750"/>
    <n v="0"/>
    <n v="6"/>
    <n v="72"/>
    <n v="12"/>
    <n v="125"/>
    <n v="10"/>
    <n v="5"/>
  </r>
  <r>
    <x v="2"/>
    <s v="61/04/25-KZ"/>
    <n v="1200"/>
    <n v="0"/>
    <n v="20"/>
    <n v="160"/>
    <n v="8"/>
    <n v="60"/>
    <n v="7"/>
    <n v="4"/>
  </r>
  <r>
    <x v="1"/>
    <s v="60/12/24-KZ"/>
    <n v="450"/>
    <n v="0"/>
    <n v="6"/>
    <n v="72"/>
    <n v="12"/>
    <n v="75"/>
    <n v="6"/>
    <n v="3"/>
  </r>
  <r>
    <x v="3"/>
    <s v="61/04/25-KZ"/>
    <n v="5760"/>
    <n v="0"/>
    <n v="60"/>
    <n v="1080"/>
    <n v="18"/>
    <n v="96"/>
    <n v="5"/>
    <n v="6"/>
  </r>
  <r>
    <x v="4"/>
    <s v="61/04/25-KZ"/>
    <n v="4020"/>
    <n v="0"/>
    <n v="60"/>
    <n v="840"/>
    <n v="14"/>
    <n v="67"/>
    <n v="4"/>
    <n v="11"/>
  </r>
  <r>
    <x v="5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0000007185"/>
    <s v="00001"/>
    <x v="0"/>
    <s v="OK"/>
    <s v=""/>
    <s v="STAGE"/>
    <s v="New"/>
    <n v="200000"/>
    <s v="0.00000"/>
    <s v=""/>
    <x v="0"/>
    <s v=""/>
    <s v="004"/>
    <s v="4000001285"/>
    <s v=""/>
    <s v="0"/>
    <s v="0"/>
    <s v="0"/>
    <s v=""/>
    <s v="2/11/26 3:25 PM"/>
    <s v="2/11/26 3:25 PM"/>
    <s v="wmwhse1"/>
    <s v=""/>
  </r>
  <r>
    <s v="0000007185"/>
    <s v="00002"/>
    <x v="1"/>
    <s v="OK"/>
    <s v=""/>
    <s v="STAGE"/>
    <s v="New"/>
    <n v="10000"/>
    <s v="0.00000"/>
    <s v=""/>
    <x v="0"/>
    <s v=""/>
    <s v="004"/>
    <s v="4000001285"/>
    <s v=""/>
    <s v="0"/>
    <s v="0"/>
    <s v="0"/>
    <s v=""/>
    <s v="2/11/26 3:25 PM"/>
    <s v="2/11/26 3:25 PM"/>
    <s v="wmwhse1"/>
    <s v=""/>
  </r>
  <r>
    <s v="0000007185"/>
    <s v="00003"/>
    <x v="2"/>
    <s v="OK"/>
    <s v=""/>
    <s v="STAGE"/>
    <s v="New"/>
    <n v="11000"/>
    <s v="0.00000"/>
    <s v=""/>
    <x v="0"/>
    <s v=""/>
    <s v="004"/>
    <s v="4000001285"/>
    <s v=""/>
    <s v="0"/>
    <s v="0"/>
    <s v="0"/>
    <s v=""/>
    <s v="2/11/26 3:25 PM"/>
    <s v="2/11/26 3:25 PM"/>
    <s v="wmwhse1"/>
    <s v=""/>
  </r>
  <r>
    <s v="0000007185"/>
    <s v="00004"/>
    <x v="3"/>
    <s v="OK"/>
    <s v=""/>
    <s v="STAGE"/>
    <s v="New"/>
    <n v="7000"/>
    <s v="0.00000"/>
    <s v=""/>
    <x v="0"/>
    <s v=""/>
    <s v="004"/>
    <s v="4000001285"/>
    <s v=""/>
    <s v="0"/>
    <s v="0"/>
    <s v="0"/>
    <s v=""/>
    <s v="2/11/26 3:25 PM"/>
    <s v="2/11/26 3:25 PM"/>
    <s v="wmwhse1"/>
    <s v=""/>
  </r>
  <r>
    <s v="0000007185"/>
    <s v="00005"/>
    <x v="4"/>
    <s v="OK"/>
    <s v=""/>
    <s v="STAGE"/>
    <s v="New"/>
    <n v="14000"/>
    <s v="0.00000"/>
    <s v=""/>
    <x v="0"/>
    <s v=""/>
    <s v="004"/>
    <s v="4000001285"/>
    <s v=""/>
    <s v="0"/>
    <s v="0"/>
    <s v="0"/>
    <s v=""/>
    <s v="2/11/26 3:25 PM"/>
    <s v="2/11/26 3:25 PM"/>
    <s v="wmwhse1"/>
    <s v=""/>
  </r>
  <r>
    <m/>
    <m/>
    <x v="5"/>
    <m/>
    <m/>
    <m/>
    <m/>
    <m/>
    <m/>
    <m/>
    <x v="1"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0000007185"/>
    <s v="00001"/>
    <x v="0"/>
    <s v="OK"/>
    <s v=""/>
    <s v="STAGE"/>
    <s v="New"/>
    <n v="200000"/>
    <s v="0.00000"/>
    <s v=""/>
    <s v="40/12/25-SINCERE"/>
    <s v=""/>
    <s v="004"/>
    <s v="4000001285"/>
    <s v=""/>
    <s v="0"/>
    <s v="0"/>
    <s v="0"/>
    <s v=""/>
    <s v="2/11/26 3:25 PM"/>
    <s v="2/11/26 3:25 PM"/>
    <s v="wmwhse1"/>
    <s v=""/>
  </r>
  <r>
    <s v="0000007185"/>
    <s v="00002"/>
    <x v="1"/>
    <s v="OK"/>
    <s v=""/>
    <s v="STAGE"/>
    <s v="New"/>
    <n v="10000"/>
    <s v="0.00000"/>
    <s v=""/>
    <s v="40/12/25-SINCERE"/>
    <s v=""/>
    <s v="004"/>
    <s v="4000001285"/>
    <s v=""/>
    <s v="0"/>
    <s v="0"/>
    <s v="0"/>
    <s v=""/>
    <s v="2/11/26 3:25 PM"/>
    <s v="2/11/26 3:25 PM"/>
    <s v="wmwhse1"/>
    <s v=""/>
  </r>
  <r>
    <s v="0000007185"/>
    <s v="00003"/>
    <x v="2"/>
    <s v="OK"/>
    <s v=""/>
    <s v="STAGE"/>
    <s v="New"/>
    <n v="11000"/>
    <s v="0.00000"/>
    <s v=""/>
    <s v="40/12/25-SINCERE"/>
    <s v=""/>
    <s v="004"/>
    <s v="4000001285"/>
    <s v=""/>
    <s v="0"/>
    <s v="0"/>
    <s v="0"/>
    <s v=""/>
    <s v="2/11/26 3:25 PM"/>
    <s v="2/11/26 3:25 PM"/>
    <s v="wmwhse1"/>
    <s v=""/>
  </r>
  <r>
    <s v="0000007185"/>
    <s v="00004"/>
    <x v="3"/>
    <s v="OK"/>
    <s v=""/>
    <s v="STAGE"/>
    <s v="New"/>
    <n v="7000"/>
    <s v="0.00000"/>
    <s v=""/>
    <s v="40/12/25-SINCERE"/>
    <s v=""/>
    <s v="004"/>
    <s v="4000001285"/>
    <s v=""/>
    <s v="0"/>
    <s v="0"/>
    <s v="0"/>
    <s v=""/>
    <s v="2/11/26 3:25 PM"/>
    <s v="2/11/26 3:25 PM"/>
    <s v="wmwhse1"/>
    <s v=""/>
  </r>
  <r>
    <s v="0000007185"/>
    <s v="00005"/>
    <x v="4"/>
    <s v="OK"/>
    <s v=""/>
    <s v="STAGE"/>
    <s v="New"/>
    <n v="14000"/>
    <s v="0.00000"/>
    <s v=""/>
    <s v="40/12/25-SINCERE"/>
    <s v=""/>
    <s v="004"/>
    <s v="4000001285"/>
    <s v=""/>
    <s v="0"/>
    <s v="0"/>
    <s v="0"/>
    <s v=""/>
    <s v="2/11/26 3:25 PM"/>
    <s v="2/11/26 3:25 PM"/>
    <s v="wmwhse1"/>
    <s v=""/>
  </r>
  <r>
    <m/>
    <m/>
    <x v="5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1C1F2F-9786-483A-AF1A-CA93155224FF}" name="PivotTable1" cacheId="18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B9" firstHeaderRow="1" firstDataRow="1" firstDataCol="1"/>
  <pivotFields count="10">
    <pivotField axis="axisRow" compact="0" outline="0" showAll="0" defaultSubtotal="0">
      <items count="379">
        <item m="1" x="232"/>
        <item m="1" x="127"/>
        <item m="1" x="154"/>
        <item m="1" x="32"/>
        <item m="1" x="290"/>
        <item x="5"/>
        <item m="1" x="333"/>
        <item m="1" x="267"/>
        <item m="1" x="12"/>
        <item m="1" x="31"/>
        <item m="1" x="288"/>
        <item m="1" x="180"/>
        <item m="1" x="299"/>
        <item m="1" x="35"/>
        <item m="1" x="102"/>
        <item m="1" x="355"/>
        <item m="1" x="184"/>
        <item m="1" x="16"/>
        <item m="1" x="206"/>
        <item m="1" x="9"/>
        <item m="1" x="349"/>
        <item m="1" x="269"/>
        <item m="1" x="211"/>
        <item m="1" x="125"/>
        <item m="1" x="71"/>
        <item m="1" x="304"/>
        <item m="1" x="115"/>
        <item m="1" x="119"/>
        <item m="1" x="347"/>
        <item m="1" x="39"/>
        <item m="1" x="274"/>
        <item m="1" x="294"/>
        <item m="1" x="229"/>
        <item m="1" x="159"/>
        <item m="1" x="374"/>
        <item m="1" x="160"/>
        <item m="1" x="158"/>
        <item m="1" x="344"/>
        <item m="1" x="122"/>
        <item m="1" x="207"/>
        <item m="1" x="247"/>
        <item m="1" x="132"/>
        <item m="1" x="99"/>
        <item m="1" x="246"/>
        <item m="1" x="162"/>
        <item m="1" x="74"/>
        <item m="1" x="284"/>
        <item m="1" x="352"/>
        <item m="1" x="311"/>
        <item m="1" x="306"/>
        <item m="1" x="209"/>
        <item m="1" x="168"/>
        <item m="1" x="165"/>
        <item m="1" x="240"/>
        <item m="1" x="212"/>
        <item m="1" x="256"/>
        <item m="1" x="287"/>
        <item m="1" x="216"/>
        <item m="1" x="87"/>
        <item m="1" x="146"/>
        <item m="1" x="61"/>
        <item m="1" x="257"/>
        <item m="1" x="371"/>
        <item m="1" x="214"/>
        <item m="1" x="226"/>
        <item m="1" x="318"/>
        <item m="1" x="117"/>
        <item m="1" x="150"/>
        <item m="1" x="241"/>
        <item m="1" x="94"/>
        <item m="1" x="328"/>
        <item m="1" x="151"/>
        <item m="1" x="197"/>
        <item m="1" x="73"/>
        <item m="1" x="171"/>
        <item m="1" x="136"/>
        <item m="1" x="59"/>
        <item m="1" x="213"/>
        <item m="1" x="254"/>
        <item m="1" x="135"/>
        <item m="1" x="137"/>
        <item m="1" x="25"/>
        <item m="1" x="327"/>
        <item m="1" x="38"/>
        <item m="1" x="144"/>
        <item m="1" x="312"/>
        <item m="1" x="49"/>
        <item m="1" x="342"/>
        <item m="1" x="96"/>
        <item m="1" x="366"/>
        <item m="1" x="26"/>
        <item m="1" x="50"/>
        <item m="1" x="268"/>
        <item m="1" x="237"/>
        <item m="1" x="178"/>
        <item m="1" x="244"/>
        <item m="1" x="202"/>
        <item m="1" x="320"/>
        <item m="1" x="15"/>
        <item m="1" x="91"/>
        <item m="1" x="321"/>
        <item m="1" x="29"/>
        <item m="1" x="193"/>
        <item m="1" x="14"/>
        <item m="1" x="217"/>
        <item m="1" x="266"/>
        <item m="1" x="370"/>
        <item m="1" x="145"/>
        <item m="1" x="292"/>
        <item m="1" x="116"/>
        <item m="1" x="161"/>
        <item m="1" x="223"/>
        <item m="1" x="113"/>
        <item m="1" x="147"/>
        <item m="1" x="263"/>
        <item m="1" x="273"/>
        <item m="1" x="262"/>
        <item m="1" x="156"/>
        <item m="1" x="296"/>
        <item m="1" x="231"/>
        <item m="1" x="169"/>
        <item m="1" x="316"/>
        <item m="1" x="220"/>
        <item m="1" x="303"/>
        <item m="1" x="85"/>
        <item m="1" x="126"/>
        <item m="1" x="199"/>
        <item m="1" x="221"/>
        <item m="1" x="103"/>
        <item m="1" x="101"/>
        <item m="1" x="186"/>
        <item m="1" x="222"/>
        <item m="1" x="317"/>
        <item m="1" x="40"/>
        <item m="1" x="261"/>
        <item m="1" x="131"/>
        <item m="1" x="75"/>
        <item m="1" x="104"/>
        <item m="1" x="353"/>
        <item m="1" x="203"/>
        <item m="1" x="350"/>
        <item m="1" x="360"/>
        <item m="1" x="368"/>
        <item m="1" x="65"/>
        <item m="1" x="343"/>
        <item m="1" x="13"/>
        <item m="1" x="11"/>
        <item m="1" x="282"/>
        <item m="1" x="24"/>
        <item m="1" x="277"/>
        <item m="1" x="271"/>
        <item m="1" x="369"/>
        <item m="1" x="302"/>
        <item m="1" x="338"/>
        <item m="1" x="43"/>
        <item m="1" x="275"/>
        <item m="1" x="255"/>
        <item m="1" x="141"/>
        <item m="1" x="234"/>
        <item m="1" x="354"/>
        <item m="1" x="185"/>
        <item m="1" x="281"/>
        <item m="1" x="230"/>
        <item m="1" x="179"/>
        <item m="1" x="34"/>
        <item m="1" x="176"/>
        <item m="1" x="191"/>
        <item m="1" x="324"/>
        <item m="1" x="153"/>
        <item m="1" x="280"/>
        <item m="1" x="298"/>
        <item m="1" x="235"/>
        <item m="1" x="358"/>
        <item m="1" x="64"/>
        <item m="1" x="335"/>
        <item m="1" x="339"/>
        <item m="1" x="348"/>
        <item m="1" x="84"/>
        <item m="1" x="307"/>
        <item m="1" x="82"/>
        <item m="1" x="98"/>
        <item m="1" x="80"/>
        <item m="1" x="52"/>
        <item m="1" x="239"/>
        <item m="1" x="108"/>
        <item m="1" x="133"/>
        <item m="1" x="337"/>
        <item m="1" x="170"/>
        <item m="1" x="227"/>
        <item m="1" x="204"/>
        <item m="1" x="331"/>
        <item m="1" x="365"/>
        <item m="1" x="362"/>
        <item m="1" x="79"/>
        <item m="1" x="18"/>
        <item m="1" x="238"/>
        <item m="1" x="334"/>
        <item m="1" x="124"/>
        <item m="1" x="142"/>
        <item m="1" x="283"/>
        <item m="1" x="152"/>
        <item m="1" x="175"/>
        <item m="1" x="143"/>
        <item m="1" x="200"/>
        <item m="1" x="100"/>
        <item m="1" x="272"/>
        <item m="1" x="351"/>
        <item m="1" x="89"/>
        <item m="1" x="8"/>
        <item m="1" x="251"/>
        <item m="1" x="260"/>
        <item m="1" x="190"/>
        <item m="1" x="210"/>
        <item m="1" x="140"/>
        <item m="1" x="110"/>
        <item m="1" x="188"/>
        <item m="1" x="196"/>
        <item m="1" x="295"/>
        <item m="1" x="259"/>
        <item m="1" x="336"/>
        <item m="1" x="329"/>
        <item m="1" x="76"/>
        <item m="1" x="201"/>
        <item m="1" x="139"/>
        <item m="1" x="120"/>
        <item m="1" x="187"/>
        <item m="1" x="319"/>
        <item m="1" x="67"/>
        <item m="1" x="58"/>
        <item m="1" x="305"/>
        <item m="1" x="359"/>
        <item m="1" x="182"/>
        <item m="1" x="356"/>
        <item m="1" x="218"/>
        <item m="1" x="323"/>
        <item m="1" x="228"/>
        <item m="1" x="224"/>
        <item m="1" x="297"/>
        <item m="1" x="70"/>
        <item m="1" x="33"/>
        <item m="1" x="326"/>
        <item m="1" x="60"/>
        <item m="1" x="77"/>
        <item m="1" x="7"/>
        <item m="1" x="36"/>
        <item m="1" x="310"/>
        <item m="1" x="345"/>
        <item m="1" x="118"/>
        <item m="1" x="164"/>
        <item m="1" x="134"/>
        <item m="1" x="309"/>
        <item m="1" x="97"/>
        <item m="1" x="28"/>
        <item m="1" x="361"/>
        <item m="1" x="270"/>
        <item m="1" x="192"/>
        <item m="1" x="95"/>
        <item m="1" x="22"/>
        <item m="1" x="377"/>
        <item m="1" x="56"/>
        <item m="1" x="130"/>
        <item m="1" x="174"/>
        <item m="1" x="112"/>
        <item m="1" x="315"/>
        <item m="1" x="57"/>
        <item m="1" x="332"/>
        <item m="1" x="276"/>
        <item m="1" x="172"/>
        <item m="1" x="375"/>
        <item m="1" x="346"/>
        <item m="1" x="123"/>
        <item m="1" x="121"/>
        <item m="1" x="285"/>
        <item m="1" x="250"/>
        <item m="1" x="81"/>
        <item m="1" x="92"/>
        <item m="1" x="6"/>
        <item m="1" x="173"/>
        <item m="1" x="47"/>
        <item m="1" x="279"/>
        <item m="1" x="88"/>
        <item m="1" x="340"/>
        <item m="1" x="19"/>
        <item m="1" x="20"/>
        <item m="1" x="367"/>
        <item m="1" x="21"/>
        <item m="1" x="194"/>
        <item m="1" x="107"/>
        <item m="1" x="10"/>
        <item m="1" x="86"/>
        <item m="1" x="376"/>
        <item m="1" x="48"/>
        <item m="1" x="46"/>
        <item m="1" x="111"/>
        <item m="1" x="68"/>
        <item m="1" x="90"/>
        <item m="1" x="372"/>
        <item m="1" x="264"/>
        <item m="1" x="128"/>
        <item m="1" x="129"/>
        <item m="1" x="93"/>
        <item m="1" x="157"/>
        <item m="1" x="195"/>
        <item m="1" x="105"/>
        <item m="1" x="341"/>
        <item m="1" x="233"/>
        <item m="1" x="55"/>
        <item m="1" x="148"/>
        <item m="1" x="208"/>
        <item m="1" x="314"/>
        <item m="1" x="300"/>
        <item m="1" x="242"/>
        <item m="1" x="181"/>
        <item m="1" x="167"/>
        <item m="1" x="293"/>
        <item m="1" x="149"/>
        <item m="1" x="330"/>
        <item m="1" x="189"/>
        <item m="1" x="37"/>
        <item m="1" x="373"/>
        <item m="1" x="225"/>
        <item m="1" x="215"/>
        <item m="1" x="41"/>
        <item m="1" x="17"/>
        <item m="1" x="63"/>
        <item m="1" x="54"/>
        <item m="1" x="363"/>
        <item m="1" x="177"/>
        <item m="1" x="114"/>
        <item m="1" x="166"/>
        <item m="1" x="253"/>
        <item m="1" x="78"/>
        <item m="1" x="53"/>
        <item m="1" x="258"/>
        <item m="1" x="308"/>
        <item m="1" x="313"/>
        <item m="1" x="291"/>
        <item m="1" x="45"/>
        <item m="1" x="357"/>
        <item m="1" x="243"/>
        <item m="1" x="72"/>
        <item m="1" x="69"/>
        <item m="1" x="62"/>
        <item m="1" x="183"/>
        <item m="1" x="322"/>
        <item m="1" x="245"/>
        <item m="1" x="265"/>
        <item m="1" x="325"/>
        <item m="1" x="278"/>
        <item m="1" x="23"/>
        <item m="1" x="30"/>
        <item m="1" x="27"/>
        <item m="1" x="83"/>
        <item m="1" x="66"/>
        <item m="1" x="198"/>
        <item m="1" x="248"/>
        <item m="1" x="106"/>
        <item m="1" x="364"/>
        <item m="1" x="286"/>
        <item m="1" x="163"/>
        <item m="1" x="138"/>
        <item m="1" x="378"/>
        <item m="1" x="155"/>
        <item m="1" x="236"/>
        <item m="1" x="42"/>
        <item m="1" x="205"/>
        <item m="1" x="252"/>
        <item m="1" x="219"/>
        <item m="1" x="109"/>
        <item m="1" x="301"/>
        <item m="1" x="44"/>
        <item m="1" x="249"/>
        <item m="1" x="51"/>
        <item m="1" x="289"/>
        <item x="0"/>
        <item x="1"/>
        <item x="2"/>
        <item x="3"/>
        <item x="4"/>
      </items>
    </pivotField>
    <pivotField compact="0" outline="0" subtotalTop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6">
    <i>
      <x v="374"/>
    </i>
    <i>
      <x v="375"/>
    </i>
    <i>
      <x v="376"/>
    </i>
    <i>
      <x v="377"/>
    </i>
    <i>
      <x v="378"/>
    </i>
    <i t="grand">
      <x/>
    </i>
  </rowItems>
  <colItems count="1">
    <i/>
  </colItems>
  <dataFields count="1">
    <dataField name="Sum of PACK" fld="4" baseField="0" baseItem="0"/>
  </dataFields>
  <formats count="4">
    <format dxfId="440">
      <pivotArea dataOnly="0" labelOnly="1" outline="0" fieldPosition="0">
        <references count="1">
          <reference field="0" count="1">
            <x v="25"/>
          </reference>
        </references>
      </pivotArea>
    </format>
    <format dxfId="439">
      <pivotArea dataOnly="0" labelOnly="1" outline="0" fieldPosition="0">
        <references count="1">
          <reference field="0" count="1">
            <x v="25"/>
          </reference>
        </references>
      </pivotArea>
    </format>
    <format dxfId="438">
      <pivotArea dataOnly="0" labelOnly="1" outline="0" fieldPosition="0">
        <references count="1">
          <reference field="0" count="1">
            <x v="50"/>
          </reference>
        </references>
      </pivotArea>
    </format>
    <format dxfId="437">
      <pivotArea dataOnly="0" labelOnly="1" outline="0" fieldPosition="0">
        <references count="1">
          <reference field="0" count="1">
            <x v="5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aptionBeginsWith" evalOrder="-1" id="1" stringValue1="SM_">
      <autoFilter ref="A1">
        <filterColumn colId="0">
          <customFilters>
            <customFilter val="SM_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C492F-6312-4DCF-BBF7-427D198C9B27}" name="PivotTable1" cacheId="185" applyNumberFormats="0" applyBorderFormats="0" applyFontFormats="0" applyPatternFormats="0" applyAlignmentFormats="0" applyWidthHeightFormats="1" dataCaption="Values" grandTotalCaption="TONG CONG" updatedVersion="6" minRefreshableVersion="3" useAutoFormatting="1" itemPrintTitles="1" createdVersion="6" indent="0" compact="0" compactData="0" multipleFieldFilters="0" rowHeaderCaption="MÃ">
  <location ref="A3:A9" firstHeaderRow="1" firstDataRow="1" firstDataCol="1"/>
  <pivotFields count="19">
    <pivotField compact="0" outline="0" subtotalTop="0" showAll="0" defaultSubtotal="0"/>
    <pivotField compact="0" outline="0" subtotalTop="0" showAll="0" defaultSubtotal="0"/>
    <pivotField axis="axisRow" compact="0" outline="0" showAll="0" sortType="ascending" defaultSubtotal="0">
      <items count="748">
        <item m="1" x="463"/>
        <item m="1" x="307"/>
        <item m="1" x="412"/>
        <item m="1" x="512"/>
        <item m="1" x="199"/>
        <item m="1" x="701"/>
        <item m="1" x="198"/>
        <item m="1" x="220"/>
        <item m="1" x="105"/>
        <item m="1" x="332"/>
        <item m="1" x="455"/>
        <item m="1" x="227"/>
        <item m="1" x="326"/>
        <item m="1" x="451"/>
        <item m="1" x="454"/>
        <item m="1" x="558"/>
        <item m="1" x="77"/>
        <item m="1" x="680"/>
        <item m="1" x="737"/>
        <item m="1" x="684"/>
        <item m="1" x="740"/>
        <item m="1" x="685"/>
        <item m="1" x="742"/>
        <item m="1" x="550"/>
        <item m="1" x="416"/>
        <item m="1" x="677"/>
        <item m="1" x="48"/>
        <item m="1" x="351"/>
        <item m="1" x="392"/>
        <item m="1" x="424"/>
        <item m="1" x="606"/>
        <item m="1" x="393"/>
        <item m="1" x="426"/>
        <item m="1" x="293"/>
        <item m="1" x="182"/>
        <item m="1" x="411"/>
        <item m="1" x="372"/>
        <item m="1" x="670"/>
        <item m="1" x="42"/>
        <item m="1" x="692"/>
        <item m="1" x="353"/>
        <item m="1" x="184"/>
        <item m="1" x="466"/>
        <item m="1" x="456"/>
        <item m="1" x="178"/>
        <item m="1" x="522"/>
        <item m="1" x="503"/>
        <item m="1" x="442"/>
        <item m="1" x="566"/>
        <item m="1" x="649"/>
        <item m="1" x="647"/>
        <item m="1" x="17"/>
        <item m="1" x="80"/>
        <item m="1" x="568"/>
        <item m="1" x="161"/>
        <item m="1" x="398"/>
        <item m="1" x="46"/>
        <item m="1" x="604"/>
        <item m="1" x="58"/>
        <item m="1" x="24"/>
        <item m="1" x="747"/>
        <item m="1" x="520"/>
        <item m="1" x="460"/>
        <item m="1" x="180"/>
        <item m="1" x="120"/>
        <item m="1" x="223"/>
        <item m="1" x="298"/>
        <item x="0"/>
        <item m="1" x="679"/>
        <item x="1"/>
        <item m="1" x="217"/>
        <item x="2"/>
        <item m="1" x="421"/>
        <item m="1" x="553"/>
        <item x="4"/>
        <item m="1" x="535"/>
        <item x="3"/>
        <item m="1" x="338"/>
        <item m="1" x="453"/>
        <item m="1" x="237"/>
        <item m="1" x="288"/>
        <item m="1" x="257"/>
        <item m="1" x="387"/>
        <item m="1" x="236"/>
        <item m="1" x="339"/>
        <item m="1" x="386"/>
        <item m="1" x="414"/>
        <item m="1" x="50"/>
        <item m="1" x="56"/>
        <item m="1" x="233"/>
        <item m="1" x="333"/>
        <item m="1" x="571"/>
        <item m="1" x="573"/>
        <item m="1" x="310"/>
        <item m="1" x="467"/>
        <item m="1" x="208"/>
        <item m="1" x="196"/>
        <item m="1" x="434"/>
        <item m="1" x="475"/>
        <item m="1" x="401"/>
        <item m="1" x="609"/>
        <item m="1" x="490"/>
        <item m="1" x="427"/>
        <item m="1" x="311"/>
        <item m="1" x="315"/>
        <item m="1" x="283"/>
        <item m="1" x="289"/>
        <item m="1" x="251"/>
        <item m="1" x="259"/>
        <item m="1" x="231"/>
        <item m="1" x="703"/>
        <item m="1" x="507"/>
        <item m="1" x="174"/>
        <item m="1" x="95"/>
        <item m="1" x="53"/>
        <item m="1" x="37"/>
        <item m="1" x="721"/>
        <item m="1" x="107"/>
        <item m="1" x="97"/>
        <item m="1" x="729"/>
        <item m="1" x="598"/>
        <item m="1" x="40"/>
        <item m="1" x="239"/>
        <item m="1" x="243"/>
        <item m="1" x="248"/>
        <item m="1" x="734"/>
        <item m="1" x="81"/>
        <item m="1" x="116"/>
        <item m="1" x="185"/>
        <item m="1" x="153"/>
        <item m="1" x="112"/>
        <item m="1" x="465"/>
        <item m="1" x="409"/>
        <item m="1" x="542"/>
        <item m="1" x="472"/>
        <item m="1" x="211"/>
        <item m="1" x="588"/>
        <item m="1" x="214"/>
        <item m="1" x="354"/>
        <item m="1" x="369"/>
        <item m="1" x="707"/>
        <item m="1" x="485"/>
        <item m="1" x="417"/>
        <item m="1" x="54"/>
        <item m="1" x="38"/>
        <item m="1" x="76"/>
        <item m="1" x="462"/>
        <item m="1" x="482"/>
        <item m="1" x="536"/>
        <item m="1" x="583"/>
        <item m="1" x="603"/>
        <item m="1" x="164"/>
        <item m="1" x="83"/>
        <item m="1" x="115"/>
        <item m="1" x="628"/>
        <item m="1" x="693"/>
        <item m="1" x="247"/>
        <item m="1" x="266"/>
        <item m="1" x="269"/>
        <item m="1" x="508"/>
        <item m="1" x="175"/>
        <item m="1" x="738"/>
        <item m="1" x="666"/>
        <item m="1" x="632"/>
        <item m="1" x="567"/>
        <item m="1" x="596"/>
        <item m="1" x="537"/>
        <item m="1" x="516"/>
        <item m="1" x="89"/>
        <item m="1" x="469"/>
        <item m="1" x="574"/>
        <item m="1" x="638"/>
        <item m="1" x="22"/>
        <item m="1" x="700"/>
        <item m="1" x="157"/>
        <item m="1" x="162"/>
        <item m="1" x="165"/>
        <item m="1" x="576"/>
        <item m="1" x="704"/>
        <item m="1" x="25"/>
        <item m="1" x="102"/>
        <item m="1" x="66"/>
        <item m="1" x="143"/>
        <item m="1" x="481"/>
        <item m="1" x="13"/>
        <item m="1" x="688"/>
        <item m="1" x="658"/>
        <item m="1" x="585"/>
        <item m="1" x="559"/>
        <item m="1" x="509"/>
        <item m="1" x="176"/>
        <item m="1" x="722"/>
        <item m="1" x="610"/>
        <item m="1" x="554"/>
        <item m="1" x="246"/>
        <item m="1" x="146"/>
        <item m="1" x="73"/>
        <item m="1" x="457"/>
        <item m="1" x="618"/>
        <item m="1" x="150"/>
        <item m="1" x="154"/>
        <item m="1" x="156"/>
        <item m="1" x="564"/>
        <item m="1" x="687"/>
        <item m="1" x="9"/>
        <item m="1" x="91"/>
        <item m="1" x="51"/>
        <item m="1" x="131"/>
        <item m="1" x="62"/>
        <item m="1" x="65"/>
        <item m="1" x="641"/>
        <item m="1" x="274"/>
        <item m="1" x="280"/>
        <item m="1" x="103"/>
        <item m="1" x="324"/>
        <item m="1" x="486"/>
        <item m="1" x="325"/>
        <item m="1" x="487"/>
        <item m="1" x="645"/>
        <item m="1" x="708"/>
        <item m="1" x="168"/>
        <item m="1" x="599"/>
        <item m="1" x="440"/>
        <item m="1" x="615"/>
        <item m="1" x="93"/>
        <item m="1" x="643"/>
        <item m="1" x="655"/>
        <item m="1" x="543"/>
        <item m="1" x="43"/>
        <item m="1" x="651"/>
        <item m="1" x="111"/>
        <item m="1" x="674"/>
        <item m="1" x="682"/>
        <item m="1" x="706"/>
        <item m="1" x="720"/>
        <item m="1" x="27"/>
        <item m="1" x="33"/>
        <item m="1" x="616"/>
        <item m="1" x="94"/>
        <item m="1" x="657"/>
        <item m="1" x="544"/>
        <item m="1" x="652"/>
        <item m="1" x="711"/>
        <item m="1" x="723"/>
        <item m="1" x="28"/>
        <item m="1" x="35"/>
        <item m="1" x="656"/>
        <item m="1" x="113"/>
        <item m="1" x="592"/>
        <item m="1" x="570"/>
        <item m="1" x="63"/>
        <item m="1" x="683"/>
        <item m="1" x="614"/>
        <item m="1" x="624"/>
        <item m="1" x="650"/>
        <item m="1" x="660"/>
        <item m="1" x="718"/>
        <item m="1" x="728"/>
        <item m="1" x="141"/>
        <item m="1" x="730"/>
        <item m="1" x="232"/>
        <item m="1" x="519"/>
        <item m="1" x="690"/>
        <item m="1" x="32"/>
        <item m="1" x="480"/>
        <item m="1" x="302"/>
        <item m="1" x="589"/>
        <item m="1" x="303"/>
        <item m="1" x="69"/>
        <item m="1" x="320"/>
        <item m="1" x="477"/>
        <item m="1" x="300"/>
        <item m="1" x="479"/>
        <item m="1" x="529"/>
        <item m="1" x="279"/>
        <item m="1" x="406"/>
        <item m="1" x="86"/>
        <item m="1" x="109"/>
        <item m="1" x="661"/>
        <item m="1" x="200"/>
        <item m="1" x="218"/>
        <item m="1" x="228"/>
        <item m="1" x="234"/>
        <item m="1" x="435"/>
        <item m="1" x="724"/>
        <item m="1" x="633"/>
        <item m="1" x="8"/>
        <item m="1" x="207"/>
        <item m="1" x="500"/>
        <item m="1" x="605"/>
        <item m="1" x="99"/>
        <item m="1" x="443"/>
        <item m="1" x="376"/>
        <item m="1" x="258"/>
        <item m="1" x="250"/>
        <item m="1" x="144"/>
        <item m="1" x="14"/>
        <item m="1" x="135"/>
        <item m="1" x="136"/>
        <item m="1" x="139"/>
        <item m="1" x="140"/>
        <item m="1" x="449"/>
        <item m="1" x="352"/>
        <item m="1" x="90"/>
        <item m="1" x="556"/>
        <item m="1" x="667"/>
        <item m="1" x="696"/>
        <item m="1" x="733"/>
        <item m="1" x="16"/>
        <item m="1" x="584"/>
        <item m="1" x="593"/>
        <item m="1" x="546"/>
        <item m="1" x="552"/>
        <item m="1" x="668"/>
        <item m="1" x="676"/>
        <item m="1" x="698"/>
        <item m="1" x="709"/>
        <item m="1" x="725"/>
        <item m="1" x="735"/>
        <item m="1" x="745"/>
        <item m="1" x="21"/>
        <item m="1" x="52"/>
        <item m="1" x="36"/>
        <item m="1" x="92"/>
        <item m="1" x="70"/>
        <item m="1" x="132"/>
        <item m="1" x="108"/>
        <item m="1" x="308"/>
        <item m="1" x="511"/>
        <item m="1" x="634"/>
        <item m="1" x="23"/>
        <item m="1" x="19"/>
        <item m="1" x="705"/>
        <item m="1" x="167"/>
        <item m="1" x="275"/>
        <item m="1" x="290"/>
        <item m="1" x="362"/>
        <item m="1" x="379"/>
        <item m="1" x="187"/>
        <item m="1" x="222"/>
        <item m="1" x="188"/>
        <item m="1" x="282"/>
        <item m="1" x="229"/>
        <item m="1" x="381"/>
        <item m="1" x="399"/>
        <item m="1" x="177"/>
        <item m="1" x="357"/>
        <item m="1" x="219"/>
        <item m="1" x="432"/>
        <item m="1" x="510"/>
        <item m="1" x="496"/>
        <item m="1" x="491"/>
        <item m="1" x="540"/>
        <item m="1" x="464"/>
        <item m="1" x="541"/>
        <item m="1" x="55"/>
        <item m="1" x="189"/>
        <item m="1" x="396"/>
        <item m="1" x="390"/>
        <item m="1" x="75"/>
        <item m="1" x="87"/>
        <item m="1" x="380"/>
        <item m="1" x="72"/>
        <item m="1" x="252"/>
        <item m="1" x="285"/>
        <item m="1" x="281"/>
        <item m="1" x="312"/>
        <item m="1" x="306"/>
        <item m="1" x="335"/>
        <item m="1" x="299"/>
        <item m="1" x="319"/>
        <item m="1" x="287"/>
        <item m="1" x="301"/>
        <item m="1" x="277"/>
        <item m="1" x="256"/>
        <item m="1" x="244"/>
        <item m="1" x="240"/>
        <item m="1" x="323"/>
        <item m="1" x="350"/>
        <item m="1" x="314"/>
        <item m="1" x="329"/>
        <item m="1" x="304"/>
        <item m="1" x="286"/>
        <item m="1" x="267"/>
        <item m="1" x="265"/>
        <item m="1" x="358"/>
        <item m="1" x="373"/>
        <item m="1" x="344"/>
        <item m="1" x="360"/>
        <item m="1" x="330"/>
        <item m="1" x="313"/>
        <item m="1" x="295"/>
        <item m="1" x="292"/>
        <item m="1" x="363"/>
        <item m="1" x="340"/>
        <item m="1" x="317"/>
        <item m="1" x="601"/>
        <item m="1" x="526"/>
        <item m="1" x="602"/>
        <item m="1" x="530"/>
        <item m="1" x="608"/>
        <item m="1" x="534"/>
        <item m="1" x="586"/>
        <item m="1" x="513"/>
        <item m="1" x="590"/>
        <item m="1" x="517"/>
        <item m="1" x="595"/>
        <item m="1" x="521"/>
        <item m="1" x="497"/>
        <item m="1" x="501"/>
        <item m="1" x="691"/>
        <item m="1" x="636"/>
        <item m="1" x="557"/>
        <item m="1" x="640"/>
        <item m="1" x="646"/>
        <item m="1" x="563"/>
        <item m="1" x="617"/>
        <item m="1" x="545"/>
        <item m="1" x="621"/>
        <item m="1" x="547"/>
        <item m="1" x="627"/>
        <item m="1" x="551"/>
        <item m="1" x="528"/>
        <item m="1" x="533"/>
        <item m="1" x="669"/>
        <item m="1" x="582"/>
        <item m="1" x="671"/>
        <item m="1" x="587"/>
        <item m="1" x="654"/>
        <item m="1" x="569"/>
        <item m="1" x="659"/>
        <item m="1" x="572"/>
        <item m="1" x="662"/>
        <item m="1" x="560"/>
        <item m="1" x="699"/>
        <item m="1" x="611"/>
        <item m="1" x="710"/>
        <item m="1" x="681"/>
        <item m="1" x="597"/>
        <item m="1" x="686"/>
        <item m="1" x="689"/>
        <item m="1" x="736"/>
        <item m="1" x="648"/>
        <item m="1" x="741"/>
        <item m="1" x="746"/>
        <item m="1" x="719"/>
        <item m="1" x="631"/>
        <item m="1" x="635"/>
        <item m="1" x="731"/>
        <item m="1" x="639"/>
        <item m="1" x="613"/>
        <item m="1" x="619"/>
        <item m="1" x="149"/>
        <item m="1" x="403"/>
        <item m="1" x="305"/>
        <item m="1" x="712"/>
        <item m="1" x="30"/>
        <item m="1" x="31"/>
        <item m="1" x="88"/>
        <item m="1" x="68"/>
        <item m="1" x="34"/>
        <item m="1" x="129"/>
        <item m="1" x="114"/>
        <item m="1" x="384"/>
        <item m="1" x="192"/>
        <item m="1" x="549"/>
        <item m="1" x="271"/>
        <item m="1" x="430"/>
        <item m="1" x="385"/>
        <item m="1" x="407"/>
        <item m="1" x="374"/>
        <item m="1" x="331"/>
        <item m="1" x="294"/>
        <item m="1" x="255"/>
        <item m="1" x="527"/>
        <item m="1" x="242"/>
        <item m="1" x="253"/>
        <item m="1" x="322"/>
        <item m="1" x="341"/>
        <item m="1" x="145"/>
        <item m="1" x="637"/>
        <item m="1" x="71"/>
        <item m="1" x="147"/>
        <item m="1" x="575"/>
        <item m="1" x="702"/>
        <item m="1" x="665"/>
        <item m="1" x="318"/>
        <item m="1" x="448"/>
        <item m="1" x="433"/>
        <item m="1" x="402"/>
        <item m="1" x="716"/>
        <item m="1" x="444"/>
        <item m="1" x="607"/>
        <item m="1" x="124"/>
        <item m="1" x="67"/>
        <item m="1" x="653"/>
        <item m="1" x="555"/>
        <item m="1" x="365"/>
        <item m="1" x="478"/>
        <item m="1" x="110"/>
        <item m="1" x="127"/>
        <item m="1" x="133"/>
        <item m="1" x="404"/>
        <item m="1" x="366"/>
        <item m="1" x="270"/>
        <item m="1" x="249"/>
        <item m="1" x="413"/>
        <item m="1" x="375"/>
        <item m="1" x="612"/>
        <item m="1" x="642"/>
        <item m="1" x="361"/>
        <item m="1" x="328"/>
        <item m="1" x="39"/>
        <item m="1" x="739"/>
        <item m="1" x="732"/>
        <item m="1" x="148"/>
        <item m="1" x="179"/>
        <item m="1" x="296"/>
        <item m="1" x="394"/>
        <item m="1" x="137"/>
        <item m="1" x="201"/>
        <item m="1" x="678"/>
        <item m="1" x="297"/>
        <item m="1" x="395"/>
        <item m="1" x="138"/>
        <item m="1" x="202"/>
        <item m="1" x="591"/>
        <item m="1" x="152"/>
        <item m="1" x="100"/>
        <item m="1" x="101"/>
        <item m="1" x="494"/>
        <item m="1" x="495"/>
        <item m="1" x="717"/>
        <item m="1" x="122"/>
        <item m="1" x="594"/>
        <item m="1" x="225"/>
        <item m="1" x="230"/>
        <item m="1" x="60"/>
        <item m="1" x="15"/>
        <item m="1" x="12"/>
        <item m="1" x="20"/>
        <item m="1" x="47"/>
        <item m="1" x="49"/>
        <item m="1" x="254"/>
        <item m="1" x="309"/>
        <item m="1" x="119"/>
        <item m="1" x="78"/>
        <item m="1" x="337"/>
        <item m="1" x="620"/>
        <item m="1" x="261"/>
        <item m="1" x="436"/>
        <item m="1" x="470"/>
        <item m="1" x="79"/>
        <item m="1" x="343"/>
        <item m="1" x="623"/>
        <item m="1" x="263"/>
        <item m="1" x="437"/>
        <item m="1" x="471"/>
        <item m="1" x="82"/>
        <item m="1" x="345"/>
        <item m="1" x="626"/>
        <item m="1" x="85"/>
        <item m="1" x="346"/>
        <item m="1" x="629"/>
        <item m="1" x="461"/>
        <item m="1" x="59"/>
        <item m="1" x="159"/>
        <item m="1" x="191"/>
        <item m="1" x="104"/>
        <item m="1" x="142"/>
        <item m="1" x="388"/>
        <item m="1" x="452"/>
        <item m="1" x="431"/>
        <item m="1" x="342"/>
        <item m="1" x="622"/>
        <item m="1" x="41"/>
        <item m="1" x="235"/>
        <item m="1" x="489"/>
        <item m="1" x="245"/>
        <item m="1" x="166"/>
        <item m="1" x="418"/>
        <item m="1" x="64"/>
        <item m="1" x="697"/>
        <item m="1" x="389"/>
        <item m="1" x="382"/>
        <item m="1" x="675"/>
        <item m="1" x="334"/>
        <item m="1" x="203"/>
        <item m="1" x="459"/>
        <item m="1" x="625"/>
        <item m="1" x="181"/>
        <item m="1" x="438"/>
        <item m="1" x="61"/>
        <item m="1" x="672"/>
        <item m="1" x="10"/>
        <item m="1" x="74"/>
        <item m="1" x="473"/>
        <item m="1" x="562"/>
        <item m="1" x="160"/>
        <item m="1" x="96"/>
        <item m="1" x="106"/>
        <item m="1" x="577"/>
        <item m="1" x="578"/>
        <item m="1" x="580"/>
        <item m="1" x="273"/>
        <item m="1" x="483"/>
        <item m="1" x="397"/>
        <item m="1" x="673"/>
        <item m="1" x="474"/>
        <item m="1" x="447"/>
        <item m="1" x="644"/>
        <item m="1" x="581"/>
        <item m="1" x="163"/>
        <item m="1" x="284"/>
        <item m="1" x="336"/>
        <item m="1" x="450"/>
        <item m="1" x="213"/>
        <item m="1" x="224"/>
        <item m="1" x="561"/>
        <item m="1" x="264"/>
        <item m="1" x="492"/>
        <item m="1" x="221"/>
        <item m="1" x="743"/>
        <item m="1" x="524"/>
        <item m="1" x="367"/>
        <item m="1" x="713"/>
        <item m="1" x="347"/>
        <item m="1" x="518"/>
        <item m="1" x="321"/>
        <item m="1" x="694"/>
        <item m="1" x="505"/>
        <item m="1" x="262"/>
        <item m="1" x="206"/>
        <item m="1" x="212"/>
        <item m="1" x="439"/>
        <item m="1" x="205"/>
        <item m="1" x="151"/>
        <item m="1" x="155"/>
        <item m="1" x="506"/>
        <item m="1" x="18"/>
        <item m="1" x="531"/>
        <item m="1" x="498"/>
        <item m="1" x="504"/>
        <item m="1" x="204"/>
        <item m="1" x="194"/>
        <item m="1" x="428"/>
        <item m="1" x="410"/>
        <item m="1" x="726"/>
        <item m="1" x="355"/>
        <item m="1" x="523"/>
        <item m="1" x="6"/>
        <item m="1" x="370"/>
        <item m="1" x="663"/>
        <item m="1" x="538"/>
        <item m="1" x="445"/>
        <item m="1" x="377"/>
        <item m="1" x="117"/>
        <item m="1" x="44"/>
        <item m="1" x="714"/>
        <item m="1" x="193"/>
        <item m="1" x="278"/>
        <item m="1" x="493"/>
        <item m="1" x="744"/>
        <item m="1" x="695"/>
        <item m="1" x="327"/>
        <item m="1" x="405"/>
        <item m="1" x="260"/>
        <item m="1" x="158"/>
        <item m="1" x="532"/>
        <item m="1" x="715"/>
        <item m="1" x="499"/>
        <item m="1" x="98"/>
        <item m="1" x="216"/>
        <item m="1" x="727"/>
        <item m="1" x="356"/>
        <item m="1" x="7"/>
        <item m="1" x="371"/>
        <item m="1" x="548"/>
        <item m="1" x="664"/>
        <item m="1" x="539"/>
        <item m="1" x="446"/>
        <item m="1" x="378"/>
        <item m="1" x="118"/>
        <item m="1" x="45"/>
        <item m="1" x="348"/>
        <item m="1" x="415"/>
        <item m="1" x="420"/>
        <item m="1" x="423"/>
        <item m="1" x="425"/>
        <item m="1" x="429"/>
        <item m="1" x="502"/>
        <item m="1" x="630"/>
        <item m="1" x="579"/>
        <item m="1" x="190"/>
        <item m="1" x="171"/>
        <item m="1" x="468"/>
        <item m="1" x="565"/>
        <item m="1" x="84"/>
        <item m="1" x="183"/>
        <item m="1" x="383"/>
        <item m="1" x="268"/>
        <item m="1" x="600"/>
        <item m="1" x="476"/>
        <item m="1" x="121"/>
        <item m="1" x="123"/>
        <item m="1" x="126"/>
        <item m="1" x="400"/>
        <item m="1" x="484"/>
        <item m="1" x="215"/>
        <item m="1" x="125"/>
        <item m="1" x="272"/>
        <item m="1" x="128"/>
        <item m="1" x="276"/>
        <item m="1" x="195"/>
        <item m="1" x="359"/>
        <item m="1" x="169"/>
        <item m="1" x="130"/>
        <item m="1" x="458"/>
        <item m="1" x="364"/>
        <item m="1" x="170"/>
        <item m="1" x="134"/>
        <item m="1" x="514"/>
        <item m="1" x="441"/>
        <item m="1" x="419"/>
        <item m="1" x="515"/>
        <item m="1" x="422"/>
        <item m="1" x="172"/>
        <item m="1" x="186"/>
        <item m="1" x="209"/>
        <item m="1" x="238"/>
        <item m="1" x="241"/>
        <item m="1" x="173"/>
        <item m="1" x="291"/>
        <item m="1" x="349"/>
        <item m="1" x="210"/>
        <item m="1" x="226"/>
        <item m="1" x="525"/>
        <item m="1" x="368"/>
        <item m="1" x="11"/>
        <item m="1" x="26"/>
        <item m="1" x="29"/>
        <item m="1" x="488"/>
        <item m="1" x="408"/>
        <item m="1" x="57"/>
        <item m="1" x="391"/>
        <item m="1" x="316"/>
        <item m="1" x="19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1">
    <field x="2"/>
  </rowFields>
  <rowItems count="6">
    <i>
      <x v="67"/>
    </i>
    <i>
      <x v="69"/>
    </i>
    <i>
      <x v="71"/>
    </i>
    <i>
      <x v="74"/>
    </i>
    <i>
      <x v="76"/>
    </i>
    <i t="grand">
      <x/>
    </i>
  </rowItems>
  <colItems count="1">
    <i/>
  </colItems>
  <formats count="154">
    <format dxfId="433">
      <pivotArea type="all" dataOnly="0" outline="0" fieldPosition="0"/>
    </format>
    <format dxfId="432">
      <pivotArea outline="0" collapsedLevelsAreSubtotals="1" fieldPosition="0"/>
    </format>
    <format dxfId="431">
      <pivotArea field="2" type="button" dataOnly="0" labelOnly="1" outline="0" axis="axisRow" fieldPosition="0"/>
    </format>
    <format dxfId="430">
      <pivotArea dataOnly="0" labelOnly="1" grandRow="1" outline="0" fieldPosition="0"/>
    </format>
    <format dxfId="429">
      <pivotArea type="all" dataOnly="0" outline="0" fieldPosition="0"/>
    </format>
    <format dxfId="428">
      <pivotArea outline="0" collapsedLevelsAreSubtotals="1" fieldPosition="0"/>
    </format>
    <format dxfId="427">
      <pivotArea field="2" type="button" dataOnly="0" labelOnly="1" outline="0" axis="axisRow" fieldPosition="0"/>
    </format>
    <format dxfId="426">
      <pivotArea dataOnly="0" labelOnly="1" grandRow="1" outline="0" fieldPosition="0"/>
    </format>
    <format dxfId="425">
      <pivotArea type="all" dataOnly="0" outline="0" fieldPosition="0"/>
    </format>
    <format dxfId="424">
      <pivotArea outline="0" collapsedLevelsAreSubtotals="1" fieldPosition="0"/>
    </format>
    <format dxfId="423">
      <pivotArea field="2" type="button" dataOnly="0" labelOnly="1" outline="0" axis="axisRow" fieldPosition="0"/>
    </format>
    <format dxfId="422">
      <pivotArea dataOnly="0" labelOnly="1" grandRow="1" outline="0" fieldPosition="0"/>
    </format>
    <format dxfId="421">
      <pivotArea type="all" dataOnly="0" outline="0" fieldPosition="0"/>
    </format>
    <format dxfId="420">
      <pivotArea outline="0" collapsedLevelsAreSubtotals="1" fieldPosition="0"/>
    </format>
    <format dxfId="419">
      <pivotArea field="2" type="button" dataOnly="0" labelOnly="1" outline="0" axis="axisRow" fieldPosition="0"/>
    </format>
    <format dxfId="418">
      <pivotArea dataOnly="0" labelOnly="1" grandRow="1" outline="0" fieldPosition="0"/>
    </format>
    <format dxfId="417">
      <pivotArea type="all" dataOnly="0" outline="0" fieldPosition="0"/>
    </format>
    <format dxfId="416">
      <pivotArea outline="0" collapsedLevelsAreSubtotals="1" fieldPosition="0"/>
    </format>
    <format dxfId="415">
      <pivotArea field="2" type="button" dataOnly="0" labelOnly="1" outline="0" axis="axisRow" fieldPosition="0"/>
    </format>
    <format dxfId="414">
      <pivotArea dataOnly="0" labelOnly="1" grandRow="1" outline="0" fieldPosition="0"/>
    </format>
    <format dxfId="413">
      <pivotArea field="2" type="button" dataOnly="0" labelOnly="1" outline="0" axis="axisRow" fieldPosition="0"/>
    </format>
    <format dxfId="412">
      <pivotArea dataOnly="0" labelOnly="1" grandRow="1" outline="0" fieldPosition="0"/>
    </format>
    <format dxfId="411">
      <pivotArea field="2" type="button" dataOnly="0" labelOnly="1" outline="0" axis="axisRow" fieldPosition="0"/>
    </format>
    <format dxfId="410">
      <pivotArea field="2" type="button" dataOnly="0" labelOnly="1" outline="0" axis="axisRow" fieldPosition="0"/>
    </format>
    <format dxfId="409">
      <pivotArea dataOnly="0" labelOnly="1" grandRow="1" outline="0" fieldPosition="0"/>
    </format>
    <format dxfId="408">
      <pivotArea field="2" type="button" dataOnly="0" labelOnly="1" outline="0" axis="axisRow" fieldPosition="0"/>
    </format>
    <format dxfId="407">
      <pivotArea dataOnly="0" labelOnly="1" grandRow="1" outline="0" fieldPosition="0"/>
    </format>
    <format dxfId="406">
      <pivotArea field="2" type="button" dataOnly="0" labelOnly="1" outline="0" axis="axisRow" fieldPosition="0"/>
    </format>
    <format dxfId="405">
      <pivotArea dataOnly="0" labelOnly="1" grandRow="1" outline="0" fieldPosition="0"/>
    </format>
    <format dxfId="404">
      <pivotArea field="2" type="button" dataOnly="0" labelOnly="1" outline="0" axis="axisRow" fieldPosition="0"/>
    </format>
    <format dxfId="403">
      <pivotArea dataOnly="0" labelOnly="1" grandRow="1" outline="0" fieldPosition="0"/>
    </format>
    <format dxfId="402">
      <pivotArea field="2" type="button" dataOnly="0" labelOnly="1" outline="0" axis="axisRow" fieldPosition="0"/>
    </format>
    <format dxfId="401">
      <pivotArea dataOnly="0" labelOnly="1" grandRow="1" outline="0" fieldPosition="0"/>
    </format>
    <format dxfId="400">
      <pivotArea field="2" type="button" dataOnly="0" labelOnly="1" outline="0" axis="axisRow" fieldPosition="0"/>
    </format>
    <format dxfId="399">
      <pivotArea outline="0" collapsedLevelsAreSubtotals="1" fieldPosition="0"/>
    </format>
    <format dxfId="398">
      <pivotArea outline="0" collapsedLevelsAreSubtotals="1" fieldPosition="0"/>
    </format>
    <format dxfId="397">
      <pivotArea field="2" type="button" dataOnly="0" labelOnly="1" outline="0" axis="axisRow" fieldPosition="0"/>
    </format>
    <format dxfId="396">
      <pivotArea dataOnly="0" labelOnly="1" grandRow="1" outline="0" fieldPosition="0"/>
    </format>
    <format dxfId="395">
      <pivotArea field="2" type="button" dataOnly="0" labelOnly="1" outline="0" axis="axisRow" fieldPosition="0"/>
    </format>
    <format dxfId="394">
      <pivotArea field="2" type="button" dataOnly="0" labelOnly="1" outline="0" axis="axisRow" fieldPosition="0"/>
    </format>
    <format dxfId="393">
      <pivotArea field="2" type="button" dataOnly="0" labelOnly="1" outline="0" axis="axisRow" fieldPosition="0"/>
    </format>
    <format dxfId="392">
      <pivotArea dataOnly="0" labelOnly="1" grandRow="1" outline="0" fieldPosition="0"/>
    </format>
    <format dxfId="391">
      <pivotArea field="2" type="button" dataOnly="0" labelOnly="1" outline="0" axis="axisRow" fieldPosition="0"/>
    </format>
    <format dxfId="390">
      <pivotArea dataOnly="0" labelOnly="1" grandRow="1" outline="0" fieldPosition="0"/>
    </format>
    <format dxfId="389">
      <pivotArea field="2" type="button" dataOnly="0" labelOnly="1" outline="0" axis="axisRow" fieldPosition="0"/>
    </format>
    <format dxfId="388">
      <pivotArea dataOnly="0" labelOnly="1" grandRow="1" outline="0" fieldPosition="0"/>
    </format>
    <format dxfId="387">
      <pivotArea field="2" type="button" dataOnly="0" labelOnly="1" outline="0" axis="axisRow" fieldPosition="0"/>
    </format>
    <format dxfId="386">
      <pivotArea dataOnly="0" labelOnly="1" grandRow="1" outline="0" fieldPosition="0"/>
    </format>
    <format dxfId="385">
      <pivotArea field="2" type="button" dataOnly="0" labelOnly="1" outline="0" axis="axisRow" fieldPosition="0"/>
    </format>
    <format dxfId="384">
      <pivotArea dataOnly="0" labelOnly="1" grandRow="1" outline="0" fieldPosition="0"/>
    </format>
    <format dxfId="383">
      <pivotArea dataOnly="0" labelOnly="1" outline="0" fieldPosition="0">
        <references count="1">
          <reference field="2" count="1">
            <x v="306"/>
          </reference>
        </references>
      </pivotArea>
    </format>
    <format dxfId="382">
      <pivotArea dataOnly="0" labelOnly="1" outline="0" fieldPosition="0">
        <references count="1">
          <reference field="2" count="1">
            <x v="306"/>
          </reference>
        </references>
      </pivotArea>
    </format>
    <format dxfId="381">
      <pivotArea field="2" type="button" dataOnly="0" labelOnly="1" outline="0" axis="axisRow" fieldPosition="0"/>
    </format>
    <format dxfId="380">
      <pivotArea dataOnly="0" labelOnly="1" grandRow="1" outline="0" fieldPosition="0"/>
    </format>
    <format dxfId="379">
      <pivotArea field="2" type="button" dataOnly="0" labelOnly="1" outline="0" axis="axisRow" fieldPosition="0"/>
    </format>
    <format dxfId="378">
      <pivotArea dataOnly="0" labelOnly="1" grandRow="1" outline="0" fieldPosition="0"/>
    </format>
    <format dxfId="377">
      <pivotArea dataOnly="0" labelOnly="1" outline="0" fieldPosition="0">
        <references count="1">
          <reference field="2" count="2">
            <x v="281"/>
            <x v="306"/>
          </reference>
        </references>
      </pivotArea>
    </format>
    <format dxfId="376">
      <pivotArea field="2" type="button" dataOnly="0" labelOnly="1" outline="0" axis="axisRow" fieldPosition="0"/>
    </format>
    <format dxfId="375">
      <pivotArea dataOnly="0" labelOnly="1" grandRow="1" outline="0" fieldPosition="0"/>
    </format>
    <format dxfId="374">
      <pivotArea field="2" type="button" dataOnly="0" labelOnly="1" outline="0" axis="axisRow" fieldPosition="0"/>
    </format>
    <format dxfId="373">
      <pivotArea dataOnly="0" labelOnly="1" grandRow="1" outline="0" fieldPosition="0"/>
    </format>
    <format dxfId="372">
      <pivotArea field="2" type="button" dataOnly="0" labelOnly="1" outline="0" axis="axisRow" fieldPosition="0"/>
    </format>
    <format dxfId="371">
      <pivotArea dataOnly="0" labelOnly="1" outline="0" fieldPosition="0">
        <references count="1">
          <reference field="2" count="1">
            <x v="306"/>
          </reference>
        </references>
      </pivotArea>
    </format>
    <format dxfId="370">
      <pivotArea dataOnly="0" labelOnly="1" grandRow="1" outline="0" fieldPosition="0"/>
    </format>
    <format dxfId="369">
      <pivotArea field="2" type="button" dataOnly="0" labelOnly="1" outline="0" axis="axisRow" fieldPosition="0"/>
    </format>
    <format dxfId="368">
      <pivotArea dataOnly="0" labelOnly="1" outline="0" fieldPosition="0">
        <references count="1">
          <reference field="2" count="1">
            <x v="306"/>
          </reference>
        </references>
      </pivotArea>
    </format>
    <format dxfId="367">
      <pivotArea dataOnly="0" labelOnly="1" grandRow="1" outline="0" fieldPosition="0"/>
    </format>
    <format dxfId="366">
      <pivotArea field="2" type="button" dataOnly="0" labelOnly="1" outline="0" axis="axisRow" fieldPosition="0"/>
    </format>
    <format dxfId="365">
      <pivotArea dataOnly="0" labelOnly="1" grandRow="1" outline="0" fieldPosition="0"/>
    </format>
    <format dxfId="364">
      <pivotArea field="2" type="button" dataOnly="0" labelOnly="1" outline="0" axis="axisRow" fieldPosition="0"/>
    </format>
    <format dxfId="363">
      <pivotArea dataOnly="0" labelOnly="1" grandRow="1" outline="0" fieldPosition="0"/>
    </format>
    <format dxfId="362">
      <pivotArea field="2" type="button" dataOnly="0" labelOnly="1" outline="0" axis="axisRow" fieldPosition="0"/>
    </format>
    <format dxfId="361">
      <pivotArea dataOnly="0" labelOnly="1" grandRow="1" outline="0" fieldPosition="0"/>
    </format>
    <format dxfId="360">
      <pivotArea field="2" type="button" dataOnly="0" labelOnly="1" outline="0" axis="axisRow" fieldPosition="0"/>
    </format>
    <format dxfId="359">
      <pivotArea dataOnly="0" labelOnly="1" grandRow="1" outline="0" fieldPosition="0"/>
    </format>
    <format dxfId="358">
      <pivotArea field="2" type="button" dataOnly="0" labelOnly="1" outline="0" axis="axisRow" fieldPosition="0"/>
    </format>
    <format dxfId="357">
      <pivotArea dataOnly="0" labelOnly="1" grandRow="1" outline="0" fieldPosition="0"/>
    </format>
    <format dxfId="356">
      <pivotArea field="2" type="button" dataOnly="0" labelOnly="1" outline="0" axis="axisRow" fieldPosition="0"/>
    </format>
    <format dxfId="355">
      <pivotArea dataOnly="0" labelOnly="1" grandRow="1" outline="0" fieldPosition="0"/>
    </format>
    <format dxfId="354">
      <pivotArea field="2" type="button" dataOnly="0" labelOnly="1" outline="0" axis="axisRow" fieldPosition="0"/>
    </format>
    <format dxfId="353">
      <pivotArea field="2" type="button" dataOnly="0" labelOnly="1" outline="0" axis="axisRow" fieldPosition="0"/>
    </format>
    <format dxfId="352">
      <pivotArea dataOnly="0" labelOnly="1" outline="0" fieldPosition="0">
        <references count="1">
          <reference field="2" count="2">
            <x v="281"/>
            <x v="283"/>
          </reference>
        </references>
      </pivotArea>
    </format>
    <format dxfId="351">
      <pivotArea dataOnly="0" labelOnly="1" grandRow="1" outline="0" fieldPosition="0"/>
    </format>
    <format dxfId="350">
      <pivotArea field="2" type="button" dataOnly="0" labelOnly="1" outline="0" axis="axisRow" fieldPosition="0"/>
    </format>
    <format dxfId="349">
      <pivotArea dataOnly="0" labelOnly="1" outline="0" fieldPosition="0">
        <references count="1">
          <reference field="2" count="2">
            <x v="281"/>
            <x v="283"/>
          </reference>
        </references>
      </pivotArea>
    </format>
    <format dxfId="348">
      <pivotArea dataOnly="0" labelOnly="1" grandRow="1" outline="0" fieldPosition="0"/>
    </format>
    <format dxfId="347">
      <pivotArea field="2" type="button" dataOnly="0" labelOnly="1" outline="0" axis="axisRow" fieldPosition="0"/>
    </format>
    <format dxfId="346">
      <pivotArea dataOnly="0" labelOnly="1" grandRow="1" outline="0" fieldPosition="0"/>
    </format>
    <format dxfId="345">
      <pivotArea field="2" type="button" dataOnly="0" labelOnly="1" outline="0" axis="axisRow" fieldPosition="0"/>
    </format>
    <format dxfId="344">
      <pivotArea dataOnly="0" labelOnly="1" grandRow="1" outline="0" fieldPosition="0"/>
    </format>
    <format dxfId="343">
      <pivotArea field="2" type="button" dataOnly="0" labelOnly="1" outline="0" axis="axisRow" fieldPosition="0"/>
    </format>
    <format dxfId="342">
      <pivotArea dataOnly="0" labelOnly="1" grandRow="1" outline="0" fieldPosition="0"/>
    </format>
    <format dxfId="341">
      <pivotArea field="2" type="button" dataOnly="0" labelOnly="1" outline="0" axis="axisRow" fieldPosition="0"/>
    </format>
    <format dxfId="340">
      <pivotArea dataOnly="0" labelOnly="1" grandRow="1" outline="0" fieldPosition="0"/>
    </format>
    <format dxfId="339">
      <pivotArea field="2" type="button" dataOnly="0" labelOnly="1" outline="0" axis="axisRow" fieldPosition="0"/>
    </format>
    <format dxfId="338">
      <pivotArea dataOnly="0" labelOnly="1" grandRow="1" outline="0" fieldPosition="0"/>
    </format>
    <format dxfId="337">
      <pivotArea field="2" type="button" dataOnly="0" labelOnly="1" outline="0" axis="axisRow" fieldPosition="0"/>
    </format>
    <format dxfId="336">
      <pivotArea dataOnly="0" labelOnly="1" grandRow="1" outline="0" fieldPosition="0"/>
    </format>
    <format dxfId="335">
      <pivotArea field="2" type="button" dataOnly="0" labelOnly="1" outline="0" axis="axisRow" fieldPosition="0"/>
    </format>
    <format dxfId="334">
      <pivotArea dataOnly="0" labelOnly="1" grandRow="1" outline="0" fieldPosition="0"/>
    </format>
    <format dxfId="333">
      <pivotArea field="2" type="button" dataOnly="0" labelOnly="1" outline="0" axis="axisRow" fieldPosition="0"/>
    </format>
    <format dxfId="332">
      <pivotArea dataOnly="0" labelOnly="1" grandRow="1" outline="0" fieldPosition="0"/>
    </format>
    <format dxfId="331">
      <pivotArea field="2" type="button" dataOnly="0" labelOnly="1" outline="0" axis="axisRow" fieldPosition="0"/>
    </format>
    <format dxfId="330">
      <pivotArea dataOnly="0" labelOnly="1" grandRow="1" outline="0" fieldPosition="0"/>
    </format>
    <format dxfId="329">
      <pivotArea field="2" type="button" dataOnly="0" labelOnly="1" outline="0" axis="axisRow" fieldPosition="0"/>
    </format>
    <format dxfId="328">
      <pivotArea dataOnly="0" labelOnly="1" grandRow="1" outline="0" fieldPosition="0"/>
    </format>
    <format dxfId="327">
      <pivotArea field="2" type="button" dataOnly="0" labelOnly="1" outline="0" axis="axisRow" fieldPosition="0"/>
    </format>
    <format dxfId="326">
      <pivotArea dataOnly="0" labelOnly="1" grandRow="1" outline="0" fieldPosition="0"/>
    </format>
    <format dxfId="325">
      <pivotArea field="2" type="button" dataOnly="0" labelOnly="1" outline="0" axis="axisRow" fieldPosition="0"/>
    </format>
    <format dxfId="324">
      <pivotArea dataOnly="0" labelOnly="1" grandRow="1" outline="0" fieldPosition="0"/>
    </format>
    <format dxfId="323">
      <pivotArea field="2" type="button" dataOnly="0" labelOnly="1" outline="0" axis="axisRow" fieldPosition="0"/>
    </format>
    <format dxfId="322">
      <pivotArea dataOnly="0" labelOnly="1" grandRow="1" outline="0" fieldPosition="0"/>
    </format>
    <format dxfId="321">
      <pivotArea field="2" type="button" dataOnly="0" labelOnly="1" outline="0" axis="axisRow" fieldPosition="0"/>
    </format>
    <format dxfId="320">
      <pivotArea dataOnly="0" labelOnly="1" grandRow="1" outline="0" fieldPosition="0"/>
    </format>
    <format dxfId="319">
      <pivotArea field="2" type="button" dataOnly="0" labelOnly="1" outline="0" axis="axisRow" fieldPosition="0"/>
    </format>
    <format dxfId="318">
      <pivotArea dataOnly="0" labelOnly="1" grandRow="1" outline="0" fieldPosition="0"/>
    </format>
    <format dxfId="317">
      <pivotArea field="2" type="button" dataOnly="0" labelOnly="1" outline="0" axis="axisRow" fieldPosition="0"/>
    </format>
    <format dxfId="316">
      <pivotArea dataOnly="0" labelOnly="1" grandRow="1" outline="0" fieldPosition="0"/>
    </format>
    <format dxfId="315">
      <pivotArea field="2" type="button" dataOnly="0" labelOnly="1" outline="0" axis="axisRow" fieldPosition="0"/>
    </format>
    <format dxfId="314">
      <pivotArea dataOnly="0" labelOnly="1" grandRow="1" outline="0" fieldPosition="0"/>
    </format>
    <format dxfId="313">
      <pivotArea field="2" type="button" dataOnly="0" labelOnly="1" outline="0" axis="axisRow" fieldPosition="0"/>
    </format>
    <format dxfId="312">
      <pivotArea dataOnly="0" labelOnly="1" grandRow="1" outline="0" fieldPosition="0"/>
    </format>
    <format dxfId="311">
      <pivotArea field="2" type="button" dataOnly="0" labelOnly="1" outline="0" axis="axisRow" fieldPosition="0"/>
    </format>
    <format dxfId="310">
      <pivotArea dataOnly="0" labelOnly="1" grandRow="1" outline="0" fieldPosition="0"/>
    </format>
    <format dxfId="309">
      <pivotArea field="2" type="button" dataOnly="0" labelOnly="1" outline="0" axis="axisRow" fieldPosition="0"/>
    </format>
    <format dxfId="308">
      <pivotArea dataOnly="0" labelOnly="1" grandRow="1" outline="0" fieldPosition="0"/>
    </format>
    <format dxfId="307">
      <pivotArea field="2" type="button" dataOnly="0" labelOnly="1" outline="0" axis="axisRow" fieldPosition="0"/>
    </format>
    <format dxfId="306">
      <pivotArea dataOnly="0" labelOnly="1" grandRow="1" outline="0" fieldPosition="0"/>
    </format>
    <format dxfId="305">
      <pivotArea field="2" type="button" dataOnly="0" labelOnly="1" outline="0" axis="axisRow" fieldPosition="0"/>
    </format>
    <format dxfId="304">
      <pivotArea dataOnly="0" labelOnly="1" grandRow="1" outline="0" fieldPosition="0"/>
    </format>
    <format dxfId="303">
      <pivotArea field="2" type="button" dataOnly="0" labelOnly="1" outline="0" axis="axisRow" fieldPosition="0"/>
    </format>
    <format dxfId="302">
      <pivotArea dataOnly="0" labelOnly="1" grandRow="1" outline="0" fieldPosition="0"/>
    </format>
    <format dxfId="301">
      <pivotArea field="2" type="button" dataOnly="0" labelOnly="1" outline="0" axis="axisRow" fieldPosition="0"/>
    </format>
    <format dxfId="300">
      <pivotArea dataOnly="0" labelOnly="1" grandRow="1" outline="0" fieldPosition="0"/>
    </format>
    <format dxfId="299">
      <pivotArea field="2" type="button" dataOnly="0" labelOnly="1" outline="0" axis="axisRow" fieldPosition="0"/>
    </format>
    <format dxfId="298">
      <pivotArea dataOnly="0" labelOnly="1" outline="0" fieldPosition="0">
        <references count="1">
          <reference field="2" count="1">
            <x v="306"/>
          </reference>
        </references>
      </pivotArea>
    </format>
    <format dxfId="297">
      <pivotArea dataOnly="0" labelOnly="1" grandRow="1" outline="0" fieldPosition="0"/>
    </format>
    <format dxfId="296">
      <pivotArea field="2" type="button" dataOnly="0" labelOnly="1" outline="0" axis="axisRow" fieldPosition="0"/>
    </format>
    <format dxfId="295">
      <pivotArea dataOnly="0" labelOnly="1" outline="0" fieldPosition="0">
        <references count="1">
          <reference field="2" count="1">
            <x v="306"/>
          </reference>
        </references>
      </pivotArea>
    </format>
    <format dxfId="294">
      <pivotArea dataOnly="0" labelOnly="1" grandRow="1" outline="0" fieldPosition="0"/>
    </format>
    <format dxfId="293">
      <pivotArea field="2" type="button" dataOnly="0" labelOnly="1" outline="0" axis="axisRow" fieldPosition="0"/>
    </format>
    <format dxfId="292">
      <pivotArea dataOnly="0" labelOnly="1" grandRow="1" outline="0" fieldPosition="0"/>
    </format>
    <format dxfId="291">
      <pivotArea field="2" type="button" dataOnly="0" labelOnly="1" outline="0" axis="axisRow" fieldPosition="0"/>
    </format>
    <format dxfId="290">
      <pivotArea dataOnly="0" labelOnly="1" grandRow="1" outline="0" fieldPosition="0"/>
    </format>
    <format dxfId="289">
      <pivotArea field="2" type="button" dataOnly="0" labelOnly="1" outline="0" axis="axisRow" fieldPosition="0"/>
    </format>
    <format dxfId="288">
      <pivotArea dataOnly="0" labelOnly="1" grandRow="1" outline="0" fieldPosition="0"/>
    </format>
    <format dxfId="287">
      <pivotArea field="2" type="button" dataOnly="0" labelOnly="1" outline="0" axis="axisRow" fieldPosition="0"/>
    </format>
    <format dxfId="286">
      <pivotArea dataOnly="0" labelOnly="1" grandRow="1" outline="0" fieldPosition="0"/>
    </format>
    <format dxfId="285">
      <pivotArea field="2" type="button" dataOnly="0" labelOnly="1" outline="0" axis="axisRow" fieldPosition="0"/>
    </format>
    <format dxfId="284">
      <pivotArea dataOnly="0" labelOnly="1" outline="0" fieldPosition="0">
        <references count="1">
          <reference field="2" count="4">
            <x v="281"/>
            <x v="282"/>
            <x v="283"/>
            <x v="306"/>
          </reference>
        </references>
      </pivotArea>
    </format>
    <format dxfId="283">
      <pivotArea dataOnly="0" labelOnly="1" grandRow="1" outline="0" fieldPosition="0"/>
    </format>
    <format dxfId="282">
      <pivotArea field="2" type="button" dataOnly="0" labelOnly="1" outline="0" axis="axisRow" fieldPosition="0"/>
    </format>
    <format dxfId="281">
      <pivotArea dataOnly="0" labelOnly="1" outline="0" fieldPosition="0">
        <references count="1">
          <reference field="2" count="4">
            <x v="281"/>
            <x v="282"/>
            <x v="283"/>
            <x v="306"/>
          </reference>
        </references>
      </pivotArea>
    </format>
    <format dxfId="280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2" type="captionBeginsWith" evalOrder="-1" id="1" stringValue1="SM_">
      <autoFilter ref="A1">
        <filterColumn colId="0">
          <customFilters>
            <customFilter val="SM_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5F921A-8AC8-4CE9-9FF6-7BE5FB6773A4}" name="PivotTable1" cacheId="19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:C7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48">
        <item m="1" x="255"/>
        <item m="1" x="242"/>
        <item m="1" x="322"/>
        <item m="1" x="145"/>
        <item m="1" x="575"/>
        <item m="1" x="318"/>
        <item m="1" x="555"/>
        <item m="1" x="297"/>
        <item m="1" x="138"/>
        <item m="1" x="591"/>
        <item m="1" x="100"/>
        <item m="1" x="717"/>
        <item m="1" x="230"/>
        <item m="1" x="12"/>
        <item m="1" x="474"/>
        <item m="1" x="644"/>
        <item m="1" x="581"/>
        <item m="1" x="284"/>
        <item m="1" x="336"/>
        <item x="5"/>
        <item m="1" x="228"/>
        <item m="1" x="696"/>
        <item m="1" x="234"/>
        <item m="1" x="435"/>
        <item m="1" x="276"/>
        <item m="1" x="215"/>
        <item m="1" x="272"/>
        <item m="1" x="121"/>
        <item m="1" x="123"/>
        <item m="1" x="391"/>
        <item m="1" x="220"/>
        <item m="1" x="199"/>
        <item m="1" x="412"/>
        <item m="1" x="606"/>
        <item m="1" x="692"/>
        <item m="1" x="184"/>
        <item m="1" x="372"/>
        <item m="1" x="42"/>
        <item m="1" x="455"/>
        <item m="1" x="351"/>
        <item m="1" x="393"/>
        <item m="1" x="307"/>
        <item m="1" x="227"/>
        <item m="1" x="451"/>
        <item m="1" x="332"/>
        <item m="1" x="466"/>
        <item m="1" x="96"/>
        <item m="1" x="737"/>
        <item m="1" x="740"/>
        <item m="1" x="680"/>
        <item m="1" x="685"/>
        <item m="1" x="550"/>
        <item m="1" x="677"/>
        <item m="1" x="58"/>
        <item m="1" x="71"/>
        <item m="1" x="663"/>
        <item m="1" x="117"/>
        <item m="1" x="664"/>
        <item m="1" x="249"/>
        <item m="1" x="478"/>
        <item m="1" x="25"/>
        <item m="1" x="576"/>
        <item m="1" x="66"/>
        <item m="1" x="738"/>
        <item m="1" x="564"/>
        <item m="1" x="51"/>
        <item m="1" x="734"/>
        <item m="1" x="73"/>
        <item m="1" x="722"/>
        <item m="1" x="153"/>
        <item m="1" x="116"/>
        <item m="1" x="642"/>
        <item m="1" x="361"/>
        <item m="1" x="359"/>
        <item m="1" x="364"/>
        <item m="1" x="169"/>
        <item m="1" x="170"/>
        <item m="1" x="125"/>
        <item m="1" x="128"/>
        <item m="1" x="195"/>
        <item m="1" x="130"/>
        <item m="1" x="458"/>
        <item m="1" x="601"/>
        <item m="1" x="602"/>
        <item m="1" x="608"/>
        <item m="1" x="586"/>
        <item m="1" x="590"/>
        <item m="1" x="595"/>
        <item m="1" x="526"/>
        <item m="1" x="513"/>
        <item m="1" x="521"/>
        <item m="1" x="497"/>
        <item m="1" x="501"/>
        <item m="1" x="669"/>
        <item m="1" x="671"/>
        <item m="1" x="654"/>
        <item m="1" x="659"/>
        <item m="1" x="662"/>
        <item m="1" x="560"/>
        <item m="1" x="636"/>
        <item m="1" x="640"/>
        <item m="1" x="646"/>
        <item m="1" x="617"/>
        <item m="1" x="621"/>
        <item m="1" x="627"/>
        <item m="1" x="557"/>
        <item m="1" x="545"/>
        <item m="1" x="699"/>
        <item m="1" x="710"/>
        <item m="1" x="686"/>
        <item m="1" x="736"/>
        <item m="1" x="619"/>
        <item m="1" x="691"/>
        <item m="1" x="430"/>
        <item m="1" x="385"/>
        <item m="1" x="331"/>
        <item m="1" x="294"/>
        <item m="1" x="355"/>
        <item m="1" x="379"/>
        <item m="1" x="362"/>
        <item m="1" x="266"/>
        <item m="1" x="247"/>
        <item m="1" x="269"/>
        <item m="1" x="525"/>
        <item m="1" x="422"/>
        <item m="1" x="241"/>
        <item m="1" x="481"/>
        <item m="1" x="508"/>
        <item m="1" x="9"/>
        <item m="1" x="507"/>
        <item m="1" x="450"/>
        <item m="1" x="367"/>
        <item m="1" x="524"/>
        <item m="1" x="743"/>
        <item m="1" x="193"/>
        <item m="1" x="278"/>
        <item m="1" x="354"/>
        <item m="1" x="417"/>
        <item m="1" x="11"/>
        <item m="1" x="289"/>
        <item m="1" x="482"/>
        <item m="1" x="712"/>
        <item m="1" x="31"/>
        <item m="1" x="34"/>
        <item m="1" x="21"/>
        <item m="1" x="667"/>
        <item m="1" x="440"/>
        <item m="1" x="599"/>
        <item m="1" x="168"/>
        <item m="1" x="30"/>
        <item m="1" x="88"/>
        <item m="1" x="68"/>
        <item m="1" x="129"/>
        <item m="1" x="180"/>
        <item m="1" x="460"/>
        <item m="1" x="146"/>
        <item m="1" x="112"/>
        <item m="1" x="594"/>
        <item m="1" x="715"/>
        <item m="1" x="539"/>
        <item m="1" x="378"/>
        <item m="1" x="45"/>
        <item m="1" x="446"/>
        <item m="1" x="118"/>
        <item m="1" x="472"/>
        <item m="1" x="707"/>
        <item m="1" x="251"/>
        <item m="1" x="416"/>
        <item m="1" x="568"/>
        <item m="1" x="161"/>
        <item m="1" x="600"/>
        <item m="1" x="476"/>
        <item m="1" x="296"/>
        <item m="1" x="498"/>
        <item m="1" x="445"/>
        <item m="1" x="499"/>
        <item m="1" x="494"/>
        <item m="1" x="47"/>
        <item m="1" x="163"/>
        <item m="1" x="607"/>
        <item m="1" x="194"/>
        <item m="1" x="504"/>
        <item m="1" x="216"/>
        <item m="1" x="7"/>
        <item m="1" x="262"/>
        <item m="1" x="6"/>
        <item m="1" x="371"/>
        <item m="1" x="348"/>
        <item m="1" x="505"/>
        <item m="1" x="439"/>
        <item m="1" x="151"/>
        <item m="1" x="204"/>
        <item m="1" x="618"/>
        <item m="1" x="365"/>
        <item m="1" x="67"/>
        <item m="1" x="308"/>
        <item m="1" x="727"/>
        <item m="1" x="726"/>
        <item m="1" x="224"/>
        <item m="1" x="264"/>
        <item m="1" x="221"/>
        <item m="1" x="347"/>
        <item m="1" x="713"/>
        <item m="1" x="321"/>
        <item m="1" x="327"/>
        <item m="1" x="588"/>
        <item m="1" x="259"/>
        <item m="1" x="633"/>
        <item m="1" x="657"/>
        <item m="1" x="711"/>
        <item m="1" x="723"/>
        <item m="1" x="28"/>
        <item m="1" x="616"/>
        <item m="1" x="592"/>
        <item m="1" x="728"/>
        <item m="1" x="656"/>
        <item m="1" x="624"/>
        <item m="1" x="661"/>
        <item m="1" x="733"/>
        <item m="1" x="293"/>
        <item m="1" x="456"/>
        <item m="1" x="684"/>
        <item m="1" x="271"/>
        <item m="1" x="411"/>
        <item m="1" x="421"/>
        <item m="1" x="463"/>
        <item m="1" x="198"/>
        <item m="1" x="742"/>
        <item m="1" x="288"/>
        <item m="1" x="298"/>
        <item m="1" x="679"/>
        <item m="1" x="217"/>
        <item m="1" x="535"/>
        <item m="1" x="553"/>
        <item m="1" x="77"/>
        <item m="1" x="431"/>
        <item m="1" x="182"/>
        <item m="1" x="509"/>
        <item m="1" x="239"/>
        <item m="1" x="37"/>
        <item m="1" x="556"/>
        <item m="1" x="299"/>
        <item m="1" x="319"/>
        <item m="1" x="287"/>
        <item m="1" x="301"/>
        <item m="1" x="277"/>
        <item m="1" x="256"/>
        <item m="1" x="244"/>
        <item m="1" x="252"/>
        <item m="1" x="323"/>
        <item m="1" x="314"/>
        <item m="1" x="329"/>
        <item m="1" x="304"/>
        <item m="1" x="286"/>
        <item m="1" x="285"/>
        <item m="1" x="267"/>
        <item m="1" x="281"/>
        <item m="1" x="344"/>
        <item m="1" x="330"/>
        <item m="1" x="313"/>
        <item m="1" x="295"/>
        <item m="1" x="292"/>
        <item m="1" x="380"/>
        <item m="1" x="106"/>
        <item m="1" x="577"/>
        <item m="1" x="578"/>
        <item m="1" x="580"/>
        <item m="1" x="335"/>
        <item m="1" x="240"/>
        <item m="1" x="350"/>
        <item m="1" x="75"/>
        <item m="1" x="265"/>
        <item m="1" x="358"/>
        <item m="1" x="360"/>
        <item m="1" x="312"/>
        <item m="1" x="306"/>
        <item m="1" x="340"/>
        <item m="1" x="374"/>
        <item m="1" x="690"/>
        <item m="1" x="32"/>
        <item m="1" x="232"/>
        <item m="1" x="511"/>
        <item m="1" x="634"/>
        <item m="1" x="23"/>
        <item m="1" x="237"/>
        <item m="1" x="141"/>
        <item m="1" x="730"/>
        <item m="1" x="99"/>
        <item m="1" x="384"/>
        <item m="1" x="114"/>
        <item m="1" x="356"/>
        <item m="1" x="516"/>
        <item m="1" x="157"/>
        <item m="1" x="97"/>
        <item m="1" x="150"/>
        <item m="1" x="257"/>
        <item m="1" x="132"/>
        <item m="1" x="108"/>
        <item m="1" x="200"/>
        <item m="1" x="701"/>
        <item m="1" x="558"/>
        <item m="1" x="649"/>
        <item m="1" x="17"/>
        <item m="1" x="80"/>
        <item m="1" x="442"/>
        <item m="1" x="647"/>
        <item m="1" x="531"/>
        <item m="1" x="538"/>
        <item m="1" x="377"/>
        <item m="1" x="44"/>
        <item m="1" x="532"/>
        <item m="1" x="152"/>
        <item m="1" x="309"/>
        <item m="1" x="506"/>
        <item m="1" x="18"/>
        <item m="1" x="57"/>
        <item m="1" x="274"/>
        <item m="1" x="280"/>
        <item m="1" x="716"/>
        <item m="1" x="444"/>
        <item m="1" x="448"/>
        <item m="1" x="523"/>
        <item m="1" x="177"/>
        <item m="1" x="86"/>
        <item m="1" x="219"/>
        <item m="1" x="479"/>
        <item m="1" x="69"/>
        <item m="1" x="529"/>
        <item m="1" x="254"/>
        <item m="1" x="571"/>
        <item m="1" x="573"/>
        <item m="1" x="149"/>
        <item m="1" x="403"/>
        <item m="1" x="76"/>
        <item m="1" x="115"/>
        <item m="1" x="87"/>
        <item m="1" x="390"/>
        <item m="1" x="72"/>
        <item m="1" x="353"/>
        <item m="1" x="670"/>
        <item m="1" x="41"/>
        <item m="1" x="467"/>
        <item m="1" x="401"/>
        <item m="1" x="433"/>
        <item m="1" x="60"/>
        <item m="1" x="637"/>
        <item m="1" x="206"/>
        <item m="1" x="140"/>
        <item m="1" x="148"/>
        <item m="1" x="179"/>
        <item m="1" x="610"/>
        <item m="1" x="527"/>
        <item m="1" x="665"/>
        <item m="1" x="700"/>
        <item m="1" x="387"/>
        <item m="1" x="593"/>
        <item m="1" x="126"/>
        <item m="1" x="579"/>
        <item m="1" x="178"/>
        <item m="1" x="522"/>
        <item m="1" x="134"/>
        <item m="1" x="246"/>
        <item m="1" x="107"/>
        <item m="1" x="668"/>
        <item m="1" x="735"/>
        <item m="1" x="90"/>
        <item m="1" x="212"/>
        <item m="1" x="158"/>
        <item m="1" x="205"/>
        <item m="1" x="209"/>
        <item m="1" x="368"/>
        <item m="1" x="186"/>
        <item m="1" x="238"/>
        <item m="1" x="26"/>
        <item m="1" x="598"/>
        <item m="1" x="92"/>
        <item m="1" x="70"/>
        <item m="1" x="139"/>
        <item m="1" x="136"/>
        <item m="1" x="492"/>
        <item m="1" x="694"/>
        <item m="1" x="493"/>
        <item m="1" x="695"/>
        <item m="1" x="370"/>
        <item m="1" x="714"/>
        <item m="1" x="213"/>
        <item m="1" x="518"/>
        <item m="1" x="469"/>
        <item m="1" x="457"/>
        <item m="1" x="373"/>
        <item m="1" x="583"/>
        <item m="1" x="13"/>
        <item m="1" x="95"/>
        <item m="1" x="548"/>
        <item m="1" x="283"/>
        <item m="1" x="724"/>
        <item m="1" x="8"/>
        <item m="1" x="305"/>
        <item m="1" x="596"/>
        <item m="1" x="40"/>
        <item m="1" x="402"/>
        <item m="1" x="584"/>
        <item m="1" x="407"/>
        <item m="1" x="226"/>
        <item m="1" x="167"/>
        <item m="1" x="270"/>
        <item m="1" x="366"/>
        <item m="1" x="413"/>
        <item m="1" x="603"/>
        <item m="1" x="127"/>
        <item m="1" x="135"/>
        <item m="1" x="483"/>
        <item m="1" x="273"/>
        <item m="1" x="570"/>
        <item m="1" x="63"/>
        <item m="1" x="683"/>
        <item m="1" x="109"/>
        <item m="1" x="105"/>
        <item m="1" x="46"/>
        <item m="1" x="604"/>
        <item m="1" x="638"/>
        <item m="1" x="632"/>
        <item m="1" x="275"/>
        <item m="1" x="290"/>
        <item m="1" x="502"/>
        <item m="1" x="630"/>
        <item m="1" x="530"/>
        <item m="1" x="587"/>
        <item m="1" x="572"/>
        <item m="1" x="563"/>
        <item m="1" x="551"/>
        <item m="1" x="528"/>
        <item m="1" x="533"/>
        <item m="1" x="719"/>
        <item m="1" x="648"/>
        <item m="1" x="631"/>
        <item m="1" x="36"/>
        <item m="1" x="477"/>
        <item m="1" x="512"/>
        <item x="0"/>
        <item x="1"/>
        <item x="2"/>
        <item x="3"/>
        <item x="4"/>
        <item m="1" x="375"/>
        <item m="1" x="110"/>
        <item m="1" x="386"/>
        <item m="1" x="414"/>
        <item m="1" x="236"/>
        <item m="1" x="453"/>
        <item m="1" x="338"/>
        <item m="1" x="406"/>
        <item m="1" x="673"/>
        <item m="1" x="397"/>
        <item m="1" x="183"/>
        <item m="1" x="84"/>
        <item m="1" x="302"/>
        <item m="1" x="552"/>
        <item m="1" x="589"/>
        <item m="1" x="303"/>
        <item m="1" x="119"/>
        <item m="1" x="245"/>
        <item m="1" x="565"/>
        <item m="1" x="268"/>
        <item m="1" x="698"/>
        <item m="1" x="709"/>
        <item m="1" x="363"/>
        <item m="1" x="705"/>
        <item m="1" x="503"/>
        <item m="1" x="566"/>
        <item m="1" x="415"/>
        <item m="1" x="420"/>
        <item m="1" x="423"/>
        <item m="1" x="425"/>
        <item m="1" x="429"/>
        <item m="1" x="197"/>
        <item m="1" x="316"/>
        <item m="1" x="745"/>
        <item m="1" x="50"/>
        <item m="1" x="676"/>
        <item m="1" x="124"/>
        <item m="1" x="98"/>
        <item m="1" x="279"/>
        <item m="1" x="320"/>
        <item m="1" x="328"/>
        <item m="1" x="133"/>
        <item m="1" x="14"/>
        <item m="1" x="609"/>
        <item m="1" x="718"/>
        <item m="1" x="113"/>
        <item m="1" x="339"/>
        <item m="1" x="605"/>
        <item m="1" x="500"/>
        <item m="1" x="260"/>
        <item m="1" x="405"/>
        <item m="1" x="490"/>
        <item m="1" x="427"/>
        <item m="1" x="703"/>
        <item m="1" x="641"/>
        <item m="1" x="62"/>
        <item m="1" x="65"/>
        <item m="1" x="693"/>
        <item m="1" x="628"/>
        <item m="1" x="38"/>
        <item m="1" x="54"/>
        <item m="1" x="164"/>
        <item m="1" x="400"/>
        <item m="1" x="484"/>
        <item m="1" x="383"/>
        <item m="1" x="19"/>
        <item m="1" x="192"/>
        <item m="1" x="549"/>
        <item m="1" x="187"/>
        <item m="1" x="468"/>
        <item m="1" x="480"/>
        <item m="1" x="725"/>
        <item m="1" x="404"/>
        <item m="1" x="612"/>
        <item m="1" x="729"/>
        <item m="1" x="519"/>
        <item m="1" x="546"/>
        <item m="1" x="747"/>
        <item m="1" x="258"/>
        <item m="1" x="376"/>
        <item m="1" x="250"/>
        <item m="1" x="189"/>
        <item m="1" x="396"/>
        <item m="1" x="229"/>
        <item m="1" x="282"/>
        <item m="1" x="188"/>
        <item m="1" x="222"/>
        <item m="1" x="24"/>
        <item m="1" x="443"/>
        <item m="1" x="464"/>
        <item m="1" x="540"/>
        <item m="1" x="542"/>
        <item m="1" x="214"/>
        <item m="1" x="485"/>
        <item m="1" x="454"/>
        <item m="1" x="310"/>
        <item m="1" x="208"/>
        <item m="1" x="196"/>
        <item m="1" x="190"/>
        <item m="1" x="171"/>
        <item m="1" x="218"/>
        <item m="1" x="352"/>
        <item m="1" x="650"/>
        <item m="1" x="660"/>
        <item m="1" x="381"/>
        <item m="1" x="399"/>
        <item m="1" x="520"/>
        <item m="1" x="39"/>
        <item m="1" x="658"/>
        <item m="1" x="48"/>
        <item m="1" x="392"/>
        <item m="1" x="426"/>
        <item m="1" x="326"/>
        <item m="1" x="398"/>
        <item m="1" x="317"/>
        <item m="1" x="517"/>
        <item m="1" x="582"/>
        <item m="1" x="547"/>
        <item m="1" x="681"/>
        <item m="1" x="689"/>
        <item m="1" x="611"/>
        <item m="1" x="741"/>
        <item m="1" x="613"/>
        <item m="1" x="635"/>
        <item m="1" x="410"/>
        <item m="1" x="311"/>
        <item m="1" x="315"/>
        <item m="1" x="122"/>
        <item m="1" x="428"/>
        <item m="1" x="155"/>
        <item m="1" x="561"/>
        <item m="1" x="744"/>
        <item m="1" x="52"/>
        <item m="1" x="300"/>
        <item m="1" x="56"/>
        <item m="1" x="536"/>
        <item m="1" x="357"/>
        <item m="1" x="137"/>
        <item m="1" x="211"/>
        <item m="1" x="409"/>
        <item m="1" x="15"/>
        <item m="1" x="231"/>
        <item m="1" x="434"/>
        <item m="1" x="475"/>
        <item m="1" x="29"/>
        <item m="1" x="172"/>
        <item m="1" x="739"/>
        <item m="1" x="731"/>
        <item m="1" x="534"/>
        <item m="1" x="569"/>
        <item m="1" x="597"/>
        <item m="1" x="746"/>
        <item m="1" x="639"/>
        <item m="1" x="102"/>
        <item m="1" x="687"/>
        <item m="1" x="16"/>
        <item m="1" x="653"/>
        <item m="1" x="704"/>
        <item m="1" x="91"/>
        <item m="1" x="81"/>
        <item m="1" x="515"/>
        <item m="1" x="83"/>
        <item m="1" x="462"/>
        <item m="1" x="233"/>
        <item m="1" x="333"/>
        <item m="1" x="449"/>
        <item m="1" x="89"/>
        <item m="1" x="162"/>
        <item m="1" x="154"/>
        <item m="1" x="243"/>
        <item m="1" x="645"/>
        <item m="1" x="708"/>
        <item m="1" x="643"/>
        <item m="1" x="655"/>
        <item m="1" x="674"/>
        <item m="1" x="682"/>
        <item m="1" x="706"/>
        <item m="1" x="720"/>
        <item m="1" x="27"/>
        <item m="1" x="33"/>
        <item m="1" x="615"/>
        <item m="1" x="93"/>
        <item m="1" x="543"/>
        <item m="1" x="43"/>
        <item m="1" x="651"/>
        <item m="1" x="111"/>
        <item m="1" x="732"/>
        <item m="1" x="369"/>
        <item m="1" x="465"/>
        <item m="1" x="22"/>
        <item m="1" x="574"/>
        <item m="1" x="143"/>
        <item m="1" x="165"/>
        <item m="1" x="131"/>
        <item m="1" x="156"/>
        <item m="1" x="176"/>
        <item m="1" x="185"/>
        <item m="1" x="248"/>
        <item m="1" x="585"/>
        <item m="1" x="688"/>
        <item m="1" x="567"/>
        <item m="1" x="666"/>
        <item m="1" x="537"/>
        <item m="1" x="175"/>
        <item m="1" x="721"/>
        <item m="1" x="53"/>
        <item m="1" x="120"/>
        <item m="1" x="223"/>
        <item m="1" x="103"/>
        <item m="1" x="394"/>
        <item m="1" x="101"/>
        <item m="1" x="395"/>
        <item m="1" x="253"/>
        <item m="1" x="201"/>
        <item m="1" x="495"/>
        <item m="1" x="202"/>
        <item m="1" x="341"/>
        <item m="1" x="225"/>
        <item m="1" x="20"/>
        <item m="1" x="147"/>
        <item m="1" x="678"/>
        <item m="1" x="49"/>
        <item m="1" x="702"/>
        <item m="1" x="496"/>
        <item m="1" x="491"/>
        <item m="1" x="432"/>
        <item m="1" x="510"/>
        <item m="1" x="447"/>
        <item m="1" x="207"/>
        <item m="1" x="488"/>
        <item m="1" x="408"/>
        <item m="1" x="210"/>
        <item m="1" x="291"/>
        <item m="1" x="173"/>
        <item m="1" x="349"/>
        <item m="1" x="441"/>
        <item m="1" x="514"/>
        <item m="1" x="419"/>
        <item m="1" x="554"/>
        <item m="1" x="174"/>
        <item m="1" x="559"/>
        <item m="1" x="35"/>
        <item m="1" x="94"/>
        <item m="1" x="544"/>
        <item m="1" x="652"/>
        <item m="1" x="614"/>
        <item m="1" x="424"/>
        <item m="1" x="144"/>
        <item m="1" x="64"/>
        <item m="1" x="203"/>
        <item m="1" x="342"/>
        <item m="1" x="675"/>
        <item m="1" x="388"/>
        <item m="1" x="389"/>
        <item m="1" x="104"/>
        <item m="1" x="159"/>
        <item m="1" x="461"/>
        <item m="1" x="235"/>
        <item m="1" x="166"/>
        <item m="1" x="61"/>
        <item m="1" x="10"/>
        <item m="1" x="697"/>
        <item m="1" x="459"/>
        <item m="1" x="622"/>
        <item m="1" x="334"/>
        <item m="1" x="452"/>
        <item m="1" x="382"/>
        <item m="1" x="142"/>
        <item m="1" x="191"/>
        <item m="1" x="59"/>
        <item m="1" x="489"/>
        <item m="1" x="418"/>
        <item m="1" x="672"/>
        <item m="1" x="74"/>
        <item m="1" x="78"/>
        <item m="1" x="261"/>
        <item m="1" x="79"/>
        <item m="1" x="263"/>
        <item m="1" x="82"/>
        <item m="1" x="85"/>
        <item m="1" x="625"/>
        <item m="1" x="473"/>
        <item m="1" x="337"/>
        <item m="1" x="436"/>
        <item m="1" x="343"/>
        <item m="1" x="437"/>
        <item m="1" x="345"/>
        <item m="1" x="346"/>
        <item m="1" x="181"/>
        <item m="1" x="562"/>
        <item m="1" x="620"/>
        <item m="1" x="470"/>
        <item m="1" x="623"/>
        <item m="1" x="471"/>
        <item m="1" x="626"/>
        <item m="1" x="629"/>
        <item m="1" x="438"/>
        <item m="1" x="160"/>
        <item m="1" x="324"/>
        <item m="1" x="486"/>
        <item m="1" x="325"/>
        <item m="1" x="487"/>
        <item m="1" x="541"/>
        <item m="1"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2">
        <item m="1" x="373"/>
        <item m="1" x="322"/>
        <item m="1" x="278"/>
        <item x="1"/>
        <item m="1" x="166"/>
        <item m="1" x="290"/>
        <item m="1" x="67"/>
        <item m="1" x="245"/>
        <item m="1" x="363"/>
        <item m="1" x="412"/>
        <item m="1" x="336"/>
        <item m="1" x="267"/>
        <item m="1" x="9"/>
        <item m="1" x="239"/>
        <item m="1" x="262"/>
        <item m="1" x="348"/>
        <item m="1" x="437"/>
        <item m="1" x="60"/>
        <item m="1" x="21"/>
        <item m="1" x="99"/>
        <item m="1" x="379"/>
        <item m="1" x="326"/>
        <item m="1" x="283"/>
        <item m="1" x="232"/>
        <item m="1" x="19"/>
        <item m="1" x="190"/>
        <item m="1" x="383"/>
        <item m="1" x="334"/>
        <item m="1" x="54"/>
        <item m="1" x="339"/>
        <item m="1" x="297"/>
        <item m="1" x="382"/>
        <item m="1" x="201"/>
        <item m="1" x="106"/>
        <item m="1" x="68"/>
        <item m="1" x="29"/>
        <item m="1" x="161"/>
        <item m="1" x="142"/>
        <item m="1" x="441"/>
        <item m="1" x="114"/>
        <item m="1" x="42"/>
        <item m="1" x="128"/>
        <item m="1" x="229"/>
        <item m="1" x="256"/>
        <item m="1" x="268"/>
        <item m="1" x="425"/>
        <item m="1" x="338"/>
        <item m="1" x="206"/>
        <item m="1" x="242"/>
        <item m="1" x="241"/>
        <item m="1" x="105"/>
        <item m="1" x="426"/>
        <item m="1" x="115"/>
        <item m="1" x="90"/>
        <item m="1" x="294"/>
        <item m="1" x="83"/>
        <item m="1" x="274"/>
        <item m="1" x="251"/>
        <item m="1" x="276"/>
        <item m="1" x="147"/>
        <item m="1" x="94"/>
        <item m="1" x="118"/>
        <item m="1" x="288"/>
        <item m="1" x="313"/>
        <item m="1" x="88"/>
        <item m="1" x="210"/>
        <item m="1" x="195"/>
        <item m="1" x="98"/>
        <item m="1" x="250"/>
        <item m="1" x="31"/>
        <item m="1" x="349"/>
        <item m="1" x="81"/>
        <item m="1" x="353"/>
        <item m="1" x="272"/>
        <item m="1" x="325"/>
        <item m="1" x="423"/>
        <item m="1" x="266"/>
        <item m="1" x="13"/>
        <item m="1" x="102"/>
        <item m="1" x="292"/>
        <item m="1" x="133"/>
        <item m="1" x="181"/>
        <item m="1" x="151"/>
        <item m="1" x="389"/>
        <item m="1" x="301"/>
        <item m="1" x="164"/>
        <item m="1" x="186"/>
        <item m="1" x="303"/>
        <item m="1" x="124"/>
        <item m="1" x="15"/>
        <item m="1" x="432"/>
        <item m="1" x="50"/>
        <item m="1" x="420"/>
        <item m="1" x="155"/>
        <item m="1" x="312"/>
        <item m="1" x="168"/>
        <item m="1" x="85"/>
        <item m="1" x="378"/>
        <item m="1" x="113"/>
        <item m="1" x="126"/>
        <item m="1" x="28"/>
        <item m="1" x="10"/>
        <item m="1" x="41"/>
        <item m="1" x="172"/>
        <item m="1" x="127"/>
        <item m="1" x="76"/>
        <item m="1" x="150"/>
        <item m="1" x="205"/>
        <item m="1" x="366"/>
        <item m="1" x="200"/>
        <item m="1" x="219"/>
        <item m="1" x="230"/>
        <item m="1" x="180"/>
        <item m="1" x="55"/>
        <item m="1" x="215"/>
        <item m="1" x="103"/>
        <item m="1" x="47"/>
        <item m="1" x="225"/>
        <item m="1" x="137"/>
        <item m="1" x="364"/>
        <item m="1" x="330"/>
        <item m="1" x="20"/>
        <item m="1" x="304"/>
        <item m="1" x="399"/>
        <item m="1" x="358"/>
        <item m="1" x="263"/>
        <item m="1" x="226"/>
        <item m="1" x="2"/>
        <item m="1" x="176"/>
        <item m="1" x="125"/>
        <item m="1" x="51"/>
        <item m="1" x="333"/>
        <item m="1" x="143"/>
        <item m="1" x="231"/>
        <item m="1" x="431"/>
        <item m="1" x="152"/>
        <item m="1" x="202"/>
        <item m="1" x="129"/>
        <item m="1" x="78"/>
        <item m="1" x="37"/>
        <item m="1" x="287"/>
        <item m="1" x="377"/>
        <item m="1" x="401"/>
        <item m="1" x="388"/>
        <item m="1" x="405"/>
        <item m="1" x="61"/>
        <item m="1" x="282"/>
        <item m="1" x="308"/>
        <item m="1" x="217"/>
        <item m="1" x="162"/>
        <item m="1" x="370"/>
        <item m="1" x="381"/>
        <item m="1" x="392"/>
        <item m="1" x="295"/>
        <item m="1" x="107"/>
        <item m="1" x="178"/>
        <item m="1" x="309"/>
        <item m="1" x="351"/>
        <item m="1" x="100"/>
        <item m="1" x="56"/>
        <item m="1" x="189"/>
        <item m="1" x="49"/>
        <item m="1" x="331"/>
        <item m="1" x="48"/>
        <item m="1" x="286"/>
        <item m="1" x="187"/>
        <item m="1" x="418"/>
        <item m="1" x="203"/>
        <item m="1" x="237"/>
        <item m="1" x="355"/>
        <item m="1" x="165"/>
        <item m="1" x="394"/>
        <item m="1" x="345"/>
        <item m="1" x="135"/>
        <item m="1" x="372"/>
        <item m="1" x="158"/>
        <item m="1" x="403"/>
        <item m="1" x="275"/>
        <item m="1" x="58"/>
        <item m="1" x="293"/>
        <item m="1" x="75"/>
        <item m="1" x="332"/>
        <item m="1" x="214"/>
        <item m="1" x="5"/>
        <item m="1" x="255"/>
        <item m="1" x="11"/>
        <item m="1" x="40"/>
        <item m="1" x="84"/>
        <item m="1" x="380"/>
        <item m="1" x="371"/>
        <item m="1" x="91"/>
        <item m="1" x="112"/>
        <item m="1" x="244"/>
        <item m="1" x="59"/>
        <item m="1" x="227"/>
        <item m="1" x="416"/>
        <item m="1" x="52"/>
        <item m="1" x="144"/>
        <item m="1" x="427"/>
        <item m="1" x="406"/>
        <item m="1" x="367"/>
        <item m="1" x="257"/>
        <item m="1" x="17"/>
        <item m="1" x="96"/>
        <item m="1" x="119"/>
        <item m="1" x="414"/>
        <item m="1" x="315"/>
        <item m="1" x="192"/>
        <item m="1" x="280"/>
        <item m="1" x="429"/>
        <item m="1" x="66"/>
        <item m="1" x="95"/>
        <item m="1" x="140"/>
        <item m="1" x="196"/>
        <item m="1" x="233"/>
        <item m="1" x="36"/>
        <item m="1" x="218"/>
        <item m="1" x="296"/>
        <item m="1" x="177"/>
        <item m="1" x="350"/>
        <item m="1" x="387"/>
        <item m="1" x="374"/>
        <item m="1" x="279"/>
        <item m="1" x="243"/>
        <item m="1" x="153"/>
        <item m="1" x="337"/>
        <item m="1" x="14"/>
        <item m="1" x="157"/>
        <item m="1" x="185"/>
        <item m="1" x="22"/>
        <item m="1" x="362"/>
        <item m="1" x="277"/>
        <item m="1" x="238"/>
        <item m="1" x="120"/>
        <item m="1" x="44"/>
        <item m="1" x="323"/>
        <item m="1" x="354"/>
        <item m="1" x="141"/>
        <item m="1" x="138"/>
        <item m="1" x="156"/>
        <item m="1" x="198"/>
        <item m="1" x="72"/>
        <item m="1" x="324"/>
        <item m="1" x="281"/>
        <item m="1" x="154"/>
        <item m="1" x="57"/>
        <item m="1" x="101"/>
        <item m="1" x="391"/>
        <item m="1" x="440"/>
        <item m="1" x="62"/>
        <item m="1" x="23"/>
        <item m="1" x="347"/>
        <item m="1" x="86"/>
        <item m="1" x="183"/>
        <item m="1" x="320"/>
        <item m="1" x="8"/>
        <item m="1" x="252"/>
        <item m="1" x="173"/>
        <item m="1" x="7"/>
        <item m="1" x="407"/>
        <item m="1" x="71"/>
        <item m="1" x="43"/>
        <item m="1" x="16"/>
        <item m="1" x="208"/>
        <item m="1" x="400"/>
        <item m="1" x="121"/>
        <item m="1" x="32"/>
        <item m="1" x="359"/>
        <item m="1" x="264"/>
        <item m="1" x="89"/>
        <item m="1" x="77"/>
        <item m="1" x="223"/>
        <item m="1" x="46"/>
        <item m="1" x="375"/>
        <item m="1" x="246"/>
        <item m="1" x="310"/>
        <item m="1" x="211"/>
        <item m="1" x="248"/>
        <item m="1" x="236"/>
        <item m="1" x="395"/>
        <item m="1" x="335"/>
        <item m="1" x="79"/>
        <item m="1" x="385"/>
        <item m="1" x="207"/>
        <item m="1" x="38"/>
        <item m="1" x="220"/>
        <item m="1" x="159"/>
        <item m="1" x="396"/>
        <item m="1" x="438"/>
        <item m="1" x="428"/>
        <item m="1" x="384"/>
        <item m="1" x="415"/>
        <item m="1" x="235"/>
        <item m="1" x="247"/>
        <item m="1" x="65"/>
        <item m="1" x="193"/>
        <item m="1" x="260"/>
        <item m="1" x="273"/>
        <item m="1" x="285"/>
        <item m="1" x="148"/>
        <item m="1" x="254"/>
        <item m="1" x="314"/>
        <item m="1" x="26"/>
        <item m="1" x="234"/>
        <item m="1" x="197"/>
        <item m="1" x="397"/>
        <item m="1" x="259"/>
        <item m="1" x="271"/>
        <item m="1" x="170"/>
        <item m="1" x="182"/>
        <item m="1" x="222"/>
        <item m="1" x="343"/>
        <item m="1" x="421"/>
        <item m="1" x="291"/>
        <item m="1" x="53"/>
        <item m="1" x="134"/>
        <item m="1" x="413"/>
        <item m="1" x="305"/>
        <item m="1" x="298"/>
        <item m="1" x="258"/>
        <item m="1" x="191"/>
        <item m="1" x="340"/>
        <item m="1" x="436"/>
        <item m="1" x="261"/>
        <item m="1" x="284"/>
        <item m="1" x="97"/>
        <item m="1" x="434"/>
        <item m="1" x="18"/>
        <item m="1" x="216"/>
        <item m="1" x="204"/>
        <item m="1" x="302"/>
        <item m="1" x="171"/>
        <item m="1" x="104"/>
        <item m="1" x="411"/>
        <item m="1" x="45"/>
        <item m="1" x="422"/>
        <item m="1" x="306"/>
        <item m="1" x="116"/>
        <item m="1" x="69"/>
        <item m="1" x="390"/>
        <item m="1" x="299"/>
        <item m="1" x="341"/>
        <item m="1" x="167"/>
        <item m="1" x="433"/>
        <item m="1" x="352"/>
        <item m="1" x="130"/>
        <item m="1" x="24"/>
        <item m="1" x="30"/>
        <item m="1" x="328"/>
        <item m="1" x="435"/>
        <item m="1" x="318"/>
        <item m="1" x="357"/>
        <item m="1" x="194"/>
        <item m="1" x="307"/>
        <item m="1" x="319"/>
        <item m="1" x="316"/>
        <item m="1" x="269"/>
        <item m="1" x="265"/>
        <item m="1" x="212"/>
        <item m="1" x="368"/>
        <item m="1" x="253"/>
        <item m="1" x="82"/>
        <item m="1" x="221"/>
        <item m="1" x="393"/>
        <item m="1" x="327"/>
        <item m="1" x="35"/>
        <item m="1" x="4"/>
        <item m="1" x="12"/>
        <item m="1" x="213"/>
        <item m="1" x="344"/>
        <item m="1" x="361"/>
        <item m="1" x="184"/>
        <item m="1" x="360"/>
        <item m="1" x="402"/>
        <item m="1" x="376"/>
        <item m="1" x="417"/>
        <item m="1" x="27"/>
        <item m="1" x="408"/>
        <item m="1" x="342"/>
        <item m="1" x="300"/>
        <item m="1" x="174"/>
        <item m="1" x="139"/>
        <item m="1" x="73"/>
        <item m="1" x="25"/>
        <item m="1" x="64"/>
        <item m="1" x="74"/>
        <item m="1" x="209"/>
        <item m="1" x="199"/>
        <item m="1" x="87"/>
        <item m="1" x="117"/>
        <item m="1" x="169"/>
        <item m="1" x="289"/>
        <item m="1" x="33"/>
        <item m="1" x="410"/>
        <item m="1" x="369"/>
        <item m="1" x="404"/>
        <item m="1" x="439"/>
        <item m="1" x="311"/>
        <item m="1" x="409"/>
        <item m="1" x="122"/>
        <item m="1" x="398"/>
        <item m="1" x="80"/>
        <item m="1" x="430"/>
        <item m="1" x="93"/>
        <item m="1" x="123"/>
        <item m="1" x="249"/>
        <item m="1" x="110"/>
        <item m="1" x="188"/>
        <item m="1" x="424"/>
        <item m="1" x="228"/>
        <item m="1" x="321"/>
        <item m="1" x="179"/>
        <item m="1" x="270"/>
        <item m="1" x="92"/>
        <item m="1" x="70"/>
        <item m="1" x="419"/>
        <item m="1" x="109"/>
        <item m="1" x="145"/>
        <item m="1" x="111"/>
        <item m="1" x="136"/>
        <item m="1" x="346"/>
        <item m="1" x="34"/>
        <item m="1" x="132"/>
        <item m="1" x="386"/>
        <item m="1" x="146"/>
        <item m="1" x="163"/>
        <item m="1" x="175"/>
        <item m="1" x="39"/>
        <item m="1" x="3"/>
        <item m="1" x="317"/>
        <item m="1" x="108"/>
        <item m="1" x="63"/>
        <item m="1" x="329"/>
        <item m="1" x="131"/>
        <item m="1" x="6"/>
        <item m="1" x="160"/>
        <item m="1" x="149"/>
        <item m="1" x="356"/>
        <item m="1" x="240"/>
        <item m="1" x="365"/>
        <item m="1" x="2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10"/>
  </rowFields>
  <rowItems count="6">
    <i>
      <x v="439"/>
      <x v="441"/>
    </i>
    <i>
      <x v="440"/>
      <x v="441"/>
    </i>
    <i>
      <x v="441"/>
      <x v="441"/>
    </i>
    <i>
      <x v="442"/>
      <x v="441"/>
    </i>
    <i>
      <x v="443"/>
      <x v="441"/>
    </i>
    <i t="grand">
      <x/>
    </i>
  </rowItems>
  <colItems count="1">
    <i/>
  </colItems>
  <dataFields count="1">
    <dataField name="Sum of Expected Qty" fld="7" baseField="0" baseItem="0"/>
  </dataFields>
  <formats count="6">
    <format dxfId="278">
      <pivotArea type="all" dataOnly="0" outline="0" fieldPosition="0"/>
    </format>
    <format dxfId="277">
      <pivotArea outline="0" collapsedLevelsAreSubtotals="1" fieldPosition="0"/>
    </format>
    <format dxfId="276">
      <pivotArea field="2" type="button" dataOnly="0" labelOnly="1" outline="0" axis="axisRow" fieldPosition="0"/>
    </format>
    <format dxfId="275">
      <pivotArea dataOnly="0" labelOnly="1" outline="0" fieldPosition="0">
        <references count="1">
          <reference field="2" count="1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274">
      <pivotArea dataOnly="0" labelOnly="1" grandRow="1" outline="0" fieldPosition="0"/>
    </format>
    <format dxfId="27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" type="captionBeginsWith" evalOrder="-1" id="2" stringValue1="SM_">
      <autoFilter ref="A1">
        <filterColumn colId="0">
          <customFilters>
            <customFilter val="SM_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B79EDE-4FAD-4EBB-BD4C-8F1691662E8F}" name="PivotTable5" cacheId="19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P1:Q7" firstHeaderRow="1" firstDataRow="1" firstDataCol="1"/>
  <pivotFields count="23">
    <pivotField showAll="0"/>
    <pivotField showAll="0"/>
    <pivotField axis="axisRow" showAll="0">
      <items count="749">
        <item m="1" x="228"/>
        <item m="1" x="234"/>
        <item m="1" x="435"/>
        <item m="1" x="696"/>
        <item x="5"/>
        <item m="1" x="276"/>
        <item m="1" x="215"/>
        <item m="1" x="272"/>
        <item m="1" x="121"/>
        <item m="1" x="123"/>
        <item m="1" x="391"/>
        <item m="1" x="138"/>
        <item m="1" x="322"/>
        <item m="1" x="12"/>
        <item m="1" x="230"/>
        <item m="1" x="575"/>
        <item m="1" x="717"/>
        <item m="1" x="145"/>
        <item m="1" x="284"/>
        <item m="1" x="336"/>
        <item m="1" x="474"/>
        <item m="1" x="644"/>
        <item m="1" x="581"/>
        <item m="1" x="591"/>
        <item m="1" x="255"/>
        <item m="1" x="555"/>
        <item m="1" x="318"/>
        <item m="1" x="297"/>
        <item m="1" x="242"/>
        <item m="1" x="100"/>
        <item m="1" x="220"/>
        <item m="1" x="199"/>
        <item m="1" x="412"/>
        <item m="1" x="606"/>
        <item m="1" x="692"/>
        <item m="1" x="184"/>
        <item m="1" x="372"/>
        <item m="1" x="42"/>
        <item m="1" x="455"/>
        <item m="1" x="351"/>
        <item m="1" x="393"/>
        <item m="1" x="307"/>
        <item m="1" x="227"/>
        <item m="1" x="451"/>
        <item m="1" x="332"/>
        <item m="1" x="466"/>
        <item m="1" x="96"/>
        <item m="1" x="737"/>
        <item m="1" x="740"/>
        <item m="1" x="680"/>
        <item m="1" x="685"/>
        <item m="1" x="550"/>
        <item m="1" x="677"/>
        <item m="1" x="58"/>
        <item m="1" x="71"/>
        <item m="1" x="663"/>
        <item m="1" x="117"/>
        <item m="1" x="664"/>
        <item m="1" x="249"/>
        <item m="1" x="478"/>
        <item m="1" x="25"/>
        <item m="1" x="576"/>
        <item m="1" x="66"/>
        <item m="1" x="738"/>
        <item m="1" x="564"/>
        <item m="1" x="51"/>
        <item m="1" x="734"/>
        <item m="1" x="73"/>
        <item m="1" x="722"/>
        <item m="1" x="153"/>
        <item m="1" x="116"/>
        <item m="1" x="642"/>
        <item m="1" x="361"/>
        <item m="1" x="359"/>
        <item m="1" x="364"/>
        <item m="1" x="169"/>
        <item m="1" x="170"/>
        <item m="1" x="125"/>
        <item m="1" x="128"/>
        <item m="1" x="195"/>
        <item m="1" x="130"/>
        <item m="1" x="458"/>
        <item m="1" x="601"/>
        <item m="1" x="602"/>
        <item m="1" x="608"/>
        <item m="1" x="586"/>
        <item m="1" x="590"/>
        <item m="1" x="595"/>
        <item m="1" x="526"/>
        <item m="1" x="513"/>
        <item m="1" x="521"/>
        <item m="1" x="497"/>
        <item m="1" x="501"/>
        <item m="1" x="669"/>
        <item m="1" x="671"/>
        <item m="1" x="654"/>
        <item m="1" x="659"/>
        <item m="1" x="662"/>
        <item m="1" x="560"/>
        <item m="1" x="636"/>
        <item m="1" x="640"/>
        <item m="1" x="646"/>
        <item m="1" x="617"/>
        <item m="1" x="621"/>
        <item m="1" x="627"/>
        <item m="1" x="557"/>
        <item m="1" x="545"/>
        <item m="1" x="699"/>
        <item m="1" x="710"/>
        <item m="1" x="686"/>
        <item m="1" x="736"/>
        <item m="1" x="619"/>
        <item m="1" x="691"/>
        <item m="1" x="430"/>
        <item m="1" x="385"/>
        <item m="1" x="331"/>
        <item m="1" x="294"/>
        <item m="1" x="355"/>
        <item m="1" x="379"/>
        <item m="1" x="362"/>
        <item m="1" x="266"/>
        <item m="1" x="247"/>
        <item m="1" x="269"/>
        <item m="1" x="525"/>
        <item m="1" x="422"/>
        <item m="1" x="241"/>
        <item m="1" x="481"/>
        <item m="1" x="508"/>
        <item m="1" x="9"/>
        <item m="1" x="507"/>
        <item m="1" x="450"/>
        <item m="1" x="367"/>
        <item m="1" x="524"/>
        <item m="1" x="743"/>
        <item m="1" x="193"/>
        <item m="1" x="278"/>
        <item m="1" x="354"/>
        <item m="1" x="417"/>
        <item m="1" x="11"/>
        <item m="1" x="289"/>
        <item m="1" x="482"/>
        <item m="1" x="712"/>
        <item m="1" x="31"/>
        <item m="1" x="34"/>
        <item m="1" x="21"/>
        <item m="1" x="667"/>
        <item m="1" x="440"/>
        <item m="1" x="599"/>
        <item m="1" x="168"/>
        <item m="1" x="30"/>
        <item m="1" x="88"/>
        <item m="1" x="68"/>
        <item m="1" x="129"/>
        <item m="1" x="180"/>
        <item m="1" x="460"/>
        <item m="1" x="146"/>
        <item m="1" x="112"/>
        <item m="1" x="594"/>
        <item m="1" x="715"/>
        <item m="1" x="539"/>
        <item m="1" x="378"/>
        <item m="1" x="45"/>
        <item m="1" x="446"/>
        <item m="1" x="118"/>
        <item m="1" x="472"/>
        <item m="1" x="707"/>
        <item m="1" x="251"/>
        <item m="1" x="416"/>
        <item m="1" x="568"/>
        <item m="1" x="161"/>
        <item m="1" x="600"/>
        <item m="1" x="476"/>
        <item m="1" x="296"/>
        <item m="1" x="498"/>
        <item m="1" x="445"/>
        <item m="1" x="499"/>
        <item m="1" x="494"/>
        <item m="1" x="47"/>
        <item m="1" x="163"/>
        <item m="1" x="607"/>
        <item m="1" x="194"/>
        <item m="1" x="504"/>
        <item m="1" x="216"/>
        <item m="1" x="7"/>
        <item m="1" x="262"/>
        <item m="1" x="6"/>
        <item m="1" x="371"/>
        <item m="1" x="348"/>
        <item m="1" x="505"/>
        <item m="1" x="439"/>
        <item m="1" x="151"/>
        <item m="1" x="204"/>
        <item m="1" x="618"/>
        <item m="1" x="365"/>
        <item m="1" x="67"/>
        <item m="1" x="308"/>
        <item m="1" x="727"/>
        <item m="1" x="726"/>
        <item m="1" x="224"/>
        <item m="1" x="264"/>
        <item m="1" x="221"/>
        <item m="1" x="347"/>
        <item m="1" x="713"/>
        <item m="1" x="321"/>
        <item m="1" x="327"/>
        <item m="1" x="588"/>
        <item m="1" x="259"/>
        <item m="1" x="633"/>
        <item m="1" x="657"/>
        <item m="1" x="711"/>
        <item m="1" x="723"/>
        <item m="1" x="28"/>
        <item m="1" x="616"/>
        <item m="1" x="592"/>
        <item m="1" x="728"/>
        <item m="1" x="656"/>
        <item m="1" x="624"/>
        <item m="1" x="661"/>
        <item m="1" x="733"/>
        <item m="1" x="293"/>
        <item m="1" x="456"/>
        <item m="1" x="684"/>
        <item m="1" x="271"/>
        <item m="1" x="411"/>
        <item m="1" x="421"/>
        <item m="1" x="463"/>
        <item m="1" x="198"/>
        <item m="1" x="742"/>
        <item m="1" x="288"/>
        <item m="1" x="298"/>
        <item m="1" x="679"/>
        <item m="1" x="217"/>
        <item m="1" x="535"/>
        <item m="1" x="553"/>
        <item m="1" x="77"/>
        <item m="1" x="431"/>
        <item m="1" x="182"/>
        <item m="1" x="509"/>
        <item m="1" x="239"/>
        <item m="1" x="37"/>
        <item m="1" x="556"/>
        <item m="1" x="299"/>
        <item m="1" x="319"/>
        <item m="1" x="287"/>
        <item m="1" x="301"/>
        <item m="1" x="277"/>
        <item m="1" x="256"/>
        <item m="1" x="244"/>
        <item m="1" x="252"/>
        <item m="1" x="323"/>
        <item m="1" x="314"/>
        <item m="1" x="329"/>
        <item m="1" x="304"/>
        <item m="1" x="286"/>
        <item m="1" x="285"/>
        <item m="1" x="267"/>
        <item m="1" x="281"/>
        <item m="1" x="344"/>
        <item m="1" x="330"/>
        <item m="1" x="313"/>
        <item m="1" x="295"/>
        <item m="1" x="292"/>
        <item m="1" x="380"/>
        <item m="1" x="106"/>
        <item m="1" x="577"/>
        <item m="1" x="578"/>
        <item m="1" x="580"/>
        <item m="1" x="335"/>
        <item m="1" x="240"/>
        <item m="1" x="350"/>
        <item m="1" x="75"/>
        <item m="1" x="265"/>
        <item m="1" x="358"/>
        <item m="1" x="360"/>
        <item m="1" x="312"/>
        <item m="1" x="306"/>
        <item m="1" x="340"/>
        <item m="1" x="374"/>
        <item m="1" x="690"/>
        <item m="1" x="32"/>
        <item m="1" x="232"/>
        <item m="1" x="511"/>
        <item m="1" x="634"/>
        <item m="1" x="23"/>
        <item m="1" x="237"/>
        <item m="1" x="141"/>
        <item m="1" x="730"/>
        <item m="1" x="99"/>
        <item m="1" x="384"/>
        <item m="1" x="114"/>
        <item m="1" x="356"/>
        <item m="1" x="516"/>
        <item m="1" x="157"/>
        <item m="1" x="97"/>
        <item m="1" x="150"/>
        <item m="1" x="257"/>
        <item m="1" x="132"/>
        <item m="1" x="108"/>
        <item m="1" x="200"/>
        <item m="1" x="701"/>
        <item m="1" x="558"/>
        <item m="1" x="649"/>
        <item m="1" x="17"/>
        <item m="1" x="80"/>
        <item m="1" x="442"/>
        <item m="1" x="647"/>
        <item m="1" x="531"/>
        <item m="1" x="538"/>
        <item m="1" x="377"/>
        <item m="1" x="44"/>
        <item m="1" x="532"/>
        <item m="1" x="152"/>
        <item m="1" x="309"/>
        <item m="1" x="506"/>
        <item m="1" x="18"/>
        <item m="1" x="57"/>
        <item m="1" x="274"/>
        <item m="1" x="280"/>
        <item m="1" x="716"/>
        <item m="1" x="444"/>
        <item m="1" x="448"/>
        <item m="1" x="523"/>
        <item m="1" x="177"/>
        <item m="1" x="86"/>
        <item m="1" x="219"/>
        <item m="1" x="479"/>
        <item m="1" x="69"/>
        <item m="1" x="529"/>
        <item m="1" x="254"/>
        <item m="1" x="571"/>
        <item m="1" x="573"/>
        <item m="1" x="149"/>
        <item m="1" x="403"/>
        <item m="1" x="76"/>
        <item m="1" x="115"/>
        <item m="1" x="87"/>
        <item m="1" x="390"/>
        <item m="1" x="72"/>
        <item m="1" x="353"/>
        <item m="1" x="670"/>
        <item m="1" x="41"/>
        <item m="1" x="467"/>
        <item m="1" x="401"/>
        <item m="1" x="433"/>
        <item m="1" x="60"/>
        <item m="1" x="637"/>
        <item m="1" x="206"/>
        <item m="1" x="140"/>
        <item m="1" x="148"/>
        <item m="1" x="179"/>
        <item m="1" x="610"/>
        <item m="1" x="527"/>
        <item m="1" x="665"/>
        <item m="1" x="700"/>
        <item m="1" x="387"/>
        <item m="1" x="593"/>
        <item m="1" x="126"/>
        <item m="1" x="579"/>
        <item m="1" x="178"/>
        <item m="1" x="522"/>
        <item m="1" x="134"/>
        <item m="1" x="246"/>
        <item m="1" x="107"/>
        <item m="1" x="668"/>
        <item m="1" x="735"/>
        <item m="1" x="90"/>
        <item m="1" x="212"/>
        <item m="1" x="158"/>
        <item m="1" x="205"/>
        <item m="1" x="209"/>
        <item m="1" x="368"/>
        <item m="1" x="186"/>
        <item m="1" x="238"/>
        <item m="1" x="26"/>
        <item m="1" x="598"/>
        <item m="1" x="92"/>
        <item m="1" x="70"/>
        <item m="1" x="139"/>
        <item m="1" x="136"/>
        <item m="1" x="492"/>
        <item m="1" x="694"/>
        <item m="1" x="493"/>
        <item m="1" x="695"/>
        <item m="1" x="370"/>
        <item m="1" x="714"/>
        <item m="1" x="213"/>
        <item m="1" x="518"/>
        <item m="1" x="469"/>
        <item m="1" x="457"/>
        <item m="1" x="373"/>
        <item m="1" x="583"/>
        <item m="1" x="13"/>
        <item m="1" x="95"/>
        <item m="1" x="548"/>
        <item m="1" x="283"/>
        <item m="1" x="724"/>
        <item m="1" x="8"/>
        <item m="1" x="305"/>
        <item m="1" x="596"/>
        <item m="1" x="40"/>
        <item m="1" x="402"/>
        <item m="1" x="584"/>
        <item m="1" x="407"/>
        <item m="1" x="226"/>
        <item m="1" x="167"/>
        <item m="1" x="270"/>
        <item m="1" x="366"/>
        <item m="1" x="413"/>
        <item m="1" x="603"/>
        <item m="1" x="127"/>
        <item m="1" x="135"/>
        <item m="1" x="483"/>
        <item m="1" x="273"/>
        <item m="1" x="570"/>
        <item m="1" x="63"/>
        <item m="1" x="683"/>
        <item m="1" x="109"/>
        <item m="1" x="105"/>
        <item m="1" x="46"/>
        <item m="1" x="604"/>
        <item m="1" x="638"/>
        <item m="1" x="632"/>
        <item m="1" x="275"/>
        <item m="1" x="290"/>
        <item m="1" x="502"/>
        <item m="1" x="630"/>
        <item m="1" x="530"/>
        <item m="1" x="587"/>
        <item m="1" x="572"/>
        <item m="1" x="563"/>
        <item m="1" x="551"/>
        <item m="1" x="528"/>
        <item m="1" x="533"/>
        <item m="1" x="719"/>
        <item m="1" x="648"/>
        <item m="1" x="631"/>
        <item m="1" x="36"/>
        <item m="1" x="477"/>
        <item m="1" x="512"/>
        <item x="0"/>
        <item x="1"/>
        <item x="2"/>
        <item x="3"/>
        <item x="4"/>
        <item m="1" x="375"/>
        <item m="1" x="110"/>
        <item m="1" x="386"/>
        <item m="1" x="414"/>
        <item m="1" x="236"/>
        <item m="1" x="453"/>
        <item m="1" x="338"/>
        <item m="1" x="406"/>
        <item m="1" x="673"/>
        <item m="1" x="397"/>
        <item m="1" x="183"/>
        <item m="1" x="84"/>
        <item m="1" x="302"/>
        <item m="1" x="552"/>
        <item m="1" x="589"/>
        <item m="1" x="303"/>
        <item m="1" x="119"/>
        <item m="1" x="245"/>
        <item m="1" x="565"/>
        <item m="1" x="268"/>
        <item m="1" x="698"/>
        <item m="1" x="709"/>
        <item m="1" x="363"/>
        <item m="1" x="705"/>
        <item m="1" x="503"/>
        <item m="1" x="566"/>
        <item m="1" x="415"/>
        <item m="1" x="420"/>
        <item m="1" x="423"/>
        <item m="1" x="425"/>
        <item m="1" x="429"/>
        <item m="1" x="197"/>
        <item m="1" x="316"/>
        <item m="1" x="745"/>
        <item m="1" x="50"/>
        <item m="1" x="676"/>
        <item m="1" x="124"/>
        <item m="1" x="98"/>
        <item m="1" x="279"/>
        <item m="1" x="320"/>
        <item m="1" x="328"/>
        <item m="1" x="133"/>
        <item m="1" x="14"/>
        <item m="1" x="609"/>
        <item m="1" x="718"/>
        <item m="1" x="113"/>
        <item m="1" x="339"/>
        <item m="1" x="605"/>
        <item m="1" x="500"/>
        <item m="1" x="260"/>
        <item m="1" x="405"/>
        <item m="1" x="490"/>
        <item m="1" x="427"/>
        <item m="1" x="703"/>
        <item m="1" x="641"/>
        <item m="1" x="62"/>
        <item m="1" x="65"/>
        <item m="1" x="693"/>
        <item m="1" x="628"/>
        <item m="1" x="38"/>
        <item m="1" x="54"/>
        <item m="1" x="164"/>
        <item m="1" x="400"/>
        <item m="1" x="484"/>
        <item m="1" x="383"/>
        <item m="1" x="19"/>
        <item m="1" x="192"/>
        <item m="1" x="549"/>
        <item m="1" x="187"/>
        <item m="1" x="468"/>
        <item m="1" x="480"/>
        <item m="1" x="725"/>
        <item m="1" x="404"/>
        <item m="1" x="612"/>
        <item m="1" x="729"/>
        <item m="1" x="519"/>
        <item m="1" x="546"/>
        <item m="1" x="747"/>
        <item m="1" x="258"/>
        <item m="1" x="376"/>
        <item m="1" x="250"/>
        <item m="1" x="189"/>
        <item m="1" x="396"/>
        <item m="1" x="229"/>
        <item m="1" x="282"/>
        <item m="1" x="188"/>
        <item m="1" x="222"/>
        <item m="1" x="24"/>
        <item m="1" x="443"/>
        <item m="1" x="464"/>
        <item m="1" x="540"/>
        <item m="1" x="542"/>
        <item m="1" x="214"/>
        <item m="1" x="485"/>
        <item m="1" x="454"/>
        <item m="1" x="310"/>
        <item m="1" x="208"/>
        <item m="1" x="196"/>
        <item m="1" x="190"/>
        <item m="1" x="171"/>
        <item m="1" x="218"/>
        <item m="1" x="352"/>
        <item m="1" x="650"/>
        <item m="1" x="660"/>
        <item m="1" x="381"/>
        <item m="1" x="399"/>
        <item m="1" x="520"/>
        <item m="1" x="39"/>
        <item m="1" x="658"/>
        <item m="1" x="48"/>
        <item m="1" x="392"/>
        <item m="1" x="426"/>
        <item m="1" x="326"/>
        <item m="1" x="398"/>
        <item m="1" x="317"/>
        <item m="1" x="517"/>
        <item m="1" x="582"/>
        <item m="1" x="547"/>
        <item m="1" x="681"/>
        <item m="1" x="689"/>
        <item m="1" x="611"/>
        <item m="1" x="741"/>
        <item m="1" x="613"/>
        <item m="1" x="635"/>
        <item m="1" x="410"/>
        <item m="1" x="311"/>
        <item m="1" x="315"/>
        <item m="1" x="122"/>
        <item m="1" x="428"/>
        <item m="1" x="155"/>
        <item m="1" x="561"/>
        <item m="1" x="744"/>
        <item m="1" x="52"/>
        <item m="1" x="300"/>
        <item m="1" x="56"/>
        <item m="1" x="536"/>
        <item m="1" x="357"/>
        <item m="1" x="137"/>
        <item m="1" x="211"/>
        <item m="1" x="409"/>
        <item m="1" x="15"/>
        <item m="1" x="231"/>
        <item m="1" x="434"/>
        <item m="1" x="475"/>
        <item m="1" x="29"/>
        <item m="1" x="172"/>
        <item m="1" x="739"/>
        <item m="1" x="731"/>
        <item m="1" x="534"/>
        <item m="1" x="569"/>
        <item m="1" x="597"/>
        <item m="1" x="746"/>
        <item m="1" x="639"/>
        <item m="1" x="102"/>
        <item m="1" x="687"/>
        <item m="1" x="16"/>
        <item m="1" x="653"/>
        <item m="1" x="704"/>
        <item m="1" x="91"/>
        <item m="1" x="81"/>
        <item m="1" x="515"/>
        <item m="1" x="83"/>
        <item m="1" x="462"/>
        <item m="1" x="233"/>
        <item m="1" x="333"/>
        <item m="1" x="449"/>
        <item m="1" x="89"/>
        <item m="1" x="162"/>
        <item m="1" x="154"/>
        <item m="1" x="243"/>
        <item m="1" x="645"/>
        <item m="1" x="708"/>
        <item m="1" x="643"/>
        <item m="1" x="655"/>
        <item m="1" x="674"/>
        <item m="1" x="682"/>
        <item m="1" x="706"/>
        <item m="1" x="720"/>
        <item m="1" x="27"/>
        <item m="1" x="33"/>
        <item m="1" x="615"/>
        <item m="1" x="93"/>
        <item m="1" x="543"/>
        <item m="1" x="43"/>
        <item m="1" x="651"/>
        <item m="1" x="111"/>
        <item m="1" x="732"/>
        <item m="1" x="369"/>
        <item m="1" x="465"/>
        <item m="1" x="22"/>
        <item m="1" x="574"/>
        <item m="1" x="143"/>
        <item m="1" x="165"/>
        <item m="1" x="131"/>
        <item m="1" x="156"/>
        <item m="1" x="176"/>
        <item m="1" x="185"/>
        <item m="1" x="248"/>
        <item m="1" x="585"/>
        <item m="1" x="688"/>
        <item m="1" x="567"/>
        <item m="1" x="666"/>
        <item m="1" x="537"/>
        <item m="1" x="175"/>
        <item m="1" x="721"/>
        <item m="1" x="53"/>
        <item m="1" x="120"/>
        <item m="1" x="223"/>
        <item m="1" x="103"/>
        <item m="1" x="394"/>
        <item m="1" x="101"/>
        <item m="1" x="395"/>
        <item m="1" x="253"/>
        <item m="1" x="201"/>
        <item m="1" x="495"/>
        <item m="1" x="202"/>
        <item m="1" x="341"/>
        <item m="1" x="225"/>
        <item m="1" x="20"/>
        <item m="1" x="147"/>
        <item m="1" x="678"/>
        <item m="1" x="49"/>
        <item m="1" x="702"/>
        <item m="1" x="496"/>
        <item m="1" x="491"/>
        <item m="1" x="432"/>
        <item m="1" x="510"/>
        <item m="1" x="447"/>
        <item m="1" x="207"/>
        <item m="1" x="488"/>
        <item m="1" x="408"/>
        <item m="1" x="210"/>
        <item m="1" x="291"/>
        <item m="1" x="173"/>
        <item m="1" x="349"/>
        <item m="1" x="441"/>
        <item m="1" x="514"/>
        <item m="1" x="419"/>
        <item m="1" x="554"/>
        <item m="1" x="174"/>
        <item m="1" x="559"/>
        <item m="1" x="35"/>
        <item m="1" x="94"/>
        <item m="1" x="544"/>
        <item m="1" x="652"/>
        <item m="1" x="614"/>
        <item m="1" x="424"/>
        <item m="1" x="144"/>
        <item m="1" x="64"/>
        <item m="1" x="203"/>
        <item m="1" x="342"/>
        <item m="1" x="675"/>
        <item m="1" x="388"/>
        <item m="1" x="389"/>
        <item m="1" x="104"/>
        <item m="1" x="159"/>
        <item m="1" x="461"/>
        <item m="1" x="235"/>
        <item m="1" x="166"/>
        <item m="1" x="61"/>
        <item m="1" x="10"/>
        <item m="1" x="697"/>
        <item m="1" x="459"/>
        <item m="1" x="622"/>
        <item m="1" x="334"/>
        <item m="1" x="452"/>
        <item m="1" x="382"/>
        <item m="1" x="142"/>
        <item m="1" x="191"/>
        <item m="1" x="59"/>
        <item m="1" x="489"/>
        <item m="1" x="418"/>
        <item m="1" x="672"/>
        <item m="1" x="74"/>
        <item m="1" x="78"/>
        <item m="1" x="261"/>
        <item m="1" x="79"/>
        <item m="1" x="263"/>
        <item m="1" x="82"/>
        <item m="1" x="85"/>
        <item m="1" x="625"/>
        <item m="1" x="473"/>
        <item m="1" x="337"/>
        <item m="1" x="436"/>
        <item m="1" x="343"/>
        <item m="1" x="437"/>
        <item m="1" x="345"/>
        <item m="1" x="346"/>
        <item m="1" x="181"/>
        <item m="1" x="562"/>
        <item m="1" x="620"/>
        <item m="1" x="470"/>
        <item m="1" x="623"/>
        <item m="1" x="471"/>
        <item m="1" x="626"/>
        <item m="1" x="629"/>
        <item m="1" x="438"/>
        <item m="1" x="160"/>
        <item m="1" x="324"/>
        <item m="1" x="486"/>
        <item m="1" x="325"/>
        <item m="1" x="487"/>
        <item m="1" x="541"/>
        <item m="1" x="5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 v="439"/>
    </i>
    <i>
      <x v="440"/>
    </i>
    <i>
      <x v="441"/>
    </i>
    <i>
      <x v="442"/>
    </i>
    <i>
      <x v="443"/>
    </i>
    <i t="grand">
      <x/>
    </i>
  </rowItems>
  <colItems count="1">
    <i/>
  </colItems>
  <dataFields count="1">
    <dataField name="Sum of Expected Qty" fld="7" baseField="0" baseItem="0"/>
  </dataFields>
  <pivotTableStyleInfo name="PivotStyleLight16" showRowHeaders="1" showColHeaders="1" showRowStripes="0" showColStripes="0" showLastColumn="1"/>
  <filters count="1">
    <filter fld="2" type="captionBeginsWith" evalOrder="-1" id="1" stringValue1="SM_">
      <autoFilter ref="A1">
        <filterColumn colId="0">
          <customFilters>
            <customFilter val="SM_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377907-F9FF-4EF7-98ED-36AD524AEB1E}" name="PivotTable2" cacheId="18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C65" firstHeaderRow="1" firstDataRow="1" firstDataCol="2"/>
  <pivotFields count="23"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524">
        <item m="1" x="237"/>
        <item m="1" x="7"/>
        <item m="1" x="171"/>
        <item m="1" x="413"/>
        <item m="1" x="400"/>
        <item x="6"/>
        <item m="1" x="154"/>
        <item m="1" x="481"/>
        <item m="1" x="512"/>
        <item m="1" x="466"/>
        <item m="1" x="188"/>
        <item m="1" x="219"/>
        <item m="1" x="352"/>
        <item m="1" x="316"/>
        <item m="1" x="59"/>
        <item m="1" x="261"/>
        <item m="1" x="301"/>
        <item m="1" x="456"/>
        <item m="1" x="12"/>
        <item m="1" x="461"/>
        <item m="1" x="482"/>
        <item m="1" x="156"/>
        <item m="1" x="161"/>
        <item m="1" x="84"/>
        <item m="1" x="21"/>
        <item m="1" x="511"/>
        <item m="1" x="419"/>
        <item m="1" x="243"/>
        <item m="1" x="223"/>
        <item m="1" x="92"/>
        <item m="1" x="74"/>
        <item m="1" x="230"/>
        <item m="1" x="380"/>
        <item m="1" x="497"/>
        <item m="1" x="505"/>
        <item m="1" x="452"/>
        <item m="1" x="76"/>
        <item m="1" x="471"/>
        <item m="1" x="18"/>
        <item m="1" x="281"/>
        <item m="1" x="87"/>
        <item m="1" x="418"/>
        <item m="1" x="342"/>
        <item m="1" x="484"/>
        <item m="1" x="386"/>
        <item m="1" x="11"/>
        <item m="1" x="431"/>
        <item m="1" x="514"/>
        <item m="1" x="377"/>
        <item m="1" x="40"/>
        <item m="1" x="68"/>
        <item m="1" x="521"/>
        <item m="1" x="9"/>
        <item m="1" x="170"/>
        <item m="1" x="415"/>
        <item m="1" x="329"/>
        <item m="1" x="180"/>
        <item m="1" x="276"/>
        <item m="1" x="324"/>
        <item m="1" x="287"/>
        <item m="1" x="486"/>
        <item m="1" x="440"/>
        <item m="1" x="47"/>
        <item m="1" x="48"/>
        <item m="1" x="479"/>
        <item m="1" x="428"/>
        <item m="1" x="30"/>
        <item m="1" x="43"/>
        <item m="1" x="109"/>
        <item m="1" x="77"/>
        <item m="1" x="272"/>
        <item m="1" x="321"/>
        <item m="1" x="409"/>
        <item m="1" x="310"/>
        <item m="1" x="113"/>
        <item m="1" x="259"/>
        <item m="1" x="17"/>
        <item m="1" x="132"/>
        <item m="1" x="367"/>
        <item m="1" x="128"/>
        <item m="1" x="501"/>
        <item m="1" x="39"/>
        <item m="1" x="262"/>
        <item m="1" x="311"/>
        <item m="1" x="49"/>
        <item m="1" x="407"/>
        <item m="1" x="100"/>
        <item m="1" x="78"/>
        <item m="1" x="319"/>
        <item m="1" x="397"/>
        <item m="1" x="502"/>
        <item m="1" x="28"/>
        <item m="1" x="65"/>
        <item m="1" x="52"/>
        <item m="1" x="91"/>
        <item m="1" x="437"/>
        <item m="1" x="320"/>
        <item m="1" x="405"/>
        <item m="1" x="335"/>
        <item m="1" x="336"/>
        <item m="1" x="163"/>
        <item m="1" x="29"/>
        <item m="1" x="67"/>
        <item m="1" x="334"/>
        <item m="1" x="315"/>
        <item m="1" x="410"/>
        <item m="1" x="162"/>
        <item m="1" x="194"/>
        <item m="1" x="177"/>
        <item m="1" x="292"/>
        <item m="1" x="72"/>
        <item m="1" x="387"/>
        <item m="1" x="388"/>
        <item m="1" x="390"/>
        <item m="1" x="275"/>
        <item m="1" x="421"/>
        <item m="1" x="253"/>
        <item m="1" x="317"/>
        <item m="1" x="298"/>
        <item m="1" x="450"/>
        <item m="1" x="304"/>
        <item m="1" x="506"/>
        <item m="1" x="121"/>
        <item m="1" x="389"/>
        <item m="1" x="347"/>
        <item m="1" x="236"/>
        <item m="1" x="174"/>
        <item m="1" x="102"/>
        <item m="1" x="282"/>
        <item m="1" x="492"/>
        <item m="1" x="123"/>
        <item m="1" x="25"/>
        <item m="1" x="61"/>
        <item m="1" x="51"/>
        <item m="1" x="89"/>
        <item m="1" x="305"/>
        <item m="1" x="73"/>
        <item m="1" x="393"/>
        <item m="1" x="401"/>
        <item m="1" x="365"/>
        <item m="1" x="368"/>
        <item m="1" x="477"/>
        <item m="1" x="26"/>
        <item m="1" x="344"/>
        <item m="1" x="523"/>
        <item m="1" x="178"/>
        <item m="1" x="254"/>
        <item m="1" x="172"/>
        <item m="1" x="130"/>
        <item m="1" x="268"/>
        <item m="1" x="157"/>
        <item m="1" x="189"/>
        <item m="1" x="129"/>
        <item m="1" x="151"/>
        <item m="1" x="20"/>
        <item m="1" x="295"/>
        <item m="1" x="307"/>
        <item m="1" x="361"/>
        <item m="1" x="210"/>
        <item m="1" x="464"/>
        <item m="1" x="269"/>
        <item x="1"/>
        <item x="0"/>
        <item m="1" x="15"/>
        <item m="1" x="56"/>
        <item m="1" x="331"/>
        <item m="1" x="283"/>
        <item m="1" x="399"/>
        <item m="1" x="175"/>
        <item m="1" x="459"/>
        <item m="1" x="99"/>
        <item m="1" x="122"/>
        <item m="1" x="351"/>
        <item m="1" x="362"/>
        <item m="1" x="50"/>
        <item m="1" x="312"/>
        <item m="1" x="145"/>
        <item m="1" x="396"/>
        <item m="1" x="322"/>
        <item m="1" x="490"/>
        <item m="1" x="79"/>
        <item m="1" x="207"/>
        <item m="1" x="136"/>
        <item m="1" x="149"/>
        <item m="1" x="485"/>
        <item m="1" x="135"/>
        <item m="1" x="302"/>
        <item m="1" x="55"/>
        <item m="1" x="141"/>
        <item m="1" x="134"/>
        <item m="1" x="131"/>
        <item m="1" x="115"/>
        <item m="1" x="241"/>
        <item m="1" x="462"/>
        <item m="1" x="148"/>
        <item m="1" x="426"/>
        <item m="1" x="446"/>
        <item m="1" x="455"/>
        <item m="1" x="258"/>
        <item m="1" x="271"/>
        <item m="1" x="345"/>
        <item m="1" x="45"/>
        <item m="1" x="235"/>
        <item m="1" x="164"/>
        <item m="1" x="183"/>
        <item m="1" x="182"/>
        <item m="1" x="264"/>
        <item m="1" x="54"/>
        <item m="1" x="257"/>
        <item m="1" x="216"/>
        <item m="1" x="411"/>
        <item m="1" x="398"/>
        <item m="1" x="404"/>
        <item m="1" x="350"/>
        <item m="1" x="353"/>
        <item m="1" x="343"/>
        <item m="1" x="346"/>
        <item m="1" x="330"/>
        <item m="1" x="454"/>
        <item m="1" x="457"/>
        <item m="1" x="392"/>
        <item m="1" x="395"/>
        <item m="1" x="439"/>
        <item m="1" x="424"/>
        <item m="1" x="427"/>
        <item m="1" x="376"/>
        <item m="1" x="364"/>
        <item m="1" x="366"/>
        <item m="1" x="469"/>
        <item m="1" x="476"/>
        <item m="1" x="420"/>
        <item m="1" x="513"/>
        <item m="1" x="517"/>
        <item m="1" x="430"/>
        <item m="1" x="422"/>
        <item m="1" x="434"/>
        <item m="1" x="435"/>
        <item m="1" x="483"/>
        <item m="1" x="417"/>
        <item m="1" x="444"/>
        <item m="1" x="449"/>
        <item m="1" x="463"/>
        <item m="1" x="198"/>
        <item m="1" x="289"/>
        <item m="1" x="260"/>
        <item m="1" x="226"/>
        <item m="1" x="252"/>
        <item m="1" x="277"/>
        <item m="1" x="425"/>
        <item m="1" x="429"/>
        <item m="1" x="480"/>
        <item m="1" x="266"/>
        <item m="1" x="240"/>
        <item m="1" x="245"/>
        <item m="1" x="146"/>
        <item m="1" x="81"/>
        <item m="1" x="83"/>
        <item m="1" x="86"/>
        <item m="1" x="114"/>
        <item m="1" x="88"/>
        <item m="1" x="85"/>
        <item m="1" x="184"/>
        <item m="1" x="185"/>
        <item m="1" x="93"/>
        <item m="1" x="124"/>
        <item m="1" x="286"/>
        <item m="1" x="516"/>
        <item m="1" x="518"/>
        <item m="1" x="285"/>
        <item m="1" x="267"/>
        <item m="1" x="222"/>
        <item m="1" x="270"/>
        <item m="1" x="36"/>
        <item m="1" x="414"/>
        <item m="1" x="31"/>
        <item m="1" x="453"/>
        <item m="1" x="337"/>
        <item m="1" x="496"/>
        <item m="1" x="327"/>
        <item m="1" x="354"/>
        <item m="1" x="355"/>
        <item m="1" x="38"/>
        <item m="1" x="478"/>
        <item m="1" x="125"/>
        <item m="1" x="250"/>
        <item m="1" x="32"/>
        <item m="1" x="303"/>
        <item m="1" x="265"/>
        <item m="1" x="338"/>
        <item m="1" x="468"/>
        <item m="1" x="472"/>
        <item m="1" x="473"/>
        <item m="1" x="467"/>
        <item m="1" x="372"/>
        <item m="1" x="488"/>
        <item m="1" x="318"/>
        <item m="1" x="158"/>
        <item m="1" x="332"/>
        <item m="1" x="280"/>
        <item m="1" x="144"/>
        <item m="1" x="211"/>
        <item m="1" x="215"/>
        <item m="1" x="190"/>
        <item m="1" x="195"/>
        <item m="1" x="173"/>
        <item m="1" x="179"/>
        <item m="1" x="432"/>
        <item m="1" x="416"/>
        <item m="1" x="328"/>
        <item m="1" x="494"/>
        <item m="1" x="101"/>
        <item m="1" x="82"/>
        <item m="1" x="436"/>
        <item m="1" x="309"/>
        <item m="1" x="273"/>
        <item m="1" x="263"/>
        <item m="1" x="370"/>
        <item m="1" x="290"/>
        <item m="1" x="495"/>
        <item m="1" x="98"/>
        <item m="1" x="191"/>
        <item m="1" x="229"/>
        <item m="1" x="442"/>
        <item m="1" x="391"/>
        <item m="1" x="293"/>
        <item m="1" x="139"/>
        <item m="1" x="510"/>
        <item m="1" x="325"/>
        <item m="1" x="53"/>
        <item m="1" x="333"/>
        <item m="1" x="288"/>
        <item m="1" x="105"/>
        <item m="1" x="150"/>
        <item m="1" x="300"/>
        <item m="1" x="153"/>
        <item m="1" x="181"/>
        <item m="1" x="375"/>
        <item m="1" x="246"/>
        <item m="1" x="349"/>
        <item m="1" x="519"/>
        <item m="1" x="187"/>
        <item m="1" x="520"/>
        <item m="1" x="41"/>
        <item m="1" x="238"/>
        <item m="1" x="203"/>
        <item m="1" x="44"/>
        <item m="1" x="209"/>
        <item m="1" x="138"/>
        <item m="1" x="112"/>
        <item m="1" x="200"/>
        <item m="1" x="69"/>
        <item m="1" x="201"/>
        <item m="1" x="165"/>
        <item m="1" x="95"/>
        <item m="1" x="220"/>
        <item m="1" x="402"/>
        <item m="1" x="37"/>
        <item m="1" x="385"/>
        <item m="1" x="103"/>
        <item m="1" x="168"/>
        <item m="1" x="111"/>
        <item m="1" x="357"/>
        <item m="1" x="147"/>
        <item m="1" x="127"/>
        <item m="1" x="155"/>
        <item m="1" x="228"/>
        <item m="1" x="202"/>
        <item m="1" x="218"/>
        <item m="1" x="193"/>
        <item m="1" x="204"/>
        <item m="1" x="186"/>
        <item m="1" x="176"/>
        <item m="1" x="167"/>
        <item m="1" x="221"/>
        <item m="1" x="234"/>
        <item m="1" x="214"/>
        <item m="1" x="224"/>
        <item m="1" x="205"/>
        <item m="1" x="192"/>
        <item m="1" x="60"/>
        <item m="1" x="239"/>
        <item m="1" x="251"/>
        <item m="1" x="231"/>
        <item m="1" x="242"/>
        <item m="1" x="225"/>
        <item m="1" x="213"/>
        <item m="1" x="212"/>
        <item m="1" x="199"/>
        <item m="1" x="206"/>
        <item m="1" x="197"/>
        <item m="1" x="137"/>
        <item m="1" x="94"/>
        <item m="1" x="348"/>
        <item m="1" x="503"/>
        <item m="1" x="107"/>
        <item m="1" x="313"/>
        <item m="1" x="143"/>
        <item m="1" x="279"/>
        <item m="1" x="46"/>
        <item m="1" x="13"/>
        <item m="1" x="8"/>
        <item m="1" x="10"/>
        <item m="1" x="22"/>
        <item m="1" x="24"/>
        <item m="1" x="247"/>
        <item m="1" x="116"/>
        <item m="1" x="64"/>
        <item m="1" x="433"/>
        <item m="1" x="159"/>
        <item m="1" x="498"/>
        <item m="1" x="508"/>
        <item m="1" x="412"/>
        <item m="1" x="356"/>
        <item m="1" x="339"/>
        <item m="1" x="326"/>
        <item m="1" x="379"/>
        <item m="1" x="382"/>
        <item m="1" x="374"/>
        <item m="1" x="371"/>
        <item m="1" x="493"/>
        <item m="1" x="406"/>
        <item m="1" x="522"/>
        <item m="1" x="445"/>
        <item m="1" x="438"/>
        <item m="1" x="403"/>
        <item m="1" x="408"/>
        <item m="1" x="291"/>
        <item m="1" x="314"/>
        <item m="1" x="341"/>
        <item m="1" x="244"/>
        <item m="1" x="515"/>
        <item m="1" x="58"/>
        <item m="1" x="306"/>
        <item m="1" x="96"/>
        <item m="1" x="70"/>
        <item m="1" x="474"/>
        <item m="1" x="14"/>
        <item m="1" x="160"/>
        <item m="1" x="227"/>
        <item m="1" x="509"/>
        <item m="1" x="507"/>
        <item m="1" x="232"/>
        <item m="1" x="255"/>
        <item m="1" x="34"/>
        <item m="1" x="35"/>
        <item m="1" x="62"/>
        <item m="1" x="108"/>
        <item m="1" x="104"/>
        <item m="1" x="166"/>
        <item m="1" x="443"/>
        <item m="1" x="491"/>
        <item m="1" x="248"/>
        <item m="1" x="63"/>
        <item m="1" x="208"/>
        <item m="1" x="308"/>
        <item m="1" x="360"/>
        <item m="1" x="256"/>
        <item m="1" x="296"/>
        <item m="1" x="448"/>
        <item m="1" x="487"/>
        <item m="1" x="57"/>
        <item m="1" x="133"/>
        <item m="1" x="16"/>
        <item m="1" x="299"/>
        <item m="1" x="381"/>
        <item m="1" x="383"/>
        <item m="1" x="441"/>
        <item m="1" x="451"/>
        <item m="1" x="465"/>
        <item m="1" x="470"/>
        <item m="1" x="489"/>
        <item m="1" x="499"/>
        <item m="1" x="23"/>
        <item m="1" x="27"/>
        <item m="1" x="423"/>
        <item m="1" x="66"/>
        <item m="1" x="363"/>
        <item m="1" x="33"/>
        <item m="1" x="447"/>
        <item m="1" x="75"/>
        <item m="1" x="19"/>
        <item m="1" x="384"/>
        <item m="1" x="97"/>
        <item m="1" x="110"/>
        <item m="1" x="90"/>
        <item m="1" x="106"/>
        <item m="1" x="120"/>
        <item m="1" x="126"/>
        <item m="1" x="169"/>
        <item m="1" x="394"/>
        <item m="1" x="475"/>
        <item m="1" x="378"/>
        <item m="1" x="460"/>
        <item m="1" x="358"/>
        <item m="1" x="119"/>
        <item m="1" x="500"/>
        <item m="1" x="42"/>
        <item m="1" x="140"/>
        <item m="1" x="217"/>
        <item m="1" x="249"/>
        <item m="1" x="323"/>
        <item m="1" x="278"/>
        <item m="1" x="142"/>
        <item m="1" x="196"/>
        <item m="1" x="117"/>
        <item m="1" x="233"/>
        <item m="1" x="294"/>
        <item m="1" x="340"/>
        <item m="1" x="284"/>
        <item m="1" x="369"/>
        <item m="1" x="118"/>
        <item m="1" x="373"/>
        <item m="1" x="274"/>
        <item m="1" x="80"/>
        <item m="1" x="152"/>
        <item m="1" x="71"/>
        <item m="1" x="359"/>
        <item m="1" x="458"/>
        <item m="1" x="504"/>
        <item m="1" x="297"/>
        <item x="2"/>
        <item x="3"/>
        <item x="4"/>
        <item x="5"/>
      </items>
    </pivotField>
    <pivotField compact="0" outline="0" subtotalTop="0" showAll="0" defaultSubtotal="0"/>
    <pivotField axis="axisRow" compact="0" outline="0" subtotalTop="0" showAll="0" measureFilter="1" defaultSubtotal="0">
      <items count="8000">
        <item x="0"/>
        <item m="1" x="7152"/>
        <item m="1" x="6462"/>
        <item m="1" x="6992"/>
        <item m="1" x="7586"/>
        <item m="1" x="219"/>
        <item m="1" x="937"/>
        <item m="1" x="1929"/>
        <item m="1" x="2972"/>
        <item m="1" x="4105"/>
        <item m="1" x="5193"/>
        <item m="1" x="6153"/>
        <item m="1" x="7249"/>
        <item m="1" x="977"/>
        <item m="1" x="1969"/>
        <item m="1" x="3014"/>
        <item m="1" x="4148"/>
        <item m="1" x="5228"/>
        <item m="1" x="6188"/>
        <item m="1" x="7288"/>
        <item m="1" x="1017"/>
        <item m="1" x="2008"/>
        <item m="1" x="4191"/>
        <item m="1" x="5270"/>
        <item m="1" x="6228"/>
        <item m="1" x="7331"/>
        <item x="62"/>
        <item m="1" x="4489"/>
        <item m="1" x="3942"/>
        <item m="1" x="3388"/>
        <item m="1" x="5503"/>
        <item m="1" x="5945"/>
        <item m="1" x="2841"/>
        <item m="1" x="2326"/>
        <item m="1" x="2365"/>
        <item m="1" x="2878"/>
        <item m="1" x="1296"/>
        <item m="1" x="1753"/>
        <item m="1" x="2233"/>
        <item m="1" x="2736"/>
        <item m="1" x="7635"/>
        <item m="1" x="252"/>
        <item m="1" x="1323"/>
        <item m="1" x="1783"/>
        <item m="1" x="2266"/>
        <item m="1" x="3324"/>
        <item m="1" x="3872"/>
        <item m="1" x="293"/>
        <item m="1" x="843"/>
        <item m="1" x="1354"/>
        <item m="1" x="4971"/>
        <item m="1" x="1385"/>
        <item m="1" x="1843"/>
        <item m="1" x="4458"/>
        <item m="1" x="3359"/>
        <item m="1" x="2807"/>
        <item m="1" x="2295"/>
        <item m="1" x="6013"/>
        <item m="1" x="6037"/>
        <item m="1" x="5933"/>
        <item m="1" x="4957"/>
        <item m="1" x="6976"/>
        <item m="1" x="6074"/>
        <item m="1" x="6108"/>
        <item m="1" x="6143"/>
        <item m="1" x="6178"/>
        <item m="1" x="6217"/>
        <item m="1" x="6249"/>
        <item m="1" x="6738"/>
        <item m="1" x="7965"/>
        <item m="1" x="593"/>
        <item m="1" x="4861"/>
        <item m="1" x="5845"/>
        <item m="1" x="6862"/>
        <item m="1" x="6768"/>
        <item m="1" x="7998"/>
        <item m="1" x="626"/>
        <item m="1" x="4893"/>
        <item m="1" x="5876"/>
        <item m="1" x="6898"/>
        <item m="1" x="6795"/>
        <item m="1" x="653"/>
        <item m="1" x="4923"/>
        <item m="1" x="5903"/>
        <item m="1" x="6933"/>
        <item m="1" x="6825"/>
        <item m="1" x="690"/>
        <item m="1" x="4728"/>
        <item m="1" x="3610"/>
        <item m="1" x="2503"/>
        <item m="1" x="5777"/>
        <item m="1" x="5888"/>
        <item m="1" x="5859"/>
        <item m="1" x="5830"/>
        <item m="1" x="5801"/>
        <item m="1" x="5914"/>
        <item m="1" x="7630"/>
        <item m="1" x="6459"/>
        <item m="1" x="5976"/>
        <item m="1" x="5948"/>
        <item m="1" x="291"/>
        <item m="1" x="1383"/>
        <item m="1" x="2363"/>
        <item m="1" x="3453"/>
        <item m="1" x="4579"/>
        <item m="1" x="5604"/>
        <item m="1" x="7777"/>
        <item m="1" x="6581"/>
        <item m="1" x="6485"/>
        <item m="1" x="7667"/>
        <item m="1" x="321"/>
        <item m="1" x="1411"/>
        <item m="1" x="2397"/>
        <item m="1" x="3492"/>
        <item m="1" x="4617"/>
        <item m="1" x="5637"/>
        <item m="1" x="6620"/>
        <item m="1" x="7824"/>
        <item m="1" x="6505"/>
        <item m="1" x="7694"/>
        <item m="1" x="350"/>
        <item m="1" x="1438"/>
        <item m="1" x="2428"/>
        <item m="1" x="3527"/>
        <item m="1" x="4651"/>
        <item m="1" x="5667"/>
        <item m="1" x="6653"/>
        <item m="1" x="7864"/>
        <item m="1" x="6536"/>
        <item m="1" x="7728"/>
        <item m="1" x="380"/>
        <item m="1" x="1464"/>
        <item m="1" x="2460"/>
        <item m="1" x="3562"/>
        <item m="1" x="4685"/>
        <item m="1" x="7903"/>
        <item m="1" x="6684"/>
        <item m="1" x="5697"/>
        <item m="1" x="428"/>
        <item m="1" x="6582"/>
        <item m="1" x="7778"/>
        <item m="1" x="1503"/>
        <item m="1" x="6212"/>
        <item m="1" x="6868"/>
        <item m="1" x="7465"/>
        <item m="1" x="3909"/>
        <item m="1" x="4455"/>
        <item m="1" x="4964"/>
        <item m="1" x="5462"/>
        <item m="1" x="5908"/>
        <item m="1" x="6392"/>
        <item m="1" x="6904"/>
        <item m="1" x="7509"/>
        <item m="1" x="151"/>
        <item m="1" x="5003"/>
        <item m="1" x="5500"/>
        <item m="1" x="661"/>
        <item m="1" x="1203"/>
        <item m="1" x="1663"/>
        <item m="1" x="2143"/>
        <item m="1" x="2637"/>
        <item m="1" x="155"/>
        <item m="1" x="700"/>
        <item m="1" x="1231"/>
        <item m="1" x="1687"/>
        <item m="1" x="2170"/>
        <item m="1" x="2665"/>
        <item m="1" x="3222"/>
        <item m="1" x="3761"/>
        <item m="1" x="4319"/>
        <item m="1" x="737"/>
        <item m="1" x="1266"/>
        <item m="1" x="1717"/>
        <item m="1" x="2196"/>
        <item m="1" x="2694"/>
        <item m="1" x="3250"/>
        <item m="1" x="3793"/>
        <item m="1" x="4352"/>
        <item m="1" x="4869"/>
        <item m="1" x="5383"/>
        <item m="1" x="1751"/>
        <item m="1" x="3825"/>
        <item m="1" x="4383"/>
        <item m="1" x="4901"/>
        <item m="1" x="5413"/>
        <item m="1" x="5852"/>
        <item m="1" x="2229"/>
        <item m="1" x="2727"/>
        <item m="1" x="3275"/>
        <item m="1" x="6336"/>
        <item m="1" x="2772"/>
        <item m="1" x="3318"/>
        <item m="1" x="4411"/>
        <item m="1" x="3862"/>
        <item m="1" x="5438"/>
        <item m="1" x="4929"/>
        <item m="1" x="110"/>
        <item m="1" x="5881"/>
        <item m="1" x="187"/>
        <item m="1" x="6940"/>
        <item m="1" x="7543"/>
        <item m="1" x="6419"/>
        <item m="1" x="3207"/>
        <item m="1" x="7188"/>
        <item m="1" x="1024"/>
        <item m="1" x="2013"/>
        <item m="1" x="3065"/>
        <item m="1" x="6354"/>
        <item m="1" x="4336"/>
        <item m="1" x="5400"/>
        <item m="1" x="4197"/>
        <item m="1" x="5277"/>
        <item m="1" x="6236"/>
        <item m="1" x="7341"/>
        <item m="1" x="6133"/>
        <item m="1" x="7226"/>
        <item m="1" x="1058"/>
        <item m="1" x="2039"/>
        <item m="1" x="3097"/>
        <item m="1" x="4231"/>
        <item m="1" x="5308"/>
        <item m="1" x="6264"/>
        <item m="1" x="7376"/>
        <item m="1" x="6162"/>
        <item m="1" x="7259"/>
        <item m="1" x="1092"/>
        <item m="1" x="2070"/>
        <item m="1" x="3132"/>
        <item m="1" x="4263"/>
        <item m="1" x="5335"/>
        <item m="1" x="6286"/>
        <item m="1" x="7408"/>
        <item m="1" x="6201"/>
        <item m="1" x="7305"/>
        <item m="1" x="1130"/>
        <item m="1" x="2103"/>
        <item m="1" x="3173"/>
        <item m="1" x="4302"/>
        <item m="1" x="1167"/>
        <item m="1" x="5368"/>
        <item m="1" x="6321"/>
        <item m="1" x="7445"/>
        <item m="1" x="6242"/>
        <item m="1" x="7347"/>
        <item m="1" x="7488"/>
        <item m="1" x="7852"/>
        <item m="1" x="496"/>
        <item m="1" x="1564"/>
        <item m="1" x="2555"/>
        <item m="1" x="3660"/>
        <item m="1" x="4776"/>
        <item m="1" x="5770"/>
        <item m="1" x="6769"/>
        <item m="1" x="1527"/>
        <item m="1" x="2526"/>
        <item m="1" x="3630"/>
        <item m="1" x="4749"/>
        <item m="1" x="5748"/>
        <item m="1" x="6743"/>
        <item m="1" x="7971"/>
        <item m="1" x="598"/>
        <item m="1" x="6895"/>
        <item m="1" x="6930"/>
        <item m="1" x="6859"/>
        <item m="1" x="6764"/>
        <item m="1" x="6821"/>
        <item m="1" x="6791"/>
        <item m="1" x="6973"/>
        <item m="1" x="7017"/>
        <item m="1" x="7051"/>
        <item m="1" x="7653"/>
        <item m="1" x="309"/>
        <item m="1" x="1397"/>
        <item m="1" x="2382"/>
        <item m="1" x="3473"/>
        <item m="1" x="4597"/>
        <item m="1" x="5618"/>
        <item m="1" x="6600"/>
        <item m="1" x="7803"/>
        <item m="1" x="449"/>
        <item m="1" x="7681"/>
        <item m="1" x="335"/>
        <item m="1" x="1425"/>
        <item m="1" x="2414"/>
        <item m="1" x="3506"/>
        <item m="1" x="4632"/>
        <item m="1" x="5650"/>
        <item m="1" x="7847"/>
        <item m="1" x="6638"/>
        <item m="1" x="490"/>
        <item m="1" x="7712"/>
        <item m="1" x="367"/>
        <item m="1" x="1452"/>
        <item m="1" x="2444"/>
        <item m="1" x="3546"/>
        <item m="1" x="4669"/>
        <item m="1" x="5684"/>
        <item m="1" x="6671"/>
        <item m="1" x="7886"/>
        <item m="1" x="525"/>
        <item m="1" x="7755"/>
        <item m="1" x="408"/>
        <item m="1" x="1484"/>
        <item m="1" x="2486"/>
        <item m="1" x="3590"/>
        <item m="1" x="4709"/>
        <item m="1" x="5718"/>
        <item m="1" x="6709"/>
        <item m="1" x="7929"/>
        <item m="1" x="560"/>
        <item m="1" x="7808"/>
        <item m="1" x="456"/>
        <item m="1" x="2936"/>
        <item m="1" x="3487"/>
        <item m="1" x="2490"/>
        <item m="1" x="7330"/>
        <item m="1" x="7943"/>
        <item m="1" x="537"/>
        <item m="1" x="1085"/>
        <item m="1" x="1570"/>
        <item m="1" x="2531"/>
        <item m="1" x="3055"/>
        <item m="1" x="3598"/>
        <item m="1" x="572"/>
        <item m="1" x="1116"/>
        <item m="1" x="1595"/>
        <item m="1" x="2063"/>
        <item m="1" x="2560"/>
        <item m="1" x="3088"/>
        <item m="1" x="3637"/>
        <item m="1" x="4185"/>
        <item m="1" x="4717"/>
        <item m="1" x="7218"/>
        <item m="1" x="7822"/>
        <item m="1" x="1460"/>
        <item m="1" x="1925"/>
        <item m="1" x="422"/>
        <item m="1" x="973"/>
        <item m="1" x="502"/>
        <item m="1" x="1533"/>
        <item m="1" x="4190"/>
        <item m="1" x="7764"/>
        <item m="1" x="5692"/>
        <item m="1" x="1490"/>
        <item m="1" x="1009"/>
        <item m="1" x="462"/>
        <item m="1" x="7860"/>
        <item m="1" x="7247"/>
        <item m="1" x="6677"/>
        <item m="1" x="5729"/>
        <item m="1" x="5269"/>
        <item m="1" x="416"/>
        <item m="1" x="7817"/>
        <item m="1" x="7213"/>
        <item m="1" x="6647"/>
        <item m="1" x="6151"/>
        <item m="1" x="7899"/>
        <item m="1" x="6718"/>
        <item m="1" x="6227"/>
        <item m="1" x="327"/>
        <item m="1" x="6623"/>
        <item m="1" x="7675"/>
        <item m="1" x="6492"/>
        <item m="1" x="7556"/>
        <item m="1" x="4463"/>
        <item m="1" x="5509"/>
        <item m="1" x="6466"/>
        <item m="1" x="7644"/>
        <item m="1" x="299"/>
        <item m="1" x="7522"/>
        <item m="1" x="5532"/>
        <item m="1" x="194"/>
        <item m="1" x="1299"/>
        <item m="1" x="2272"/>
        <item m="1" x="3365"/>
        <item m="1" x="4495"/>
        <item m="1" x="3329"/>
        <item m="1" x="6852"/>
        <item m="1" x="6815"/>
        <item m="1" x="6785"/>
        <item m="1" x="6759"/>
        <item m="1" x="6728"/>
        <item m="1" x="6689"/>
        <item m="1" x="6657"/>
        <item m="1" x="2238"/>
        <item m="1" x="1271"/>
        <item m="1" x="163"/>
        <item m="1" x="7483"/>
        <item m="1" x="6887"/>
        <item m="1" x="225"/>
        <item m="1" x="1328"/>
        <item m="1" x="6513"/>
        <item m="1" x="5556"/>
        <item m="1" x="4524"/>
        <item m="1" x="3396"/>
        <item m="1" x="2303"/>
        <item m="1" x="3428"/>
        <item m="1" x="2336"/>
        <item m="1" x="1361"/>
        <item m="1" x="262"/>
        <item m="1" x="7596"/>
        <item m="1" x="356"/>
        <item m="1" x="7702"/>
        <item m="1" x="4554"/>
        <item m="1" x="5580"/>
        <item m="1" x="6592"/>
        <item m="1" x="7649"/>
        <item m="1" x="390"/>
        <item m="1" x="7741"/>
        <item m="1" x="6548"/>
        <item m="1" x="1391"/>
        <item m="1" x="2375"/>
        <item m="1" x="3468"/>
        <item m="1" x="4592"/>
        <item m="1" x="304"/>
        <item m="1" x="5613"/>
        <item m="1" x="6574"/>
        <item m="1" x="6615"/>
        <item m="1" x="7168"/>
        <item m="1" x="1007"/>
        <item m="1" x="7472"/>
        <item m="1" x="1152"/>
        <item m="1" x="2119"/>
        <item m="1" x="3193"/>
        <item m="1" x="4323"/>
        <item m="1" x="4220"/>
        <item m="1" x="3119"/>
        <item m="1" x="6252"/>
        <item m="1" x="5296"/>
        <item m="1" x="2061"/>
        <item m="1" x="1083"/>
        <item m="1" x="7246"/>
        <item m="1" x="7358"/>
        <item m="1" x="6342"/>
        <item m="1" x="5387"/>
        <item m="1" x="6273"/>
        <item m="1" x="5320"/>
        <item m="1" x="4249"/>
        <item m="1" x="7390"/>
        <item m="1" x="77"/>
        <item m="1" x="7286"/>
        <item m="1" x="1113"/>
        <item m="1" x="2092"/>
        <item m="1" x="3154"/>
        <item m="1" x="4284"/>
        <item m="1" x="5351"/>
        <item m="1" x="6303"/>
        <item m="1" x="7427"/>
        <item m="1" x="106"/>
        <item m="1" x="7328"/>
        <item m="1" x="2002"/>
        <item m="1" x="3052"/>
        <item m="1" x="4182"/>
        <item m="1" x="5262"/>
        <item m="1" x="6222"/>
        <item m="1" x="7325"/>
        <item m="1" x="7212"/>
        <item m="1" x="1050"/>
        <item m="1" x="2036"/>
        <item m="1" x="7364"/>
        <item m="1" x="6883"/>
        <item m="1" x="744"/>
        <item m="1" x="1757"/>
        <item m="1" x="2778"/>
        <item m="1" x="3917"/>
        <item m="1" x="5010"/>
        <item m="1" x="5981"/>
        <item m="1" x="7039"/>
        <item m="1" x="6919"/>
        <item m="1" x="776"/>
        <item m="1" x="1787"/>
        <item m="1" x="2812"/>
        <item m="1" x="3948"/>
        <item m="1" x="5036"/>
        <item m="1" x="6009"/>
        <item m="1" x="7072"/>
        <item m="1" x="6956"/>
        <item m="1" x="810"/>
        <item m="1" x="1815"/>
        <item m="1" x="7103"/>
        <item m="1" x="6032"/>
        <item m="1" x="5066"/>
        <item m="1" x="3978"/>
        <item m="1" x="2847"/>
        <item m="1" x="4017"/>
        <item m="1" x="2885"/>
        <item m="1" x="1850"/>
        <item m="1" x="851"/>
        <item m="1" x="7002"/>
        <item m="1" x="7043"/>
        <item m="1" x="7148"/>
        <item m="1" x="6068"/>
        <item m="1" x="5101"/>
        <item m="1" x="883"/>
        <item m="1" x="2922"/>
        <item m="1" x="1881"/>
        <item m="1" x="7906"/>
        <item m="1" x="7296"/>
        <item m="1" x="7255"/>
        <item m="1" x="471"/>
        <item m="1" x="1022"/>
        <item m="1" x="5943"/>
        <item m="1" x="6987"/>
        <item m="1" x="6195"/>
        <item m="1" x="6687"/>
        <item m="1" x="4968"/>
        <item m="1" x="4933"/>
        <item m="1" x="5911"/>
        <item m="1" x="3869"/>
        <item m="1" x="2732"/>
        <item m="1" x="1972"/>
        <item m="1" x="704"/>
        <item m="1" x="1721"/>
        <item m="1" x="6944"/>
        <item m="1" x="2609"/>
        <item m="1" x="3732"/>
        <item m="1" x="7980"/>
        <item m="1" x="6835"/>
        <item m="1" x="5825"/>
        <item m="1" x="4839"/>
        <item m="1" x="4873"/>
        <item m="1" x="3766"/>
        <item m="1" x="2641"/>
        <item m="1" x="1643"/>
        <item m="1" x="605"/>
        <item m="1" x="3798"/>
        <item m="1" x="4905"/>
        <item m="1" x="5886"/>
        <item m="1" x="6871"/>
        <item m="1" x="6907"/>
        <item m="1" x="1691"/>
        <item m="1" x="665"/>
        <item m="1" x="2669"/>
        <item m="1" x="1667"/>
        <item m="1" x="634"/>
        <item m="1" x="2698"/>
        <item m="1" x="5856"/>
        <item m="1" x="3829"/>
        <item m="1" x="2456"/>
        <item m="1" x="7857"/>
        <item m="1" x="7975"/>
        <item m="1" x="6746"/>
        <item m="1" x="499"/>
        <item m="1" x="1567"/>
        <item m="1" x="2557"/>
        <item m="1" x="3665"/>
        <item m="1" x="4780"/>
        <item m="1" x="5772"/>
        <item m="1" x="6772"/>
        <item m="1" x="7896"/>
        <item m="1" x="534"/>
        <item m="1" x="1592"/>
        <item m="1" x="2585"/>
        <item m="1" x="3696"/>
        <item m="1" x="6801"/>
        <item m="1" x="726"/>
        <item m="1" x="1658"/>
        <item m="1" x="2659"/>
        <item m="1" x="3786"/>
        <item m="1" x="4894"/>
        <item m="1" x="5877"/>
        <item m="1" x="6899"/>
        <item m="1" x="787"/>
        <item m="1" x="1710"/>
        <item m="1" x="2720"/>
        <item m="1" x="3855"/>
        <item m="1" x="4958"/>
        <item m="1" x="5934"/>
        <item m="1" x="6977"/>
        <item m="1" x="825"/>
        <item m="1" x="3904"/>
        <item m="1" x="4998"/>
        <item m="1" x="5904"/>
        <item m="1" x="4924"/>
        <item m="1" x="2765"/>
        <item m="1" x="1744"/>
        <item m="1" x="3818"/>
        <item m="1" x="2689"/>
        <item m="1" x="1681"/>
        <item m="1" x="758"/>
        <item m="1" x="7277"/>
        <item m="1" x="7319"/>
        <item m="1" x="7354"/>
        <item m="1" x="6934"/>
        <item m="1" x="1637"/>
        <item m="1" x="2630"/>
        <item m="1" x="3755"/>
        <item m="1" x="4862"/>
        <item m="1" x="5846"/>
        <item m="1" x="6863"/>
        <item m="1" x="1837"/>
        <item m="1" x="2869"/>
        <item m="1" x="3998"/>
        <item m="1" x="5081"/>
        <item m="1" x="4765"/>
        <item m="1" x="430"/>
        <item m="1" x="4732"/>
        <item m="1" x="5735"/>
        <item m="1" x="6730"/>
        <item m="1" x="7954"/>
        <item m="1" x="582"/>
        <item m="1" x="7828"/>
        <item m="1" x="474"/>
        <item m="1" x="5763"/>
        <item m="1" x="619"/>
        <item m="1" x="7990"/>
        <item m="1" x="6761"/>
        <item m="1" x="4795"/>
        <item m="1" x="7869"/>
        <item m="1" x="510"/>
        <item m="1" x="7913"/>
        <item m="1" x="644"/>
        <item m="1" x="6787"/>
        <item m="1" x="5787"/>
        <item m="1" x="4826"/>
        <item m="1" x="549"/>
        <item m="1" x="5812"/>
        <item m="1" x="6817"/>
        <item m="1" x="6913"/>
        <item m="1" x="6951"/>
        <item m="1" x="6995"/>
        <item m="1" x="7069"/>
        <item m="1" x="7036"/>
        <item m="1" x="7100"/>
        <item m="1" x="7145"/>
        <item m="1" x="7196"/>
        <item m="1" x="1576"/>
        <item m="1" x="2568"/>
        <item m="1" x="509"/>
        <item m="1" x="4792"/>
        <item m="1" x="3677"/>
        <item m="1" x="4729"/>
        <item m="1" x="7868"/>
        <item m="1" x="472"/>
        <item m="1" x="7827"/>
        <item m="1" x="613"/>
        <item m="1" x="1541"/>
        <item m="1" x="2537"/>
        <item m="1" x="3644"/>
        <item m="1" x="4762"/>
        <item m="1" x="2596"/>
        <item m="1" x="1604"/>
        <item m="1" x="546"/>
        <item m="1" x="7910"/>
        <item m="1" x="641"/>
        <item m="1" x="674"/>
        <item m="1" x="4821"/>
        <item m="1" x="3710"/>
        <item m="1" x="583"/>
        <item m="1" x="7955"/>
        <item m="1" x="4855"/>
        <item m="1" x="3748"/>
        <item m="1" x="2623"/>
        <item m="1" x="1631"/>
        <item m="1" x="713"/>
        <item m="1" x="915"/>
        <item m="1" x="360"/>
        <item m="1" x="7745"/>
        <item m="1" x="7153"/>
        <item m="1" x="2371"/>
        <item m="1" x="1878"/>
        <item m="1" x="1417"/>
        <item m="1" x="578"/>
        <item m="1" x="4585"/>
        <item m="1" x="1037"/>
        <item m="1" x="1514"/>
        <item m="1" x="3025"/>
        <item m="1" x="3567"/>
        <item m="1" x="2949"/>
        <item m="1" x="3495"/>
        <item m="1" x="4047"/>
        <item m="1" x="1985"/>
        <item m="1" x="1941"/>
        <item m="1" x="2431"/>
        <item m="1" x="553"/>
        <item m="1" x="1097"/>
        <item m="1" x="2043"/>
        <item m="1" x="2542"/>
        <item m="1" x="3070"/>
        <item m="1" x="4159"/>
        <item m="1" x="4691"/>
        <item m="1" x="7200"/>
        <item m="1" x="7796"/>
        <item m="1" x="394"/>
        <item m="1" x="949"/>
        <item m="1" x="7917"/>
        <item m="1" x="1062"/>
        <item m="1" x="1546"/>
        <item m="1" x="2017"/>
        <item m="1" x="1442"/>
        <item m="1" x="1907"/>
        <item m="1" x="2401"/>
        <item m="1" x="2464"/>
        <item m="1" x="1977"/>
        <item m="1" x="1473"/>
        <item m="1" x="992"/>
        <item m="1" x="443"/>
        <item m="1" x="3459"/>
        <item m="1" x="2915"/>
        <item m="1" x="3531"/>
        <item m="1" x="590"/>
        <item m="1" x="7190"/>
        <item m="1" x="2075"/>
        <item m="1" x="1136"/>
        <item m="1" x="5243"/>
        <item m="1" x="4737"/>
        <item m="1" x="4207"/>
        <item m="1" x="7785"/>
        <item m="1" x="7228"/>
        <item m="1" x="6659"/>
        <item m="1" x="6164"/>
        <item m="1" x="5704"/>
        <item m="1" x="7832"/>
        <item m="1" x="435"/>
        <item m="1" x="5285"/>
        <item m="1" x="5739"/>
        <item m="1" x="6203"/>
        <item m="1" x="6694"/>
        <item m="1" x="7262"/>
        <item m="1" x="7873"/>
        <item m="1" x="478"/>
        <item m="1" x="1028"/>
        <item m="1" x="1508"/>
        <item m="1" x="6244"/>
        <item m="1" x="6734"/>
        <item m="1" x="7309"/>
        <item m="1" x="514"/>
        <item m="1" x="1063"/>
        <item m="1" x="1547"/>
        <item m="1" x="2018"/>
        <item m="1" x="2508"/>
        <item m="1" x="7351"/>
        <item m="1" x="1098"/>
        <item m="1" x="1580"/>
        <item m="1" x="2044"/>
        <item m="1" x="7961"/>
        <item m="1" x="3071"/>
        <item m="1" x="3615"/>
        <item m="1" x="3066"/>
        <item m="1" x="4198"/>
        <item m="1" x="5278"/>
        <item m="1" x="6237"/>
        <item m="1" x="7342"/>
        <item m="1" x="6399"/>
        <item m="1" x="6428"/>
        <item m="1" x="6465"/>
        <item m="1" x="6491"/>
        <item m="1" x="7227"/>
        <item m="1" x="983"/>
        <item m="1" x="7140"/>
        <item m="1" x="6512"/>
        <item m="1" x="6547"/>
        <item m="1" x="6591"/>
        <item m="1" x="1975"/>
        <item m="1" x="4155"/>
        <item m="1" x="3022"/>
        <item m="1" x="5235"/>
        <item m="1" x="6197"/>
        <item m="1" x="7300"/>
        <item m="1" x="2014"/>
        <item m="1" x="7189"/>
        <item m="1" x="1025"/>
        <item m="1" x="89"/>
        <item m="1" x="7306"/>
        <item m="1" x="7409"/>
        <item m="1" x="6287"/>
        <item m="1" x="1059"/>
        <item m="1" x="2040"/>
        <item m="1" x="3098"/>
        <item m="1" x="4232"/>
        <item m="1" x="5309"/>
        <item m="1" x="6265"/>
        <item m="1" x="7377"/>
        <item m="1" x="64"/>
        <item m="1" x="7260"/>
        <item m="1" x="1093"/>
        <item m="1" x="2071"/>
        <item m="1" x="3133"/>
        <item m="1" x="4264"/>
        <item m="1" x="5336"/>
        <item m="1" x="7455"/>
        <item m="1" x="140"/>
        <item m="1" x="1253"/>
        <item m="1" x="2216"/>
        <item m="1" x="3299"/>
        <item m="1" x="4434"/>
        <item m="1" x="5481"/>
        <item m="1" x="6438"/>
        <item m="1" x="7604"/>
        <item m="1" x="3263"/>
        <item m="1" x="68"/>
        <item m="1" x="7381"/>
        <item m="1" x="7489"/>
        <item m="1" x="170"/>
        <item m="1" x="6355"/>
        <item m="1" x="1190"/>
        <item m="1" x="201"/>
        <item m="1" x="7414"/>
        <item m="1" x="95"/>
        <item m="1" x="1217"/>
        <item m="1" x="2183"/>
        <item m="1" x="2157"/>
        <item m="1" x="3236"/>
        <item m="1" x="4368"/>
        <item m="1" x="5427"/>
        <item m="1" x="6378"/>
        <item m="1" x="7528"/>
        <item m="1" x="7564"/>
        <item m="1" x="6406"/>
        <item m="1" x="5452"/>
        <item m="1" x="4398"/>
        <item m="1" x="234"/>
        <item m="1" x="4303"/>
        <item m="1" x="3174"/>
        <item m="1" x="2104"/>
        <item m="1" x="1131"/>
        <item m="1" x="129"/>
        <item m="1" x="7446"/>
        <item m="1" x="6322"/>
        <item m="1" x="5369"/>
        <item m="1" x="2131"/>
        <item m="1" x="1168"/>
        <item m="1" x="7348"/>
        <item m="1" x="3208"/>
        <item m="1" x="4337"/>
        <item m="1" x="5401"/>
        <item m="1" x="5550"/>
        <item m="1" x="4546"/>
        <item m="1" x="6946"/>
        <item m="1" x="3419"/>
        <item m="1" x="4519"/>
        <item m="1" x="6424"/>
        <item m="1" x="5946"/>
        <item m="1" x="3360"/>
        <item m="1" x="1812"/>
        <item m="1" x="2296"/>
        <item m="1" x="2808"/>
        <item m="1" x="2327"/>
        <item m="1" x="5913"/>
        <item m="1" x="3389"/>
        <item m="1" x="3943"/>
        <item m="1" x="4490"/>
        <item m="1" x="5006"/>
        <item m="1" x="5504"/>
        <item m="1" x="6460"/>
        <item m="1" x="5467"/>
        <item m="1" x="4459"/>
        <item m="1" x="4972"/>
        <item m="1" x="6989"/>
        <item m="1" x="7582"/>
        <item m="1" x="5032"/>
        <item m="1" x="3913"/>
        <item m="1" x="6486"/>
        <item m="1" x="7631"/>
        <item m="1" x="4733"/>
        <item m="1" x="5736"/>
        <item m="1" x="6731"/>
        <item m="1" x="7956"/>
        <item m="1" x="6626"/>
        <item m="1" x="5954"/>
        <item m="1" x="5918"/>
        <item m="1" x="4766"/>
        <item m="1" x="3646"/>
        <item m="1" x="2539"/>
        <item m="1" x="1543"/>
        <item m="1" x="475"/>
        <item m="1" x="7829"/>
        <item m="1" x="4796"/>
        <item m="1" x="5788"/>
        <item m="1" x="5764"/>
        <item m="1" x="6762"/>
        <item m="1" x="7991"/>
        <item m="1" x="6658"/>
        <item m="1" x="7870"/>
        <item m="1" x="511"/>
        <item m="1" x="3679"/>
        <item m="1" x="2569"/>
        <item m="1" x="1577"/>
        <item m="1" x="6788"/>
        <item m="1" x="5864"/>
        <item m="1" x="5893"/>
        <item m="1" x="7731"/>
        <item m="1" x="384"/>
        <item m="1" x="1466"/>
        <item m="1" x="2462"/>
        <item m="1" x="3565"/>
        <item m="1" x="4689"/>
        <item m="1" x="5700"/>
        <item m="1" x="6691"/>
        <item m="1" x="7911"/>
        <item m="1" x="6584"/>
        <item m="1" x="7781"/>
        <item m="1" x="431"/>
        <item m="1" x="6538"/>
        <item m="1" x="5980"/>
        <item m="1" x="6008"/>
        <item m="1" x="6031"/>
        <item m="1" x="6067"/>
        <item m="1" x="1505"/>
        <item m="1" x="2505"/>
        <item m="1" x="3612"/>
        <item m="1" x="3376"/>
        <item m="1" x="3894"/>
        <item m="1" x="2823"/>
        <item m="1" x="4950"/>
        <item m="1" x="1372"/>
        <item m="1" x="1827"/>
        <item m="1" x="2312"/>
        <item m="1" x="1949"/>
        <item m="1" x="1034"/>
        <item m="1" x="1913"/>
        <item m="1" x="918"/>
        <item m="1" x="7272"/>
        <item m="1" x="6173"/>
        <item m="1" x="5212"/>
        <item m="1" x="4125"/>
        <item m="1" x="2991"/>
        <item m="1" x="6836"/>
        <item m="1" x="5826"/>
        <item m="1" x="698"/>
        <item m="1" x="7981"/>
        <item m="1" x="7023"/>
        <item m="1" x="7054"/>
        <item m="1" x="7086"/>
        <item m="1" x="7129"/>
        <item m="1" x="7175"/>
        <item m="1" x="7215"/>
        <item m="1" x="7815"/>
        <item m="1" x="460"/>
        <item m="1" x="1531"/>
        <item m="1" x="2529"/>
        <item m="1" x="3633"/>
        <item m="1" x="4752"/>
        <item m="1" x="5752"/>
        <item m="1" x="6747"/>
        <item m="1" x="7976"/>
        <item m="1" x="601"/>
        <item m="1" x="7858"/>
        <item m="1" x="500"/>
        <item m="1" x="1568"/>
        <item m="1" x="2558"/>
        <item m="1" x="3666"/>
        <item m="1" x="4781"/>
        <item m="1" x="5773"/>
        <item m="1" x="6773"/>
        <item m="1" x="630"/>
        <item m="1" x="7897"/>
        <item m="1" x="535"/>
        <item m="1" x="1593"/>
        <item m="1" x="2586"/>
        <item m="1" x="3697"/>
        <item m="1" x="4808"/>
        <item m="1" x="5797"/>
        <item m="1" x="6802"/>
        <item m="1" x="4840"/>
        <item m="1" x="3733"/>
        <item m="1" x="569"/>
        <item m="1" x="1618"/>
        <item m="1" x="2610"/>
        <item m="1" x="657"/>
        <item m="1" x="7940"/>
        <item m="1" x="331"/>
        <item m="1" x="1420"/>
        <item m="1" x="2408"/>
        <item m="1" x="3502"/>
        <item m="1" x="4626"/>
        <item m="1" x="5646"/>
        <item m="1" x="6631"/>
        <item m="1" x="7840"/>
        <item m="1" x="484"/>
        <item m="1" x="6690"/>
        <item m="1" x="6729"/>
        <item m="1" x="6760"/>
        <item m="1" x="6786"/>
        <item m="1" x="6816"/>
        <item m="1" x="6853"/>
        <item m="1" x="6888"/>
        <item m="1" x="164"/>
        <item m="1" x="1272"/>
        <item m="1" x="2239"/>
        <item m="1" x="3330"/>
        <item m="1" x="4464"/>
        <item m="1" x="5510"/>
        <item m="1" x="6467"/>
        <item m="1" x="7645"/>
        <item m="1" x="300"/>
        <item m="1" x="195"/>
        <item m="1" x="1300"/>
        <item m="1" x="2273"/>
        <item m="1" x="3366"/>
        <item m="1" x="4496"/>
        <item m="1" x="5533"/>
        <item m="1" x="6493"/>
        <item m="1" x="7676"/>
        <item m="1" x="328"/>
        <item m="1" x="6593"/>
        <item m="1" x="5614"/>
        <item m="1" x="4593"/>
        <item m="1" x="3469"/>
        <item m="1" x="2376"/>
        <item m="1" x="1392"/>
        <item m="1" x="305"/>
        <item m="1" x="7793"/>
        <item m="1" x="4555"/>
        <item m="1" x="5581"/>
        <item m="1" x="6549"/>
        <item m="1" x="7742"/>
        <item m="1" x="391"/>
        <item m="1" x="7703"/>
        <item m="1" x="6514"/>
        <item m="1" x="357"/>
        <item m="1" x="263"/>
        <item m="1" x="1362"/>
        <item m="1" x="2337"/>
        <item m="1" x="3429"/>
        <item m="1" x="440"/>
        <item m="1" x="226"/>
        <item m="1" x="1329"/>
        <item m="1" x="2304"/>
        <item m="1" x="3397"/>
        <item m="1" x="4525"/>
        <item m="1" x="5557"/>
        <item m="1" x="7924"/>
        <item m="1" x="557"/>
        <item m="1" x="450"/>
        <item m="1" x="1522"/>
        <item m="1" x="2518"/>
        <item m="1" x="3624"/>
        <item m="1" x="4745"/>
        <item m="1" x="5745"/>
        <item m="1" x="6739"/>
        <item m="1" x="7966"/>
        <item m="1" x="594"/>
        <item m="1" x="7020"/>
        <item m="1" x="7619"/>
        <item m="1" x="791"/>
        <item m="1" x="1312"/>
        <item m="1" x="1770"/>
        <item m="1" x="2251"/>
        <item m="1" x="2756"/>
        <item m="1" x="3303"/>
        <item m="1" x="280"/>
        <item m="1" x="827"/>
        <item m="1" x="1799"/>
        <item m="1" x="2284"/>
        <item m="1" x="2791"/>
        <item m="1" x="3895"/>
        <item m="1" x="4438"/>
        <item m="1" x="862"/>
        <item m="1" x="1373"/>
        <item m="1" x="1828"/>
        <item m="1" x="2824"/>
        <item m="1" x="3377"/>
        <item m="1" x="3929"/>
        <item m="1" x="4989"/>
        <item m="1" x="5484"/>
        <item m="1" x="3408"/>
        <item m="1" x="3961"/>
        <item m="1" x="4506"/>
        <item m="1" x="5021"/>
        <item m="1" x="1860"/>
        <item m="1" x="2347"/>
        <item m="1" x="2859"/>
        <item m="1" x="5964"/>
        <item m="1" x="6440"/>
        <item m="1" x="5714"/>
        <item m="1" x="4703"/>
        <item m="1" x="6704"/>
        <item m="1" x="6453"/>
        <item m="1" x="5989"/>
        <item m="1" x="6474"/>
        <item m="1" x="7010"/>
        <item m="1" x="7608"/>
        <item m="1" x="4027"/>
        <item m="1" x="3440"/>
        <item m="1" x="3990"/>
        <item m="1" x="4534"/>
        <item m="1" x="5047"/>
        <item m="1" x="5541"/>
        <item m="1" x="6503"/>
        <item m="1" x="6534"/>
        <item m="1" x="6579"/>
        <item m="1" x="6618"/>
        <item m="1" x="6651"/>
        <item m="1" x="6682"/>
        <item m="1" x="6723"/>
        <item m="1" x="6756"/>
        <item m="1" x="7332"/>
        <item m="1" x="157"/>
        <item m="1" x="4326"/>
        <item m="1" x="5389"/>
        <item m="1" x="6345"/>
        <item m="1" x="7477"/>
        <item m="1" x="7366"/>
        <item m="1" x="4357"/>
        <item m="1" x="82"/>
        <item m="1" x="7397"/>
        <item m="1" x="190"/>
        <item m="1" x="7516"/>
        <item m="1" x="6370"/>
        <item m="1" x="5418"/>
        <item m="1" x="4390"/>
        <item m="1" x="5444"/>
        <item m="1" x="6396"/>
        <item m="1" x="7548"/>
        <item m="1" x="217"/>
        <item m="1" x="7436"/>
        <item m="1" x="117"/>
        <item m="1" x="5468"/>
        <item m="1" x="4419"/>
        <item m="1" x="5506"/>
        <item m="1" x="352"/>
        <item m="1" x="7592"/>
        <item m="1" x="259"/>
        <item m="1" x="7553"/>
        <item m="1" x="222"/>
        <item m="1" x="4520"/>
        <item m="1" x="5551"/>
        <item m="1" x="7695"/>
        <item m="1" x="6507"/>
        <item m="1" x="323"/>
        <item m="1" x="1215"/>
        <item m="1" x="682"/>
        <item m="1" x="1675"/>
        <item m="1" x="2155"/>
        <item m="1" x="2653"/>
        <item m="1" x="3203"/>
        <item m="1" x="3750"/>
        <item m="1" x="4299"/>
        <item m="1" x="6539"/>
        <item m="1" x="7732"/>
        <item m="1" x="385"/>
        <item m="1" x="7646"/>
        <item m="1" x="301"/>
        <item m="1" x="5572"/>
        <item m="1" x="4549"/>
        <item m="1" x="2625"/>
        <item m="1" x="3170"/>
        <item m="1" x="2130"/>
        <item m="1" x="1654"/>
        <item m="1" x="1189"/>
        <item m="1" x="647"/>
        <item m="1" x="93"/>
        <item m="1" x="7450"/>
        <item m="1" x="6855"/>
        <item m="1" x="432"/>
        <item m="1" x="7782"/>
        <item m="1" x="6585"/>
        <item m="1" x="5606"/>
        <item m="1" x="4583"/>
        <item m="1" x="133"/>
        <item m="1" x="6461"/>
        <item m="1" x="7634"/>
        <item m="1" x="3642"/>
        <item m="1" x="1159"/>
        <item m="1" x="2564"/>
        <item m="1" x="615"/>
        <item m="1" x="4225"/>
        <item m="1" x="3674"/>
        <item m="1" x="3125"/>
        <item m="1" x="2591"/>
        <item m="1" x="2098"/>
        <item m="1" x="1628"/>
        <item m="1" x="3162"/>
        <item m="1" x="2618"/>
        <item m="1" x="2124"/>
        <item m="1" x="1651"/>
        <item m="1" x="5272"/>
        <item m="1" x="4760"/>
        <item m="1" x="5300"/>
        <item m="1" x="4788"/>
        <item m="1" x="4254"/>
        <item m="1" x="3705"/>
        <item m="1" x="5758"/>
        <item m="1" x="1157"/>
        <item m="1" x="5866"/>
        <item m="1" x="7986"/>
        <item m="1" x="4882"/>
        <item m="1" x="610"/>
        <item m="1" x="7399"/>
        <item m="1" x="6310"/>
        <item m="1" x="5838"/>
        <item m="1" x="5392"/>
        <item m="1" x="6809"/>
        <item m="1" x="3198"/>
        <item m="1" x="2649"/>
        <item m="1" x="6230"/>
        <item m="1" x="3745"/>
        <item m="1" x="4291"/>
        <item m="1" x="4816"/>
        <item m="1" x="5325"/>
        <item m="1" x="5780"/>
        <item m="1" x="6256"/>
        <item m="1" x="6753"/>
        <item m="1" x="7335"/>
        <item m="1" x="3775"/>
        <item m="1" x="5357"/>
        <item m="1" x="4852"/>
        <item m="1" x="4329"/>
        <item m="1" x="6278"/>
        <item m="1" x="5805"/>
        <item m="1" x="7368"/>
        <item m="1" x="6779"/>
        <item m="1" x="2177"/>
        <item m="1" x="5867"/>
        <item m="1" x="6279"/>
        <item m="1" x="6780"/>
        <item m="1" x="5358"/>
        <item m="1" x="5806"/>
        <item m="1" x="3807"/>
        <item m="1" x="4362"/>
        <item m="1" x="5393"/>
        <item m="1" x="4883"/>
        <item m="1" x="5839"/>
        <item m="1" x="6311"/>
        <item m="1" x="6810"/>
        <item m="1" x="7400"/>
        <item m="1" x="4914"/>
        <item m="1" x="5422"/>
        <item m="1" x="6257"/>
        <item m="1" x="2677"/>
        <item m="1" x="3231"/>
        <item m="1" x="3776"/>
        <item m="1" x="4330"/>
        <item m="1" x="4853"/>
        <item m="1" x="5326"/>
        <item m="1" x="4817"/>
        <item m="1" x="5781"/>
        <item m="1" x="7369"/>
        <item m="1" x="1652"/>
        <item m="1" x="642"/>
        <item m="1" x="4226"/>
        <item m="1" x="3675"/>
        <item m="1" x="3163"/>
        <item m="1" x="2619"/>
        <item m="1" x="2151"/>
        <item m="1" x="1674"/>
        <item m="1" x="4255"/>
        <item m="1" x="4789"/>
        <item m="1" x="5301"/>
        <item m="1" x="3199"/>
        <item m="1" x="3746"/>
        <item m="1" x="2650"/>
        <item m="1" x="4292"/>
        <item m="1" x="3126"/>
        <item m="1" x="2592"/>
        <item m="1" x="2099"/>
        <item m="1" x="1629"/>
        <item m="1" x="1160"/>
        <item m="1" x="616"/>
        <item m="1" x="1184"/>
        <item m="1" x="2066"/>
        <item m="1" x="2565"/>
        <item m="1" x="3092"/>
        <item m="1" x="2125"/>
        <item m="1" x="3706"/>
        <item m="1" x="4178"/>
        <item m="1" x="5259"/>
        <item m="1" x="6218"/>
        <item m="1" x="3049"/>
        <item m="1" x="6268"/>
        <item m="1" x="6292"/>
        <item m="1" x="6327"/>
        <item m="1" x="6361"/>
        <item m="1" x="6386"/>
        <item m="1" x="6414"/>
        <item m="1" x="6450"/>
        <item m="1" x="4022"/>
        <item m="1" x="2890"/>
        <item m="1" x="1854"/>
        <item m="1" x="856"/>
        <item m="1" x="7009"/>
        <item m="1" x="6479"/>
        <item m="1" x="888"/>
        <item m="1" x="7046"/>
        <item m="1" x="7158"/>
        <item m="1" x="6075"/>
        <item m="1" x="5106"/>
        <item m="1" x="7205"/>
        <item m="1" x="6109"/>
        <item m="1" x="5146"/>
        <item m="1" x="4057"/>
        <item m="1" x="2927"/>
        <item m="1" x="1886"/>
        <item m="1" x="5181"/>
        <item m="1" x="4094"/>
        <item m="1" x="2958"/>
        <item m="1" x="1918"/>
        <item m="1" x="923"/>
        <item m="1" x="7079"/>
        <item m="1" x="960"/>
        <item m="1" x="7113"/>
        <item m="1" x="7239"/>
        <item m="1" x="6144"/>
        <item m="1" x="7279"/>
        <item m="1" x="6179"/>
        <item m="1" x="5218"/>
        <item m="1" x="4134"/>
        <item m="1" x="2999"/>
        <item m="1" x="1954"/>
        <item m="1" x="1003"/>
        <item m="1" x="7161"/>
        <item m="1" x="1999"/>
        <item m="1" x="902"/>
        <item m="1" x="1867"/>
        <item m="1" x="2870"/>
        <item m="1" x="935"/>
        <item m="1" x="1897"/>
        <item m="1" x="1436"/>
        <item m="1" x="3450"/>
        <item m="1" x="7775"/>
        <item m="1" x="423"/>
        <item m="1" x="2358"/>
        <item m="1" x="1408"/>
        <item m="1" x="2423"/>
        <item m="1" x="347"/>
        <item m="1" x="4034"/>
        <item m="1" x="2937"/>
        <item m="1" x="1926"/>
        <item m="1" x="974"/>
        <item m="1" x="3999"/>
        <item m="1" x="2904"/>
        <item m="1" x="6046"/>
        <item m="1" x="5117"/>
        <item m="1" x="4068"/>
        <item m="1" x="2967"/>
        <item m="1" x="1965"/>
        <item m="1" x="5082"/>
        <item m="1" x="4573"/>
        <item m="1" x="1496"/>
        <item m="1" x="2450"/>
        <item m="1" x="3519"/>
        <item m="1" x="5595"/>
        <item m="1" x="2496"/>
        <item m="1" x="3556"/>
        <item m="1" x="4102"/>
        <item m="1" x="4644"/>
        <item m="1" x="5190"/>
        <item m="1" x="5661"/>
        <item m="1" x="3605"/>
        <item m="1" x="7121"/>
        <item m="1" x="5156"/>
        <item m="1" x="5629"/>
        <item m="1" x="3010"/>
        <item m="1" x="6083"/>
        <item m="1" x="6567"/>
        <item m="1" x="4679"/>
        <item m="1" x="6118"/>
        <item m="1" x="4145"/>
        <item m="1" x="6130"/>
        <item m="1" x="6160"/>
        <item m="1" x="6196"/>
        <item m="1" x="6235"/>
        <item m="1" x="6263"/>
        <item m="1" x="6285"/>
        <item m="1" x="6320"/>
        <item m="1" x="6353"/>
        <item m="1" x="6849"/>
        <item m="1" x="714"/>
        <item m="1" x="1727"/>
        <item m="1" x="2741"/>
        <item m="1" x="3879"/>
        <item m="1" x="4978"/>
        <item m="1" x="5955"/>
        <item m="1" x="6998"/>
        <item m="1" x="6884"/>
        <item m="1" x="745"/>
        <item m="1" x="1758"/>
        <item m="1" x="2779"/>
        <item m="1" x="3918"/>
        <item m="1" x="7040"/>
        <item m="1" x="6920"/>
        <item m="1" x="5982"/>
        <item m="1" x="5011"/>
        <item m="1" x="2813"/>
        <item m="1" x="1788"/>
        <item m="1" x="777"/>
        <item m="1" x="3949"/>
        <item m="1" x="5037"/>
        <item m="1" x="6010"/>
        <item m="1" x="1816"/>
        <item m="1" x="7073"/>
        <item m="1" x="6957"/>
        <item m="1" x="811"/>
        <item m="1" x="2848"/>
        <item m="1" x="3979"/>
        <item m="1" x="7104"/>
        <item m="1" x="6033"/>
        <item m="1" x="5067"/>
        <item m="1" x="2757"/>
        <item m="1" x="3850"/>
        <item m="1" x="828"/>
        <item m="1" x="1800"/>
        <item m="1" x="2792"/>
        <item m="1" x="2285"/>
        <item m="1" x="1342"/>
        <item m="1" x="281"/>
        <item m="1" x="3304"/>
        <item m="1" x="2252"/>
        <item m="1" x="1374"/>
        <item m="1" x="4951"/>
        <item m="1" x="4439"/>
        <item m="1" x="3896"/>
        <item m="1" x="3346"/>
        <item m="1" x="3930"/>
        <item m="1" x="4476"/>
        <item m="1" x="4990"/>
        <item m="1" x="5485"/>
        <item m="1" x="5925"/>
        <item m="1" x="2348"/>
        <item m="1" x="2860"/>
        <item m="1" x="3962"/>
        <item m="1" x="4507"/>
        <item m="1" x="5022"/>
        <item m="1" x="5520"/>
        <item m="1" x="5965"/>
        <item m="1" x="6441"/>
        <item m="1" x="6452"/>
        <item m="1" x="6980"/>
        <item m="1" x="7574"/>
        <item m="1" x="211"/>
        <item m="1" x="6966"/>
        <item m="1" x="3441"/>
        <item m="1" x="1288"/>
        <item m="1" x="1743"/>
        <item m="1" x="2220"/>
        <item m="1" x="2717"/>
        <item m="1" x="7620"/>
        <item m="1" x="242"/>
        <item m="1" x="792"/>
        <item m="1" x="1313"/>
        <item m="1" x="1771"/>
        <item m="1" x="762"/>
        <item m="1" x="2825"/>
        <item m="1" x="2313"/>
        <item m="1" x="1829"/>
        <item m="1" x="3378"/>
        <item m="1" x="7011"/>
        <item m="1" x="5990"/>
        <item m="1" x="4938"/>
        <item m="1" x="5974"/>
        <item m="1" x="6000"/>
        <item m="1" x="6023"/>
        <item m="1" x="6056"/>
        <item m="1" x="6093"/>
        <item m="1" x="6126"/>
        <item m="1" x="6157"/>
        <item m="1" x="6192"/>
        <item m="1" x="6232"/>
        <item m="1" x="6720"/>
        <item m="1" x="7945"/>
        <item m="1" x="574"/>
        <item m="1" x="6841"/>
        <item m="1" x="5831"/>
        <item m="1" x="1622"/>
        <item m="1" x="2613"/>
        <item m="1" x="3738"/>
        <item m="1" x="4845"/>
        <item m="1" x="2644"/>
        <item m="1" x="1646"/>
        <item m="1" x="607"/>
        <item m="1" x="7983"/>
        <item m="1" x="6752"/>
        <item m="1" x="6778"/>
        <item m="1" x="6873"/>
        <item m="1" x="5860"/>
        <item m="1" x="4876"/>
        <item m="1" x="3769"/>
        <item m="1" x="4909"/>
        <item m="1" x="3801"/>
        <item m="1" x="2672"/>
        <item m="1" x="1670"/>
        <item m="1" x="637"/>
        <item m="1" x="668"/>
        <item m="1" x="6807"/>
        <item m="1" x="6909"/>
        <item m="1" x="5889"/>
        <item m="1" x="1694"/>
        <item m="1" x="2702"/>
        <item m="1" x="3835"/>
        <item m="1" x="6846"/>
        <item m="1" x="3915"/>
        <item m="1" x="5007"/>
        <item m="1" x="7029"/>
        <item m="1" x="5977"/>
        <item m="1" x="6990"/>
        <item m="1" x="5949"/>
        <item m="1" x="4975"/>
        <item m="1" x="740"/>
        <item m="1" x="3876"/>
        <item m="1" x="1755"/>
        <item m="1" x="2739"/>
        <item m="1" x="2776"/>
        <item m="1" x="1724"/>
        <item m="1" x="709"/>
        <item m="1" x="6878"/>
        <item m="1" x="773"/>
        <item m="1" x="7062"/>
        <item m="1" x="1786"/>
        <item m="1" x="2811"/>
        <item m="1" x="6954"/>
        <item m="1" x="3945"/>
        <item m="1" x="6915"/>
        <item m="1" x="5033"/>
        <item m="1" x="6001"/>
        <item m="1" x="7294"/>
        <item m="1" x="907"/>
        <item m="1" x="1018"/>
        <item m="1" x="1122"/>
        <item m="1" x="7221"/>
        <item m="1" x="6127"/>
        <item m="1" x="5164"/>
        <item m="1" x="4077"/>
        <item m="1" x="2943"/>
        <item m="1" x="1901"/>
        <item m="1" x="4110"/>
        <item m="1" x="2977"/>
        <item m="1" x="940"/>
        <item m="1" x="1053"/>
        <item m="1" x="1089"/>
        <item m="1" x="7253"/>
        <item m="1" x="6158"/>
        <item m="1" x="5197"/>
        <item m="1" x="6193"/>
        <item m="1" x="5232"/>
        <item m="1" x="981"/>
        <item m="1" x="1973"/>
        <item m="1" x="3019"/>
        <item m="1" x="4152"/>
        <item m="1" x="1933"/>
        <item m="1" x="7514"/>
        <item m="1" x="7475"/>
        <item m="1" x="7432"/>
        <item m="1" x="7394"/>
        <item m="1" x="7362"/>
        <item m="1" x="876"/>
        <item m="1" x="7668"/>
        <item m="1" x="7632"/>
        <item m="1" x="7583"/>
        <item m="1" x="7546"/>
        <item m="1" x="6094"/>
        <item m="1" x="5128"/>
        <item m="1" x="4041"/>
        <item m="1" x="2909"/>
        <item m="1" x="1872"/>
        <item m="1" x="7182"/>
        <item m="1" x="4258"/>
        <item m="1" x="5329"/>
        <item m="1" x="6282"/>
        <item m="1" x="7402"/>
        <item m="1" x="85"/>
        <item m="1" x="1210"/>
        <item m="1" x="1127"/>
        <item m="1" x="165"/>
        <item m="1" x="7484"/>
        <item m="1" x="2916"/>
        <item m="1" x="3460"/>
        <item m="1" x="1273"/>
        <item m="1" x="7797"/>
        <item m="1" x="395"/>
        <item m="1" x="950"/>
        <item m="1" x="1443"/>
        <item m="1" x="1942"/>
        <item m="1" x="1474"/>
        <item m="1" x="993"/>
        <item m="1" x="444"/>
        <item m="1" x="4009"/>
        <item m="1" x="2402"/>
        <item m="1" x="2432"/>
        <item m="1" x="1908"/>
        <item m="1" x="2102"/>
        <item m="1" x="3167"/>
        <item m="1" x="4296"/>
        <item m="1" x="5362"/>
        <item m="1" x="6315"/>
        <item m="1" x="7440"/>
        <item m="1" x="122"/>
        <item m="1" x="1239"/>
        <item m="1" x="1163"/>
        <item m="1" x="2128"/>
        <item m="1" x="3202"/>
        <item m="1" x="4333"/>
        <item m="1" x="5397"/>
        <item m="1" x="6350"/>
        <item m="1" x="763"/>
        <item m="1" x="1775"/>
        <item m="1" x="2800"/>
        <item m="1" x="3936"/>
        <item m="1" x="5027"/>
        <item m="1" x="5996"/>
        <item m="1" x="7056"/>
        <item m="1" x="898"/>
        <item m="1" x="796"/>
        <item m="1" x="1805"/>
        <item m="1" x="2833"/>
        <item m="1" x="3968"/>
        <item m="1" x="5053"/>
        <item m="1" x="6020"/>
        <item m="1" x="7088"/>
        <item m="1" x="932"/>
        <item m="1" x="836"/>
        <item m="1" x="1838"/>
        <item m="1" x="2873"/>
        <item m="1" x="4001"/>
        <item m="1" x="5087"/>
        <item m="1" x="6053"/>
        <item m="1" x="1869"/>
        <item m="1" x="2906"/>
        <item m="1" x="4038"/>
        <item m="1" x="5124"/>
        <item m="1" x="6089"/>
        <item m="1" x="873"/>
        <item m="1" x="7177"/>
        <item m="1" x="1013"/>
        <item m="1" x="904"/>
        <item m="1" x="1898"/>
        <item m="1" x="2940"/>
        <item m="1" x="4073"/>
        <item m="1" x="5160"/>
        <item m="1" x="7131"/>
        <item m="1" x="970"/>
        <item m="1" x="6122"/>
        <item m="1" x="7241"/>
        <item m="1" x="7282"/>
        <item m="1" x="7324"/>
        <item m="1" x="870"/>
        <item m="1" x="731"/>
        <item m="1" x="1745"/>
        <item m="1" x="2766"/>
        <item m="1" x="7469"/>
        <item m="1" x="7512"/>
        <item m="1" x="3905"/>
        <item m="1" x="4999"/>
        <item m="1" x="7025"/>
        <item m="1" x="1930"/>
        <item m="1" x="5971"/>
        <item m="1" x="3113"/>
        <item m="1" x="4106"/>
        <item m="1" x="5194"/>
        <item m="1" x="6154"/>
        <item m="1" x="7077"/>
        <item m="1" x="7110"/>
        <item m="1" x="7157"/>
        <item m="1" x="7204"/>
        <item m="1" x="7238"/>
        <item m="1" x="7278"/>
        <item m="1" x="7320"/>
        <item m="1" x="7355"/>
        <item m="1" x="7967"/>
        <item m="1" x="595"/>
        <item m="1" x="1638"/>
        <item m="1" x="2631"/>
        <item m="1" x="3756"/>
        <item m="1" x="4863"/>
        <item m="1" x="5847"/>
        <item m="1" x="6864"/>
        <item m="1" x="727"/>
        <item m="1" x="7999"/>
        <item m="1" x="627"/>
        <item m="1" x="1659"/>
        <item m="1" x="2660"/>
        <item m="1" x="3787"/>
        <item m="1" x="4895"/>
        <item m="1" x="5878"/>
        <item m="1" x="6900"/>
        <item m="1" x="759"/>
        <item m="1" x="654"/>
        <item m="1" x="1682"/>
        <item m="1" x="2690"/>
        <item m="1" x="3819"/>
        <item m="1" x="5905"/>
        <item m="1" x="4925"/>
        <item m="1" x="6935"/>
        <item m="1" x="1711"/>
        <item m="1" x="691"/>
        <item m="1" x="788"/>
        <item m="1" x="4959"/>
        <item m="1" x="5935"/>
        <item m="1" x="2721"/>
        <item m="1" x="3856"/>
        <item m="1" x="4652"/>
        <item m="1" x="5668"/>
        <item m="1" x="6654"/>
        <item m="1" x="7865"/>
        <item m="1" x="520"/>
        <item m="1" x="6767"/>
        <item m="1" x="7352"/>
        <item m="1" x="5792"/>
        <item m="1" x="1986"/>
        <item m="1" x="6270"/>
        <item m="1" x="7962"/>
        <item m="1" x="5286"/>
        <item m="1" x="7918"/>
        <item m="1" x="7310"/>
        <item m="1" x="6735"/>
        <item m="1" x="6245"/>
        <item m="1" x="3532"/>
        <item m="1" x="1515"/>
        <item m="1" x="5740"/>
        <item m="1" x="6695"/>
        <item m="1" x="6204"/>
        <item m="1" x="7263"/>
        <item m="1" x="4801"/>
        <item m="1" x="5767"/>
        <item m="1" x="5314"/>
        <item m="1" x="4270"/>
        <item m="1" x="7874"/>
        <item m="1" x="515"/>
        <item m="1" x="2470"/>
        <item m="1" x="5341"/>
        <item m="1" x="3573"/>
        <item m="1" x="1071"/>
        <item m="1" x="1554"/>
        <item m="1" x="2024"/>
        <item m="1" x="2512"/>
        <item m="1" x="3032"/>
        <item m="1" x="4657"/>
        <item m="1" x="1104"/>
        <item m="1" x="1584"/>
        <item m="1" x="2051"/>
        <item m="1" x="2547"/>
        <item m="1" x="3077"/>
        <item m="1" x="3618"/>
        <item m="1" x="4165"/>
        <item m="1" x="4696"/>
        <item m="1" x="5204"/>
        <item m="1" x="5673"/>
        <item m="1" x="2080"/>
        <item m="1" x="2576"/>
        <item m="1" x="4238"/>
        <item m="1" x="3685"/>
        <item m="1" x="3140"/>
        <item m="1" x="6660"/>
        <item m="1" x="6165"/>
        <item m="1" x="5705"/>
        <item m="1" x="5244"/>
        <item m="1" x="4208"/>
        <item m="1" x="3652"/>
        <item m="1" x="3106"/>
        <item m="1" x="4770"/>
        <item m="1" x="4738"/>
        <item m="1" x="7094"/>
        <item m="1" x="6540"/>
        <item m="1" x="4118"/>
        <item m="1" x="6586"/>
        <item m="1" x="3574"/>
        <item m="1" x="7734"/>
        <item m="1" x="4658"/>
        <item m="1" x="5641"/>
        <item m="1" x="6099"/>
        <item m="1" x="5059"/>
        <item m="1" x="7257"/>
        <item m="1" x="3094"/>
        <item m="1" x="4228"/>
        <item m="1" x="5304"/>
        <item m="1" x="6260"/>
        <item m="1" x="7372"/>
        <item m="1" x="3128"/>
        <item m="1" x="4259"/>
        <item m="1" x="5330"/>
        <item m="1" x="6283"/>
        <item m="1" x="7403"/>
        <item m="1" x="86"/>
        <item m="1" x="7301"/>
        <item m="1" x="3168"/>
        <item m="1" x="4297"/>
        <item m="1" x="5363"/>
        <item m="1" x="6552"/>
        <item m="1" x="123"/>
        <item m="1" x="7441"/>
        <item m="1" x="6316"/>
        <item m="1" x="7108"/>
        <item m="1" x="7706"/>
        <item m="1" x="330"/>
        <item m="1" x="882"/>
        <item m="1" x="1390"/>
        <item m="1" x="1849"/>
        <item m="1" x="2333"/>
        <item m="1" x="2844"/>
        <item m="1" x="7746"/>
        <item m="1" x="361"/>
        <item m="1" x="916"/>
        <item m="1" x="1418"/>
        <item m="1" x="1879"/>
        <item m="1" x="2372"/>
        <item m="1" x="2883"/>
        <item m="1" x="3425"/>
        <item m="1" x="3975"/>
        <item m="1" x="396"/>
        <item m="1" x="951"/>
        <item m="1" x="1444"/>
        <item m="1" x="1909"/>
        <item m="1" x="2403"/>
        <item m="1" x="2917"/>
        <item m="1" x="3461"/>
        <item m="1" x="4010"/>
        <item m="1" x="5274"/>
        <item m="1" x="4195"/>
        <item m="1" x="7337"/>
        <item m="1" x="1064"/>
        <item m="1" x="1548"/>
        <item m="1" x="2019"/>
        <item m="1" x="3568"/>
        <item m="1" x="4113"/>
        <item m="1" x="516"/>
        <item m="1" x="7747"/>
        <item m="1" x="7154"/>
        <item m="1" x="6596"/>
        <item m="1" x="7264"/>
        <item m="1" x="1978"/>
        <item m="1" x="2465"/>
        <item m="1" x="2979"/>
        <item m="1" x="7919"/>
        <item m="1" x="1509"/>
        <item m="1" x="1029"/>
        <item m="1" x="7875"/>
        <item m="1" x="479"/>
        <item m="1" x="3026"/>
        <item m="1" x="2509"/>
        <item m="1" x="6696"/>
        <item m="1" x="1935"/>
        <item m="1" x="1468"/>
        <item m="1" x="985"/>
        <item m="1" x="436"/>
        <item m="1" x="2884"/>
        <item m="1" x="2373"/>
        <item m="1" x="1880"/>
        <item m="1" x="1419"/>
        <item m="1" x="917"/>
        <item m="1" x="362"/>
        <item m="1" x="1910"/>
        <item m="1" x="1445"/>
        <item m="1" x="952"/>
        <item m="1" x="397"/>
        <item m="1" x="7798"/>
        <item m="1" x="2918"/>
        <item m="1" x="7833"/>
        <item m="1" x="2404"/>
        <item m="1" x="3462"/>
        <item m="1" x="4011"/>
        <item m="1" x="6182"/>
        <item m="1" x="6221"/>
        <item m="1" x="6251"/>
        <item m="1" x="6272"/>
        <item m="1" x="6302"/>
        <item m="1" x="6341"/>
        <item m="1" x="6828"/>
        <item m="1" x="692"/>
        <item m="1" x="1712"/>
        <item m="1" x="2723"/>
        <item m="1" x="1746"/>
        <item m="1" x="6982"/>
        <item m="1" x="6867"/>
        <item m="1" x="732"/>
        <item m="1" x="2767"/>
        <item m="1" x="7026"/>
        <item m="1" x="1776"/>
        <item m="1" x="6903"/>
        <item m="1" x="764"/>
        <item m="1" x="7057"/>
        <item m="1" x="2801"/>
        <item m="1" x="1806"/>
        <item m="1" x="6939"/>
        <item m="1" x="797"/>
        <item m="1" x="2834"/>
        <item m="1" x="7089"/>
        <item m="1" x="1702"/>
        <item m="1" x="1247"/>
        <item m="1" x="3233"/>
        <item m="1" x="2679"/>
        <item m="1" x="2209"/>
        <item m="1" x="1734"/>
        <item m="1" x="5365"/>
        <item m="1" x="4857"/>
        <item m="1" x="3778"/>
        <item m="1" x="4887"/>
        <item m="1" x="4365"/>
        <item m="1" x="3810"/>
        <item m="1" x="3261"/>
        <item m="1" x="2710"/>
        <item m="1" x="4395"/>
        <item m="1" x="3843"/>
        <item m="1" x="3292"/>
        <item m="1" x="2748"/>
        <item m="1" x="6317"/>
        <item m="1" x="5841"/>
        <item m="1" x="4916"/>
        <item m="1" x="5425"/>
        <item m="1" x="5870"/>
        <item m="1" x="6351"/>
        <item m="1" x="6850"/>
        <item m="1" x="7442"/>
        <item m="1" x="3886"/>
        <item m="1" x="4428"/>
        <item m="1" x="4944"/>
        <item m="1" x="5449"/>
        <item m="1" x="5896"/>
        <item m="1" x="6376"/>
        <item m="1" x="6402"/>
        <item m="1" x="6921"/>
        <item m="1" x="6885"/>
        <item m="1" x="7486"/>
        <item m="1" x="124"/>
        <item m="1" x="4984"/>
        <item m="1" x="5475"/>
        <item m="1" x="5920"/>
        <item m="1" x="7524"/>
        <item m="1" x="167"/>
        <item m="1" x="4424"/>
        <item m="1" x="854"/>
        <item m="1" x="3369"/>
        <item m="1" x="2816"/>
        <item m="1" x="2306"/>
        <item m="1" x="1818"/>
        <item m="1" x="1366"/>
        <item m="1" x="3921"/>
        <item m="1" x="3333"/>
        <item m="1" x="2782"/>
        <item m="1" x="2275"/>
        <item m="1" x="1790"/>
        <item m="1" x="1332"/>
        <item m="1" x="813"/>
        <item m="1" x="266"/>
        <item m="1" x="3881"/>
        <item m="1" x="5472"/>
        <item m="1" x="173"/>
        <item m="1" x="721"/>
        <item m="1" x="4466"/>
        <item m="1" x="4980"/>
        <item m="1" x="1703"/>
        <item m="1" x="2680"/>
        <item m="1" x="3779"/>
        <item m="1" x="4334"/>
        <item m="1" x="2181"/>
        <item m="1" x="753"/>
        <item m="1" x="5960"/>
        <item m="1" x="6431"/>
        <item m="1" x="6958"/>
        <item m="1" x="1730"/>
        <item m="1" x="2744"/>
        <item m="1" x="1275"/>
        <item m="1" x="747"/>
        <item m="1" x="7558"/>
        <item m="1" x="1240"/>
        <item m="1" x="197"/>
        <item m="1" x="1302"/>
        <item m="1" x="779"/>
        <item m="1" x="229"/>
        <item m="1" x="2241"/>
        <item m="1" x="1760"/>
        <item m="1" x="7598"/>
        <item m="1" x="7004"/>
        <item m="1" x="2204"/>
        <item m="1" x="3288"/>
        <item m="1" x="924"/>
        <item m="1" x="7499"/>
        <item m="1" x="7536"/>
        <item m="1" x="7571"/>
        <item m="1" x="7617"/>
        <item m="1" x="7660"/>
        <item m="1" x="857"/>
        <item m="1" x="1855"/>
        <item m="1" x="2891"/>
        <item m="1" x="4023"/>
        <item m="1" x="5107"/>
        <item m="1" x="999"/>
        <item m="1" x="889"/>
        <item m="1" x="1887"/>
        <item m="1" x="2928"/>
        <item m="1" x="4058"/>
        <item m="1" x="5147"/>
        <item m="1" x="1043"/>
        <item m="1" x="1919"/>
        <item m="1" x="2959"/>
        <item m="1" x="4095"/>
        <item m="1" x="5182"/>
        <item m="1" x="1075"/>
        <item m="1" x="5219"/>
        <item m="1" x="4135"/>
        <item m="1" x="3000"/>
        <item m="1" x="1955"/>
        <item m="1" x="961"/>
        <item m="1" x="1224"/>
        <item m="1" x="5346"/>
        <item m="1" x="4277"/>
        <item m="1" x="2087"/>
        <item m="1" x="3147"/>
        <item m="1" x="103"/>
        <item m="1" x="1148"/>
        <item m="1" x="2114"/>
        <item m="1" x="3186"/>
        <item m="1" x="2033"/>
        <item m="1" x="4216"/>
        <item m="1" x="5293"/>
        <item m="1" x="3084"/>
        <item m="1" x="1047"/>
        <item m="1" x="1145"/>
        <item m="1" x="3114"/>
        <item m="1" x="2057"/>
        <item m="1" x="1080"/>
        <item m="1" x="1176"/>
        <item m="1" x="1197"/>
        <item m="1" x="5318"/>
        <item m="1" x="4243"/>
        <item m="1" x="4315"/>
        <item m="1" x="1110"/>
        <item m="1" x="7293"/>
        <item m="1" x="7252"/>
        <item m="1" x="7220"/>
        <item m="1" x="7181"/>
        <item m="1" x="7135"/>
        <item m="1" x="7093"/>
        <item m="1" x="7061"/>
        <item m="1" x="575"/>
        <item m="1" x="1623"/>
        <item m="1" x="2614"/>
        <item m="1" x="3739"/>
        <item m="1" x="4846"/>
        <item m="1" x="5832"/>
        <item m="1" x="6842"/>
        <item m="1" x="705"/>
        <item m="1" x="5861"/>
        <item m="1" x="4877"/>
        <item m="1" x="3770"/>
        <item m="1" x="638"/>
        <item m="1" x="738"/>
        <item m="1" x="6874"/>
        <item m="1" x="5890"/>
        <item m="1" x="4910"/>
        <item m="1" x="3802"/>
        <item m="1" x="2673"/>
        <item m="1" x="1671"/>
        <item m="1" x="669"/>
        <item m="1" x="770"/>
        <item m="1" x="6910"/>
        <item m="1" x="5915"/>
        <item m="1" x="4939"/>
        <item m="1" x="3836"/>
        <item m="1" x="2703"/>
        <item m="1" x="1695"/>
        <item m="1" x="804"/>
        <item m="1" x="6947"/>
        <item m="1" x="608"/>
        <item m="1" x="2645"/>
        <item m="1" x="1647"/>
        <item m="1" x="7984"/>
        <item m="1" x="7946"/>
        <item m="1" x="4943"/>
        <item m="1" x="7492"/>
        <item m="1" x="134"/>
        <item m="1" x="683"/>
        <item m="1" x="1216"/>
        <item m="1" x="1676"/>
        <item m="1" x="2156"/>
        <item m="1" x="2654"/>
        <item m="1" x="3204"/>
        <item m="1" x="2783"/>
        <item m="1" x="3334"/>
        <item m="1" x="2242"/>
        <item m="1" x="2745"/>
        <item m="1" x="3289"/>
        <item m="1" x="3840"/>
        <item m="1" x="4425"/>
        <item m="1" x="3882"/>
        <item m="1" x="267"/>
        <item m="1" x="814"/>
        <item m="1" x="1333"/>
        <item m="1" x="1791"/>
        <item m="1" x="2276"/>
        <item m="1" x="125"/>
        <item m="1" x="676"/>
        <item m="1" x="5476"/>
        <item m="1" x="5921"/>
        <item m="1" x="6922"/>
        <item m="1" x="7525"/>
        <item m="1" x="717"/>
        <item m="1" x="1241"/>
        <item m="1" x="1699"/>
        <item m="1" x="6432"/>
        <item m="1" x="198"/>
        <item m="1" x="748"/>
        <item m="1" x="1276"/>
        <item m="1" x="6959"/>
        <item m="1" x="7559"/>
        <item m="1" x="2707"/>
        <item m="1" x="2205"/>
        <item m="1" x="1731"/>
        <item m="1" x="7599"/>
        <item m="1" x="1303"/>
        <item m="1" x="780"/>
        <item m="1" x="1761"/>
        <item m="1" x="230"/>
        <item m="1" x="7055"/>
        <item m="1" x="7087"/>
        <item m="1" x="7130"/>
        <item m="1" x="7024"/>
        <item m="1" x="6981"/>
        <item m="1" x="6938"/>
        <item m="1" x="7176"/>
        <item m="1" x="7762"/>
        <item m="1" x="414"/>
        <item m="1" x="1488"/>
        <item m="1" x="2489"/>
        <item m="1" x="3595"/>
        <item m="1" x="4714"/>
        <item m="1" x="5723"/>
        <item m="1" x="6714"/>
        <item m="1" x="7936"/>
        <item m="1" x="566"/>
        <item m="1" x="7816"/>
        <item m="1" x="461"/>
        <item m="1" x="1532"/>
        <item m="1" x="2530"/>
        <item m="1" x="3634"/>
        <item m="1" x="4753"/>
        <item m="1" x="5753"/>
        <item m="1" x="6748"/>
        <item m="1" x="7977"/>
        <item m="1" x="602"/>
        <item m="1" x="7859"/>
        <item m="1" x="501"/>
        <item m="1" x="1569"/>
        <item m="1" x="2559"/>
        <item m="1" x="3667"/>
        <item m="1" x="4782"/>
        <item m="1" x="5774"/>
        <item m="1" x="6774"/>
        <item m="1" x="631"/>
        <item m="1" x="2587"/>
        <item m="1" x="6803"/>
        <item m="1" x="5798"/>
        <item m="1" x="4809"/>
        <item m="1" x="658"/>
        <item m="1" x="7941"/>
        <item m="1" x="3698"/>
        <item m="1" x="7898"/>
        <item m="1" x="536"/>
        <item m="1" x="1594"/>
        <item m="1" x="3734"/>
        <item m="1" x="2611"/>
        <item m="1" x="1619"/>
        <item m="1" x="570"/>
        <item m="1" x="4841"/>
        <item m="1" x="5827"/>
        <item m="1" x="6837"/>
        <item m="1" x="3164"/>
        <item m="1" x="4293"/>
        <item m="1" x="6680"/>
        <item m="1" x="7902"/>
        <item m="1" x="6191"/>
        <item m="1" x="7292"/>
        <item m="1" x="5732"/>
        <item m="1" x="6722"/>
        <item m="1" x="6231"/>
        <item m="1" x="5759"/>
        <item m="1" x="5302"/>
        <item m="1" x="4790"/>
        <item m="1" x="3707"/>
        <item m="1" x="4256"/>
        <item m="1" x="4194"/>
        <item m="1" x="4727"/>
        <item m="1" x="5273"/>
        <item m="1" x="5231"/>
        <item m="1" x="4761"/>
        <item m="1" x="5695"/>
        <item m="1" x="4227"/>
        <item m="1" x="2100"/>
        <item m="1" x="3676"/>
        <item m="1" x="3643"/>
        <item m="1" x="3127"/>
        <item m="1" x="3093"/>
        <item m="1" x="2566"/>
        <item m="1" x="2593"/>
        <item m="1" x="7336"/>
        <item m="1" x="540"/>
        <item m="1" x="7949"/>
        <item m="1" x="5359"/>
        <item m="1" x="6754"/>
        <item m="1" x="5807"/>
        <item m="1" x="6258"/>
        <item m="1" x="6280"/>
        <item m="1" x="5782"/>
        <item m="1" x="6781"/>
        <item m="1" x="5327"/>
        <item m="1" x="7370"/>
        <item m="1" x="4818"/>
        <item m="1" x="611"/>
        <item m="1" x="1158"/>
        <item m="1" x="1625"/>
        <item m="1" x="7987"/>
        <item m="1" x="6811"/>
        <item m="1" x="6312"/>
        <item m="1" x="1597"/>
        <item m="1" x="1121"/>
        <item m="1" x="577"/>
        <item m="1" x="4934"/>
        <item m="1" x="635"/>
        <item m="1" x="1668"/>
        <item m="1" x="2670"/>
        <item m="1" x="3799"/>
        <item m="1" x="4906"/>
        <item m="1" x="5887"/>
        <item m="1" x="736"/>
        <item m="1" x="6908"/>
        <item m="1" x="769"/>
        <item m="1" x="3830"/>
        <item m="1" x="2699"/>
        <item m="1" x="1692"/>
        <item m="1" x="802"/>
        <item m="1" x="6872"/>
        <item m="1" x="3609"/>
        <item m="1" x="4151"/>
        <item m="1" x="1124"/>
        <item m="1" x="666"/>
        <item m="1" x="6945"/>
        <item m="1" x="5912"/>
        <item m="1" x="4683"/>
        <item m="1" x="1722"/>
        <item m="1" x="2733"/>
        <item m="1" x="3870"/>
        <item m="1" x="4969"/>
        <item m="1" x="5944"/>
        <item m="1" x="6988"/>
        <item m="1" x="840"/>
        <item m="1" x="7297"/>
        <item m="1" x="7907"/>
        <item m="1" x="508"/>
        <item m="1" x="2067"/>
        <item m="1" x="1601"/>
        <item m="1" x="1056"/>
        <item m="1" x="1540"/>
        <item m="1" x="2011"/>
        <item m="1" x="2501"/>
        <item m="1" x="3017"/>
        <item m="1" x="544"/>
        <item m="1" x="1091"/>
        <item m="1" x="1575"/>
        <item m="1" x="2038"/>
        <item m="1" x="2535"/>
        <item m="1" x="3063"/>
        <item m="1" x="5857"/>
        <item m="1" x="2642"/>
        <item m="1" x="3767"/>
        <item m="1" x="4874"/>
        <item m="1" x="706"/>
        <item m="1" x="4559"/>
        <item m="1" x="2342"/>
        <item m="1" x="270"/>
        <item m="1" x="7018"/>
        <item m="1" x="6822"/>
        <item m="1" x="6765"/>
        <item m="1" x="6792"/>
        <item m="1" x="6860"/>
        <item m="1" x="6896"/>
        <item m="1" x="6931"/>
        <item m="1" x="6974"/>
        <item m="1" x="7605"/>
        <item m="1" x="1368"/>
        <item m="1" x="3433"/>
        <item m="1" x="5584"/>
        <item m="1" x="6556"/>
        <item m="1" x="7750"/>
        <item m="1" x="402"/>
        <item m="1" x="7654"/>
        <item m="1" x="310"/>
        <item m="1" x="1398"/>
        <item m="1" x="2383"/>
        <item m="1" x="3474"/>
        <item m="1" x="4598"/>
        <item m="1" x="5619"/>
        <item m="1" x="7804"/>
        <item m="1" x="451"/>
        <item m="1" x="7682"/>
        <item m="1" x="5651"/>
        <item m="1" x="2415"/>
        <item m="1" x="3507"/>
        <item m="1" x="4633"/>
        <item m="1" x="6601"/>
        <item m="1" x="336"/>
        <item m="1" x="1426"/>
        <item m="1" x="6639"/>
        <item m="1" x="7848"/>
        <item m="1" x="491"/>
        <item m="1" x="7713"/>
        <item m="1" x="1453"/>
        <item m="1" x="368"/>
        <item m="1" x="2445"/>
        <item m="1" x="5685"/>
        <item m="1" x="6672"/>
        <item m="1" x="7887"/>
        <item m="1" x="526"/>
        <item m="1" x="3547"/>
        <item m="1" x="4670"/>
        <item m="1" x="7756"/>
        <item m="1" x="409"/>
        <item m="1" x="1485"/>
        <item m="1" x="2487"/>
        <item m="1" x="6710"/>
        <item m="1" x="7930"/>
        <item m="1" x="457"/>
        <item m="1" x="2527"/>
        <item m="1" x="1528"/>
        <item m="1" x="7809"/>
        <item m="1" x="561"/>
        <item m="1" x="3591"/>
        <item m="1" x="4710"/>
        <item m="1" x="5719"/>
        <item m="1" x="6119"/>
        <item m="1" x="5662"/>
        <item m="1" x="5191"/>
        <item m="1" x="4680"/>
        <item m="1" x="4146"/>
        <item m="1" x="6610"/>
        <item m="1" x="6152"/>
        <item m="1" x="7169"/>
        <item m="1" x="5693"/>
        <item m="1" x="5227"/>
        <item m="1" x="370"/>
        <item m="1" x="7818"/>
        <item m="1" x="7214"/>
        <item m="1" x="6084"/>
        <item m="1" x="5630"/>
        <item m="1" x="5157"/>
        <item m="1" x="4645"/>
        <item m="1" x="7765"/>
        <item m="1" x="6648"/>
        <item m="1" x="7122"/>
        <item m="1" x="6568"/>
        <item m="1" x="4103"/>
        <item m="1" x="4574"/>
        <item m="1" x="4035"/>
        <item m="1" x="4069"/>
        <item m="1" x="3520"/>
        <item m="1" x="2968"/>
        <item m="1" x="2451"/>
        <item m="1" x="1966"/>
        <item m="1" x="5083"/>
        <item m="1" x="3557"/>
        <item m="1" x="3011"/>
        <item m="1" x="6047"/>
        <item m="1" x="5596"/>
        <item m="1" x="5118"/>
        <item m="1" x="1801"/>
        <item m="1" x="4991"/>
        <item m="1" x="1343"/>
        <item m="1" x="5486"/>
        <item m="1" x="829"/>
        <item m="1" x="1861"/>
        <item m="1" x="2349"/>
        <item m="1" x="2861"/>
        <item m="1" x="3305"/>
        <item m="1" x="3409"/>
        <item m="1" x="282"/>
        <item m="1" x="1375"/>
        <item m="1" x="1830"/>
        <item m="1" x="863"/>
        <item m="1" x="2314"/>
        <item m="1" x="4440"/>
        <item m="1" x="2826"/>
        <item m="1" x="3897"/>
        <item m="1" x="3379"/>
        <item m="1" x="3347"/>
        <item m="1" x="3931"/>
        <item m="1" x="2793"/>
        <item m="1" x="4477"/>
        <item m="1" x="4535"/>
        <item m="1" x="5048"/>
        <item m="1" x="7012"/>
        <item m="1" x="6475"/>
        <item m="1" x="5991"/>
        <item m="1" x="5542"/>
        <item m="1" x="5023"/>
        <item m="1" x="5521"/>
        <item m="1" x="3991"/>
        <item m="1" x="7609"/>
        <item m="1" x="2758"/>
        <item m="1" x="2253"/>
        <item m="1" x="3963"/>
        <item m="1" x="4508"/>
        <item m="1" x="1772"/>
        <item m="1" x="1314"/>
        <item m="1" x="793"/>
        <item m="1" x="5966"/>
        <item m="1" x="6442"/>
        <item m="1" x="2895"/>
        <item m="1" x="2286"/>
        <item m="1" x="337"/>
        <item m="1" x="890"/>
        <item m="1" x="1399"/>
        <item m="1" x="1856"/>
        <item m="1" x="2343"/>
        <item m="1" x="859"/>
        <item m="1" x="7116"/>
        <item m="1" x="2852"/>
        <item m="1" x="7684"/>
        <item m="1" x="7080"/>
        <item m="1" x="6520"/>
        <item m="1" x="7047"/>
        <item m="1" x="7715"/>
        <item m="1" x="1821"/>
        <item m="1" x="1369"/>
        <item m="1" x="1888"/>
        <item m="1" x="7367"/>
        <item m="1" x="1182"/>
        <item m="1" x="2149"/>
        <item m="1" x="3228"/>
        <item m="1" x="4358"/>
        <item m="1" x="5419"/>
        <item m="1" x="6371"/>
        <item m="1" x="7517"/>
        <item m="1" x="191"/>
        <item m="1" x="7398"/>
        <item m="1" x="83"/>
        <item m="1" x="1208"/>
        <item m="1" x="2176"/>
        <item m="1" x="3256"/>
        <item m="1" x="4391"/>
        <item m="1" x="5445"/>
        <item m="1" x="6397"/>
        <item m="1" x="7549"/>
        <item m="1" x="218"/>
        <item m="1" x="7437"/>
        <item m="1" x="118"/>
        <item m="1" x="1236"/>
        <item m="1" x="2202"/>
        <item m="1" x="158"/>
        <item m="1" x="7478"/>
        <item m="1" x="6346"/>
        <item m="1" x="5390"/>
        <item m="1" x="4420"/>
        <item m="1" x="3284"/>
        <item m="1" x="6504"/>
        <item m="1" x="6484"/>
        <item m="1" x="5469"/>
        <item m="1" x="6535"/>
        <item m="1" x="6580"/>
        <item m="1" x="6652"/>
        <item m="1" x="6619"/>
        <item m="1" x="6307"/>
        <item m="1" x="1118"/>
        <item m="1" x="2096"/>
        <item m="1" x="7289"/>
        <item m="1" x="6724"/>
        <item m="1" x="6683"/>
        <item m="1" x="3158"/>
        <item m="1" x="4288"/>
        <item m="1" x="5355"/>
        <item m="1" x="7333"/>
        <item m="1" x="114"/>
        <item m="1" x="7434"/>
        <item m="1" x="4327"/>
        <item m="1" x="1155"/>
        <item m="1" x="2123"/>
        <item m="1" x="3196"/>
        <item m="1" x="6529"/>
        <item m="1" x="6575"/>
        <item m="1" x="1169"/>
        <item m="1" x="2132"/>
        <item m="1" x="3209"/>
        <item m="1" x="4338"/>
        <item m="1" x="5402"/>
        <item m="1" x="6356"/>
        <item m="1" x="7490"/>
        <item m="1" x="171"/>
        <item m="1" x="1279"/>
        <item m="1" x="69"/>
        <item m="1" x="1191"/>
        <item m="1" x="2158"/>
        <item m="1" x="7590"/>
        <item m="1" x="7642"/>
        <item m="1" x="7673"/>
        <item m="1" x="7700"/>
        <item m="1" x="7739"/>
        <item m="1" x="7791"/>
        <item m="1" x="7839"/>
        <item m="1" x="1026"/>
        <item m="1" x="2015"/>
        <item m="1" x="3067"/>
        <item m="1" x="4199"/>
        <item m="1" x="5279"/>
        <item m="1" x="6238"/>
        <item m="1" x="7343"/>
        <item m="1" x="1164"/>
        <item m="1" x="1060"/>
        <item m="1" x="2041"/>
        <item m="1" x="3099"/>
        <item m="1" x="5310"/>
        <item m="1" x="4233"/>
        <item m="1" x="7378"/>
        <item m="1" x="65"/>
        <item m="1" x="4304"/>
        <item m="1" x="5370"/>
        <item m="1" x="1186"/>
        <item m="1" x="1094"/>
        <item m="1" x="2072"/>
        <item m="1" x="3134"/>
        <item m="1" x="4265"/>
        <item m="1" x="5337"/>
        <item m="1" x="6288"/>
        <item m="1" x="7410"/>
        <item m="1" x="3175"/>
        <item m="1" x="2105"/>
        <item m="1" x="1132"/>
        <item m="1" x="130"/>
        <item m="1" x="7447"/>
        <item m="1" x="6323"/>
        <item m="1" x="90"/>
        <item m="1" x="1212"/>
        <item m="1" x="3237"/>
        <item m="1" x="4369"/>
        <item m="1" x="5428"/>
        <item m="1" x="6379"/>
        <item m="1" x="202"/>
        <item m="1" x="7529"/>
        <item m="1" x="96"/>
        <item m="1" x="1305"/>
        <item m="1" x="1244"/>
        <item m="1" x="141"/>
        <item m="1" x="1335"/>
        <item m="1" x="2433"/>
        <item m="1" x="2950"/>
        <item m="1" x="3496"/>
        <item m="1" x="4048"/>
        <item m="1" x="487"/>
        <item m="1" x="1038"/>
        <item m="1" x="1516"/>
        <item m="1" x="1987"/>
        <item m="1" x="3102"/>
        <item m="1" x="4203"/>
        <item m="1" x="5239"/>
        <item m="1" x="994"/>
        <item m="1" x="1475"/>
        <item m="1" x="445"/>
        <item m="1" x="7843"/>
        <item m="1" x="3649"/>
        <item m="1" x="2572"/>
        <item m="1" x="2076"/>
        <item m="1" x="1609"/>
        <item m="1" x="591"/>
        <item m="1" x="2543"/>
        <item m="1" x="554"/>
        <item m="1" x="3027"/>
        <item m="1" x="1099"/>
        <item m="1" x="2045"/>
        <item m="1" x="3072"/>
        <item m="1" x="4160"/>
        <item m="1" x="1137"/>
        <item m="1" x="1030"/>
        <item m="1" x="1979"/>
        <item m="1" x="7311"/>
        <item m="1" x="1065"/>
        <item m="1" x="2020"/>
        <item m="1" x="1549"/>
        <item m="1" x="7920"/>
        <item m="1" x="1510"/>
        <item m="1" x="480"/>
        <item m="1" x="7876"/>
        <item m="1" x="6697"/>
        <item m="1" x="437"/>
        <item m="1" x="7834"/>
        <item m="1" x="6661"/>
        <item m="1" x="5706"/>
        <item m="1" x="5245"/>
        <item m="1" x="6166"/>
        <item m="1" x="7229"/>
        <item m="1" x="986"/>
        <item m="1" x="6205"/>
        <item m="1" x="7265"/>
        <item m="1" x="7191"/>
        <item m="1" x="7786"/>
        <item m="1" x="4739"/>
        <item m="1" x="1943"/>
        <item m="1" x="2471"/>
        <item m="1" x="4236"/>
        <item m="1" x="1138"/>
        <item m="1" x="2077"/>
        <item m="1" x="2573"/>
        <item m="1" x="3103"/>
        <item m="1" x="4204"/>
        <item m="1" x="625"/>
        <item m="1" x="1173"/>
        <item m="1" x="1636"/>
        <item m="1" x="2109"/>
        <item m="1" x="2603"/>
        <item m="1" x="3138"/>
        <item m="1" x="3682"/>
        <item m="1" x="592"/>
        <item m="1" x="7997"/>
        <item m="1" x="3073"/>
        <item m="1" x="2046"/>
        <item m="1" x="1581"/>
        <item m="1" x="1072"/>
        <item m="1" x="521"/>
        <item m="1" x="4085"/>
        <item m="1" x="3534"/>
        <item m="1" x="2985"/>
        <item m="1" x="2472"/>
        <item m="1" x="1988"/>
        <item m="1" x="1517"/>
        <item m="1" x="1039"/>
        <item m="1" x="488"/>
        <item m="1" x="7882"/>
        <item m="1" x="5283"/>
        <item m="1" x="1556"/>
        <item m="1" x="2026"/>
        <item m="1" x="4660"/>
        <item m="1" x="4120"/>
        <item m="1" x="3576"/>
        <item m="1" x="3034"/>
        <item m="1" x="4698"/>
        <item m="1" x="3620"/>
        <item m="1" x="4167"/>
        <item m="1" x="2577"/>
        <item m="1" x="5206"/>
        <item m="1" x="5675"/>
        <item m="1" x="6135"/>
        <item m="1" x="2514"/>
        <item m="1" x="5172"/>
        <item m="1" x="2052"/>
        <item m="1" x="2549"/>
        <item m="1" x="3079"/>
        <item m="1" x="3107"/>
        <item m="1" x="3654"/>
        <item m="1" x="4210"/>
        <item m="1" x="4741"/>
        <item m="1" x="1585"/>
        <item m="1" x="5247"/>
        <item m="1" x="5708"/>
        <item m="1" x="1066"/>
        <item m="1" x="2984"/>
        <item m="1" x="3533"/>
        <item m="1" x="4084"/>
        <item m="1" x="4621"/>
        <item m="1" x="5134"/>
        <item m="1" x="1555"/>
        <item m="1" x="2025"/>
        <item m="1" x="6246"/>
        <item m="1" x="6736"/>
        <item m="1" x="7312"/>
        <item m="1" x="517"/>
        <item m="1" x="6698"/>
        <item m="1" x="7266"/>
        <item m="1" x="7877"/>
        <item m="1" x="481"/>
        <item m="1" x="1031"/>
        <item m="1" x="7230"/>
        <item m="1" x="7835"/>
        <item m="1" x="4771"/>
        <item m="1" x="5287"/>
        <item m="1" x="5741"/>
        <item m="1" x="6206"/>
        <item m="1" x="3653"/>
        <item m="1" x="4209"/>
        <item m="1" x="4740"/>
        <item m="1" x="5246"/>
        <item m="1" x="5707"/>
        <item m="1" x="6167"/>
        <item m="1" x="6662"/>
        <item m="1" x="2513"/>
        <item m="1" x="3033"/>
        <item m="1" x="3575"/>
        <item m="1" x="4119"/>
        <item m="1" x="4659"/>
        <item m="1" x="7192"/>
        <item m="1" x="6134"/>
        <item m="1" x="6627"/>
        <item m="1" x="5171"/>
        <item m="1" x="5642"/>
        <item m="1" x="6100"/>
        <item m="1" x="2548"/>
        <item m="1" x="3078"/>
        <item m="1" x="3619"/>
        <item m="1" x="4166"/>
        <item m="1" x="4697"/>
        <item m="1" x="5205"/>
        <item m="1" x="5674"/>
        <item m="1" x="1550"/>
        <item m="1" x="7963"/>
        <item m="1" x="837"/>
        <item m="1" x="7425"/>
        <item m="1" x="7388"/>
        <item m="1" x="7027"/>
        <item m="1" x="6054"/>
        <item m="1" x="7132"/>
        <item m="1" x="971"/>
        <item m="1" x="874"/>
        <item m="1" x="1870"/>
        <item m="1" x="2907"/>
        <item m="1" x="4039"/>
        <item m="1" x="5125"/>
        <item m="1" x="6090"/>
        <item m="1" x="7178"/>
        <item m="1" x="1014"/>
        <item m="1" x="2941"/>
        <item m="1" x="1899"/>
        <item m="1" x="905"/>
        <item m="1" x="6123"/>
        <item m="1" x="7216"/>
        <item m="1" x="871"/>
        <item m="1" x="765"/>
        <item m="1" x="1051"/>
        <item m="1" x="4074"/>
        <item m="1" x="5161"/>
        <item m="1" x="7058"/>
        <item m="1" x="5997"/>
        <item m="1" x="5028"/>
        <item m="1" x="3937"/>
        <item m="1" x="2802"/>
        <item m="1" x="1777"/>
        <item m="1" x="5054"/>
        <item m="1" x="3969"/>
        <item m="1" x="2835"/>
        <item m="1" x="798"/>
        <item m="1" x="1807"/>
        <item m="1" x="899"/>
        <item m="1" x="7090"/>
        <item m="1" x="6021"/>
        <item m="1" x="933"/>
        <item m="1" x="1839"/>
        <item m="1" x="2874"/>
        <item m="1" x="4002"/>
        <item m="1" x="5088"/>
        <item m="1" x="7470"/>
        <item m="1" x="7513"/>
        <item m="1" x="733"/>
        <item m="1" x="1747"/>
        <item m="1" x="2768"/>
        <item m="1" x="3906"/>
        <item m="1" x="5000"/>
        <item m="1" x="5972"/>
        <item m="1" x="978"/>
        <item m="1" x="2879"/>
        <item m="1" x="4973"/>
        <item m="1" x="3061"/>
        <item m="1" x="1119"/>
        <item m="1" x="1019"/>
        <item m="1" x="2009"/>
        <item m="1" x="3944"/>
        <item m="1" x="3390"/>
        <item m="1" x="2842"/>
        <item m="1" x="2328"/>
        <item m="1" x="1844"/>
        <item m="1" x="1386"/>
        <item m="1" x="5505"/>
        <item m="1" x="4491"/>
        <item m="1" x="4460"/>
        <item m="1" x="1784"/>
        <item m="1" x="2267"/>
        <item m="1" x="3325"/>
        <item m="1" x="3361"/>
        <item m="1" x="2366"/>
        <item m="1" x="5947"/>
        <item m="1" x="3420"/>
        <item m="1" x="1087"/>
        <item m="1" x="1970"/>
        <item m="1" x="3015"/>
        <item m="1" x="4149"/>
        <item m="1" x="5229"/>
        <item m="1" x="6189"/>
        <item m="1" x="7290"/>
        <item m="1" x="7250"/>
        <item m="1" x="938"/>
        <item m="1" x="1931"/>
        <item m="1" x="2973"/>
        <item m="1" x="4107"/>
        <item m="1" x="5195"/>
        <item m="1" x="6155"/>
        <item m="1" x="4192"/>
        <item m="1" x="5271"/>
        <item m="1" x="6229"/>
        <item m="1" x="7334"/>
        <item m="1" x="1156"/>
        <item m="1" x="7636"/>
        <item m="1" x="3873"/>
        <item m="1" x="294"/>
        <item m="1" x="844"/>
        <item m="1" x="1355"/>
        <item m="1" x="2297"/>
        <item m="1" x="2809"/>
        <item m="1" x="253"/>
        <item m="1" x="1324"/>
        <item m="1" x="3223"/>
        <item m="1" x="3762"/>
        <item m="1" x="6337"/>
        <item m="1" x="2144"/>
        <item m="1" x="1204"/>
        <item m="1" x="1664"/>
        <item m="1" x="2638"/>
        <item m="1" x="4320"/>
        <item m="1" x="2666"/>
        <item m="1" x="2171"/>
        <item m="1" x="1232"/>
        <item m="1" x="1688"/>
        <item m="1" x="7466"/>
        <item m="1" x="6367"/>
        <item m="1" x="5882"/>
        <item m="1" x="3794"/>
        <item m="1" x="3251"/>
        <item m="1" x="2695"/>
        <item m="1" x="2197"/>
        <item m="1" x="1718"/>
        <item m="1" x="1267"/>
        <item m="1" x="701"/>
        <item m="1" x="156"/>
        <item m="1" x="2728"/>
        <item m="1" x="2230"/>
        <item m="1" x="5821"/>
        <item m="1" x="5384"/>
        <item m="1" x="4870"/>
        <item m="1" x="4353"/>
        <item m="1" x="4902"/>
        <item m="1" x="4384"/>
        <item m="1" x="3276"/>
        <item m="1" x="5414"/>
        <item m="1" x="5853"/>
        <item m="1" x="3727"/>
        <item m="1" x="3190"/>
        <item m="1" x="5439"/>
        <item m="1" x="4412"/>
        <item m="1" x="6830"/>
        <item m="1" x="3319"/>
        <item m="1" x="3863"/>
        <item m="1" x="7474"/>
        <item m="1" x="111"/>
        <item m="1" x="662"/>
        <item m="1" x="4835"/>
        <item m="1" x="1714"/>
        <item m="1" x="6457"/>
        <item m="1" x="6984"/>
        <item m="1" x="7578"/>
        <item m="1" x="3316"/>
        <item m="1" x="2770"/>
        <item m="1" x="2262"/>
        <item m="1" x="1779"/>
        <item m="1" x="1320"/>
        <item m="1" x="800"/>
        <item m="1" x="7510"/>
        <item m="1" x="6905"/>
        <item m="1" x="6393"/>
        <item m="1" x="289"/>
        <item m="1" x="3860"/>
        <item m="1" x="6941"/>
        <item m="1" x="6420"/>
        <item m="1" x="5940"/>
        <item m="1" x="5501"/>
        <item m="1" x="695"/>
        <item m="1" x="152"/>
        <item m="1" x="1263"/>
        <item m="1" x="188"/>
        <item m="1" x="7544"/>
        <item m="1" x="215"/>
        <item m="1" x="767"/>
        <item m="1" x="1293"/>
        <item m="1" x="1749"/>
        <item m="1" x="4965"/>
        <item m="1" x="2227"/>
        <item m="1" x="2725"/>
        <item m="1" x="7628"/>
        <item m="1" x="5463"/>
        <item m="1" x="248"/>
        <item m="1" x="2540"/>
        <item m="1" x="3647"/>
        <item m="1" x="4767"/>
        <item m="1" x="7992"/>
        <item m="1" x="620"/>
        <item m="1" x="7871"/>
        <item m="1" x="512"/>
        <item m="1" x="1578"/>
        <item m="1" x="2570"/>
        <item m="1" x="3680"/>
        <item m="1" x="4797"/>
        <item m="1" x="645"/>
        <item m="1" x="7914"/>
        <item m="1" x="550"/>
        <item m="1" x="1606"/>
        <item m="1" x="2599"/>
        <item m="1" x="3714"/>
        <item m="1" x="679"/>
        <item m="1" x="7958"/>
        <item m="1" x="6952"/>
        <item m="1" x="6996"/>
        <item m="1" x="7037"/>
        <item m="1" x="7070"/>
        <item m="1" x="587"/>
        <item m="1" x="7101"/>
        <item m="1" x="7146"/>
        <item m="1" x="7197"/>
        <item m="1" x="1506"/>
        <item m="1" x="433"/>
        <item m="1" x="7783"/>
        <item m="1" x="476"/>
        <item m="1" x="7830"/>
        <item m="1" x="584"/>
        <item m="1" x="4734"/>
        <item m="1" x="3613"/>
        <item m="1" x="2506"/>
        <item m="1" x="1544"/>
        <item m="1" x="3585"/>
        <item m="1" x="2032"/>
        <item m="1" x="1561"/>
        <item m="1" x="1077"/>
        <item m="1" x="529"/>
        <item m="1" x="7933"/>
        <item m="1" x="7322"/>
        <item m="1" x="858"/>
        <item m="1" x="2521"/>
        <item m="1" x="3891"/>
        <item m="1" x="1740"/>
        <item m="1" x="728"/>
        <item m="1" x="816"/>
        <item m="1" x="2753"/>
        <item m="1" x="3847"/>
        <item m="1" x="687"/>
        <item m="1" x="1707"/>
        <item m="1" x="782"/>
        <item m="1" x="2714"/>
        <item m="1" x="3044"/>
        <item m="1" x="2626"/>
        <item m="1" x="1633"/>
        <item m="1" x="3813"/>
        <item m="1" x="564"/>
        <item m="1" x="1108"/>
        <item m="1" x="3752"/>
        <item m="1" x="3781"/>
        <item m="1" x="2655"/>
        <item m="1" x="1655"/>
        <item m="1" x="622"/>
        <item m="1" x="7994"/>
        <item m="1" x="719"/>
        <item m="1" x="751"/>
        <item m="1" x="649"/>
        <item m="1" x="1677"/>
        <item m="1" x="2682"/>
        <item m="1" x="4699"/>
        <item m="1" x="4168"/>
        <item m="1" x="3621"/>
        <item m="1" x="3080"/>
        <item m="1" x="6587"/>
        <item m="1" x="6101"/>
        <item m="1" x="5207"/>
        <item m="1" x="5676"/>
        <item m="1" x="6136"/>
        <item m="1" x="7964"/>
        <item m="1" x="6628"/>
        <item m="1" x="7193"/>
        <item m="1" x="7787"/>
        <item m="1" x="4211"/>
        <item m="1" x="4742"/>
        <item m="1" x="5248"/>
        <item m="1" x="5709"/>
        <item m="1" x="6663"/>
        <item m="1" x="5288"/>
        <item m="1" x="438"/>
        <item m="1" x="7836"/>
        <item m="1" x="6207"/>
        <item m="1" x="5742"/>
        <item m="1" x="7267"/>
        <item m="1" x="6699"/>
        <item m="1" x="7231"/>
        <item m="1" x="6168"/>
        <item m="1" x="1944"/>
        <item m="1" x="2434"/>
        <item m="1" x="4586"/>
        <item m="1" x="4049"/>
        <item m="1" x="3535"/>
        <item m="1" x="1040"/>
        <item m="1" x="1518"/>
        <item m="1" x="2473"/>
        <item m="1" x="2986"/>
        <item m="1" x="3497"/>
        <item m="1" x="5607"/>
        <item m="1" x="5135"/>
        <item m="1" x="4622"/>
        <item m="1" x="2027"/>
        <item m="1" x="5173"/>
        <item m="1" x="5643"/>
        <item m="1" x="2515"/>
        <item m="1" x="3035"/>
        <item m="1" x="3577"/>
        <item m="1" x="4121"/>
        <item m="1" x="4661"/>
        <item m="1" x="7878"/>
        <item m="1" x="1041"/>
        <item m="1" x="1519"/>
        <item m="1" x="522"/>
        <item m="1" x="1557"/>
        <item m="1" x="2028"/>
        <item m="1" x="3536"/>
        <item m="1" x="6495"/>
        <item m="1" x="6518"/>
        <item m="1" x="6555"/>
        <item m="1" x="6599"/>
        <item m="1" x="6637"/>
        <item m="1" x="6670"/>
        <item m="1" x="6708"/>
        <item m="1" x="6742"/>
        <item m="1" x="73"/>
        <item m="1" x="7456"/>
        <item m="1" x="142"/>
        <item m="1" x="7353"/>
        <item m="1" x="1174"/>
        <item m="1" x="2137"/>
        <item m="1" x="3214"/>
        <item m="1" x="4343"/>
        <item m="1" x="5406"/>
        <item m="1" x="6362"/>
        <item m="1" x="7500"/>
        <item m="1" x="180"/>
        <item m="1" x="7385"/>
        <item m="1" x="1195"/>
        <item m="1" x="5434"/>
        <item m="1" x="6387"/>
        <item m="1" x="7537"/>
        <item m="1" x="208"/>
        <item m="1" x="4374"/>
        <item m="1" x="3242"/>
        <item m="1" x="2163"/>
        <item m="1" x="5460"/>
        <item m="1" x="4405"/>
        <item m="1" x="3268"/>
        <item m="1" x="2189"/>
        <item m="1" x="100"/>
        <item m="1" x="7417"/>
        <item m="1" x="7572"/>
        <item m="1" x="241"/>
        <item m="1" x="7461"/>
        <item m="1" x="147"/>
        <item m="1" x="6415"/>
        <item m="1" x="1221"/>
        <item m="1" x="1258"/>
        <item m="1" x="2222"/>
        <item m="1" x="3311"/>
        <item m="1" x="4446"/>
        <item m="1" x="5494"/>
        <item m="1" x="6451"/>
        <item m="1" x="3180"/>
        <item m="1" x="2110"/>
        <item m="1" x="1140"/>
        <item m="1" x="7505"/>
        <item m="1" x="279"/>
        <item m="1" x="7618"/>
        <item m="1" x="4309"/>
        <item m="1" x="5374"/>
        <item m="1" x="6328"/>
        <item m="1" x="3826"/>
        <item m="1" x="3277"/>
        <item m="1" x="2729"/>
        <item m="1" x="5883"/>
        <item m="1" x="5440"/>
        <item m="1" x="4930"/>
        <item m="1" x="6831"/>
        <item m="1" x="7422"/>
        <item m="1" x="3864"/>
        <item m="1" x="4413"/>
        <item m="1" x="6338"/>
        <item m="1" x="5415"/>
        <item m="1" x="4903"/>
        <item m="1" x="4385"/>
        <item m="1" x="5854"/>
        <item m="1" x="7467"/>
        <item m="1" x="6869"/>
        <item m="1" x="6368"/>
        <item m="1" x="2145"/>
        <item m="1" x="1665"/>
        <item m="1" x="1205"/>
        <item m="1" x="663"/>
        <item m="1" x="112"/>
        <item m="1" x="1233"/>
        <item m="1" x="702"/>
        <item m="1" x="4281"/>
        <item m="1" x="3728"/>
        <item m="1" x="3191"/>
        <item m="1" x="2639"/>
        <item m="1" x="1719"/>
        <item m="1" x="4321"/>
        <item m="1" x="3763"/>
        <item m="1" x="3224"/>
        <item m="1" x="2667"/>
        <item m="1" x="2172"/>
        <item m="1" x="1689"/>
        <item m="1" x="5348"/>
        <item m="1" x="4836"/>
        <item m="1" x="4354"/>
        <item m="1" x="3795"/>
        <item m="1" x="3252"/>
        <item m="1" x="2696"/>
        <item m="1" x="2198"/>
        <item m="1" x="6299"/>
        <item m="1" x="5822"/>
        <item m="1" x="5385"/>
        <item m="1" x="4871"/>
        <item m="1" x="7890"/>
        <item m="1" x="6713"/>
        <item m="1" x="7415"/>
        <item m="1" x="203"/>
        <item m="1" x="7530"/>
        <item m="1" x="565"/>
        <item m="1" x="4129"/>
        <item m="1" x="1588"/>
        <item m="1" x="494"/>
        <item m="1" x="7934"/>
        <item m="1" x="2995"/>
        <item m="1" x="2482"/>
        <item m="1" x="1996"/>
        <item m="1" x="1525"/>
        <item m="1" x="1045"/>
        <item m="1" x="2522"/>
        <item m="1" x="1562"/>
        <item m="1" x="1078"/>
        <item m="1" x="530"/>
        <item m="1" x="7565"/>
        <item m="1" x="235"/>
        <item m="1" x="7457"/>
        <item m="1" x="143"/>
        <item m="1" x="3586"/>
        <item m="1" x="3045"/>
        <item m="1" x="1254"/>
        <item m="1" x="2217"/>
        <item m="1" x="3300"/>
        <item m="1" x="4435"/>
        <item m="1" x="5482"/>
        <item m="1" x="6439"/>
        <item m="1" x="1218"/>
        <item m="1" x="2184"/>
        <item m="1" x="3264"/>
        <item m="1" x="4399"/>
        <item m="1" x="97"/>
        <item m="1" x="7606"/>
        <item m="1" x="5453"/>
        <item m="1" x="6407"/>
        <item m="1" x="5429"/>
        <item m="1" x="4370"/>
        <item m="1" x="6380"/>
        <item m="1" x="2133"/>
        <item m="1" x="6357"/>
        <item m="1" x="7491"/>
        <item m="1" x="172"/>
        <item m="1" x="3210"/>
        <item m="1" x="4339"/>
        <item m="1" x="5403"/>
        <item m="1" x="70"/>
        <item m="1" x="7382"/>
        <item m="1" x="1192"/>
        <item m="1" x="2159"/>
        <item m="1" x="3238"/>
        <item m="1" x="271"/>
        <item m="1" x="1330"/>
        <item m="1" x="3398"/>
        <item m="1" x="4526"/>
        <item m="1" x="5558"/>
        <item m="1" x="6515"/>
        <item m="1" x="7704"/>
        <item m="1" x="358"/>
        <item m="1" x="227"/>
        <item m="1" x="1416"/>
        <item m="1" x="6295"/>
        <item m="1" x="6796"/>
        <item m="1" x="264"/>
        <item m="1" x="1363"/>
        <item m="1" x="2338"/>
        <item m="1" x="3430"/>
        <item m="1" x="4556"/>
        <item m="1" x="5582"/>
        <item m="1" x="6550"/>
        <item m="1" x="7743"/>
        <item m="1" x="392"/>
        <item m="1" x="1472"/>
        <item m="1" x="306"/>
        <item m="1" x="1393"/>
        <item m="1" x="2377"/>
        <item m="1" x="3470"/>
        <item m="1" x="4594"/>
        <item m="1" x="5615"/>
        <item m="1" x="6594"/>
        <item m="1" x="7794"/>
        <item m="1" x="441"/>
        <item m="1" x="1513"/>
        <item m="1" x="332"/>
        <item m="1" x="1421"/>
        <item m="1" x="2409"/>
        <item m="1" x="3503"/>
        <item m="1" x="4627"/>
        <item m="1" x="5647"/>
        <item m="1" x="6632"/>
        <item m="1" x="7841"/>
        <item m="1" x="485"/>
        <item m="1" x="1553"/>
        <item m="1" x="364"/>
        <item m="1" x="1449"/>
        <item m="1" x="2440"/>
        <item m="1" x="3541"/>
        <item m="1" x="4664"/>
        <item m="1" x="5680"/>
        <item m="1" x="6667"/>
        <item m="1" x="7881"/>
        <item m="1" x="519"/>
        <item m="1" x="1583"/>
        <item m="1" x="403"/>
        <item m="1" x="1481"/>
        <item m="1" x="2479"/>
        <item m="1" x="3582"/>
        <item m="1" x="4704"/>
        <item m="1" x="5715"/>
        <item m="1" x="6705"/>
        <item m="1" x="7925"/>
        <item m="1" x="558"/>
        <item m="1" x="1611"/>
        <item m="1" x="452"/>
        <item m="1" x="1523"/>
        <item m="1" x="2519"/>
        <item m="1" x="3625"/>
        <item m="1" x="4746"/>
        <item m="1" x="5746"/>
        <item m="1" x="6740"/>
        <item m="1" x="7968"/>
        <item m="1" x="596"/>
        <item m="1" x="1639"/>
        <item m="1" x="283"/>
        <item m="1" x="830"/>
        <item m="1" x="1344"/>
        <item m="1" x="1802"/>
        <item m="1" x="2794"/>
        <item m="1" x="3348"/>
        <item m="1" x="3898"/>
        <item m="1" x="1831"/>
        <item m="1" x="1376"/>
        <item m="1" x="864"/>
        <item m="1" x="749"/>
        <item m="1" x="1277"/>
        <item m="1" x="1732"/>
        <item m="1" x="7560"/>
        <item m="1" x="199"/>
        <item m="1" x="6960"/>
        <item m="1" x="2206"/>
        <item m="1" x="7005"/>
        <item m="1" x="7600"/>
        <item m="1" x="231"/>
        <item m="1" x="781"/>
        <item m="1" x="1304"/>
        <item m="1" x="1762"/>
        <item m="1" x="2243"/>
        <item m="1" x="2746"/>
        <item m="1" x="3290"/>
        <item m="1" x="268"/>
        <item m="1" x="815"/>
        <item m="1" x="1334"/>
        <item m="1" x="1792"/>
        <item m="1" x="2277"/>
        <item m="1" x="2784"/>
        <item m="1" x="3335"/>
        <item m="1" x="3883"/>
        <item m="1" x="4426"/>
        <item m="1" x="855"/>
        <item m="1" x="1367"/>
        <item m="1" x="1819"/>
        <item m="1" x="2307"/>
        <item m="1" x="2817"/>
        <item m="1" x="3370"/>
        <item m="1" x="3922"/>
        <item m="1" x="4467"/>
        <item m="1" x="4981"/>
        <item m="1" x="5473"/>
        <item m="1" x="174"/>
        <item m="1" x="722"/>
        <item m="1" x="1248"/>
        <item m="1" x="2182"/>
        <item m="1" x="1704"/>
        <item m="1" x="1735"/>
        <item m="1" x="2210"/>
        <item m="1" x="2711"/>
        <item m="1" x="3811"/>
        <item m="1" x="4366"/>
        <item m="1" x="4888"/>
        <item m="1" x="5398"/>
        <item m="1" x="1763"/>
        <item m="1" x="2749"/>
        <item m="1" x="1008"/>
        <item m="1" x="2003"/>
        <item m="1" x="3053"/>
        <item m="1" x="4183"/>
        <item m="1" x="7663"/>
        <item m="1" x="7690"/>
        <item m="1" x="7624"/>
        <item m="1" x="7820"/>
        <item m="1" x="7772"/>
        <item m="1" x="7723"/>
        <item m="1" x="5263"/>
        <item m="1" x="7540"/>
        <item m="1" x="7575"/>
        <item m="1" x="7504"/>
        <item m="1" x="6223"/>
        <item m="1" x="1265"/>
        <item m="1" x="154"/>
        <item m="1" x="1177"/>
        <item m="1" x="2093"/>
        <item m="1" x="3155"/>
        <item m="1" x="7473"/>
        <item m="1" x="5321"/>
        <item m="1" x="3120"/>
        <item m="1" x="1084"/>
        <item m="1" x="3194"/>
        <item m="1" x="1153"/>
        <item m="1" x="7391"/>
        <item m="1" x="5352"/>
        <item m="1" x="4285"/>
        <item m="1" x="6304"/>
        <item m="1" x="1228"/>
        <item m="1" x="7359"/>
        <item m="1" x="107"/>
        <item m="1" x="4250"/>
        <item m="1" x="1180"/>
        <item m="1" x="6343"/>
        <item m="1" x="5388"/>
        <item m="1" x="4324"/>
        <item m="1" x="1114"/>
        <item m="1" x="78"/>
        <item m="1" x="1200"/>
        <item m="1" x="2120"/>
        <item m="1" x="6274"/>
        <item m="1" x="2062"/>
        <item m="1" x="7428"/>
        <item m="1" x="4417"/>
        <item m="1" x="5466"/>
        <item m="1" x="6423"/>
        <item m="1" x="7581"/>
        <item m="1" x="250"/>
        <item m="1" x="1352"/>
        <item m="1" x="3280"/>
        <item m="1" x="1235"/>
        <item m="1" x="2200"/>
        <item m="1" x="115"/>
        <item m="1" x="3322"/>
        <item m="1" x="794"/>
        <item m="1" x="7149"/>
        <item m="1" x="2886"/>
        <item m="1" x="4018"/>
        <item m="1" x="5102"/>
        <item m="1" x="6069"/>
        <item m="1" x="243"/>
        <item m="1" x="7621"/>
        <item m="1" x="1141"/>
        <item m="1" x="989"/>
        <item m="1" x="7198"/>
        <item m="1" x="6104"/>
        <item m="1" x="5140"/>
        <item m="1" x="4053"/>
        <item m="1" x="2923"/>
        <item m="1" x="1882"/>
        <item m="1" x="884"/>
        <item m="1" x="919"/>
        <item m="1" x="1035"/>
        <item m="1" x="1914"/>
        <item m="1" x="6139"/>
        <item m="1" x="7234"/>
        <item m="1" x="1069"/>
        <item m="1" x="5176"/>
        <item m="1" x="4088"/>
        <item m="1" x="2954"/>
        <item m="1" x="3851"/>
        <item m="1" x="3306"/>
        <item m="1" x="2759"/>
        <item m="1" x="2254"/>
        <item m="1" x="1773"/>
        <item m="1" x="1315"/>
        <item m="1" x="1345"/>
        <item m="1" x="5213"/>
        <item m="1" x="2992"/>
        <item m="1" x="1950"/>
        <item m="1" x="956"/>
        <item m="1" x="831"/>
        <item m="1" x="4126"/>
        <item m="1" x="6174"/>
        <item m="1" x="7273"/>
        <item m="1" x="1000"/>
        <item m="1" x="1102"/>
        <item m="1" x="7315"/>
        <item m="1" x="6213"/>
        <item m="1" x="5253"/>
        <item m="1" x="4172"/>
        <item m="1" x="1993"/>
        <item m="1" x="3040"/>
        <item m="1" x="805"/>
        <item m="1" x="576"/>
        <item m="1" x="1624"/>
        <item m="1" x="2615"/>
        <item m="1" x="3740"/>
        <item m="1" x="4847"/>
        <item m="1" x="5833"/>
        <item m="1" x="6843"/>
        <item m="1" x="707"/>
        <item m="1" x="7985"/>
        <item m="1" x="609"/>
        <item m="1" x="1648"/>
        <item m="1" x="2646"/>
        <item m="1" x="3771"/>
        <item m="1" x="5862"/>
        <item m="1" x="6875"/>
        <item m="1" x="739"/>
        <item m="1" x="6991"/>
        <item m="1" x="4878"/>
        <item m="1" x="639"/>
        <item m="1" x="1672"/>
        <item m="1" x="2674"/>
        <item m="1" x="3803"/>
        <item m="1" x="4911"/>
        <item m="1" x="5891"/>
        <item m="1" x="6911"/>
        <item m="1" x="6948"/>
        <item m="1" x="4940"/>
        <item m="1" x="3837"/>
        <item m="1" x="670"/>
        <item m="1" x="771"/>
        <item m="1" x="2704"/>
        <item m="1" x="1696"/>
        <item m="1" x="5916"/>
        <item m="1" x="5950"/>
        <item m="1" x="4976"/>
        <item m="1" x="3877"/>
        <item m="1" x="2740"/>
        <item m="1" x="1725"/>
        <item m="1" x="710"/>
        <item m="1" x="3916"/>
        <item m="1" x="2777"/>
        <item m="1" x="1756"/>
        <item m="1" x="741"/>
        <item m="1" x="842"/>
        <item m="1" x="7947"/>
        <item m="1" x="6403"/>
        <item m="1" x="6923"/>
        <item m="1" x="7526"/>
        <item m="1" x="959"/>
        <item m="1" x="1820"/>
        <item m="1" x="6560"/>
        <item m="1" x="7112"/>
        <item m="1" x="7711"/>
        <item m="1" x="887"/>
        <item m="1" x="1396"/>
        <item m="1" x="1853"/>
        <item m="1" x="407"/>
        <item m="1" x="366"/>
        <item m="1" x="922"/>
        <item m="1" x="1424"/>
        <item m="1" x="1885"/>
        <item m="1" x="2380"/>
        <item m="1" x="2889"/>
        <item m="1" x="7754"/>
        <item m="1" x="2851"/>
        <item m="1" x="3982"/>
        <item m="1" x="5961"/>
        <item m="1" x="5514"/>
        <item m="1" x="5015"/>
        <item m="1" x="4500"/>
        <item m="1" x="3954"/>
        <item m="1" x="3402"/>
        <item m="1" x="2853"/>
        <item m="1" x="2384"/>
        <item m="1" x="2412"/>
        <item m="1" x="1917"/>
        <item m="1" x="3924"/>
        <item m="1" x="3372"/>
        <item m="1" x="2818"/>
        <item m="1" x="2308"/>
        <item m="1" x="1451"/>
        <item m="1" x="4470"/>
        <item m="1" x="4985"/>
        <item m="1" x="1400"/>
        <item m="1" x="1857"/>
        <item m="1" x="2344"/>
        <item m="1" x="2926"/>
        <item m="1" x="3472"/>
        <item m="1" x="4021"/>
        <item m="1" x="4558"/>
        <item m="1" x="5070"/>
        <item m="1" x="7656"/>
        <item m="1" x="272"/>
        <item m="1" x="818"/>
        <item m="1" x="1336"/>
        <item m="1" x="1793"/>
        <item m="1" x="2278"/>
        <item m="1" x="2785"/>
        <item m="1" x="3338"/>
        <item m="1" x="3887"/>
        <item m="1" x="311"/>
        <item m="1" x="1822"/>
        <item m="1" x="860"/>
        <item m="1" x="1370"/>
        <item m="1" x="3232"/>
        <item m="1" x="6374"/>
        <item m="1" x="120"/>
        <item m="1" x="6880"/>
        <item m="1" x="7480"/>
        <item m="1" x="6281"/>
        <item m="1" x="5808"/>
        <item m="1" x="5360"/>
        <item m="1" x="4854"/>
        <item m="1" x="4331"/>
        <item m="1" x="3777"/>
        <item m="1" x="5394"/>
        <item m="1" x="4884"/>
        <item m="1" x="4363"/>
        <item m="1" x="7988"/>
        <item m="1" x="7371"/>
        <item m="1" x="6782"/>
        <item m="1" x="7401"/>
        <item m="1" x="6812"/>
        <item m="1" x="6313"/>
        <item m="1" x="5840"/>
        <item m="1" x="5423"/>
        <item m="1" x="5868"/>
        <item m="1" x="6348"/>
        <item m="1" x="6848"/>
        <item m="1" x="7439"/>
        <item m="1" x="612"/>
        <item m="1" x="84"/>
        <item m="1" x="640"/>
        <item m="1" x="1183"/>
        <item m="1" x="1649"/>
        <item m="1" x="5303"/>
        <item m="1" x="4791"/>
        <item m="1" x="4257"/>
        <item m="1" x="3165"/>
        <item m="1" x="2620"/>
        <item m="1" x="2126"/>
        <item m="1" x="3200"/>
        <item m="1" x="2651"/>
        <item m="1" x="2152"/>
        <item m="1" x="5760"/>
        <item m="1" x="3747"/>
        <item m="1" x="6259"/>
        <item m="1" x="5783"/>
        <item m="1" x="5328"/>
        <item m="1" x="6755"/>
        <item m="1" x="4294"/>
        <item m="1" x="4819"/>
        <item m="1" x="3708"/>
        <item m="1" x="4880"/>
        <item m="1" x="7404"/>
        <item m="1" x="672"/>
        <item m="1" x="1209"/>
        <item m="1" x="1673"/>
        <item m="1" x="2150"/>
        <item m="1" x="1238"/>
        <item m="1" x="712"/>
        <item m="1" x="2647"/>
        <item m="1" x="161"/>
        <item m="1" x="1697"/>
        <item m="1" x="2178"/>
        <item m="1" x="2675"/>
        <item m="1" x="3229"/>
        <item m="1" x="3773"/>
        <item m="1" x="3805"/>
        <item m="1" x="4360"/>
        <item m="1" x="743"/>
        <item m="1" x="1270"/>
        <item m="1" x="1726"/>
        <item m="1" x="2705"/>
        <item m="1" x="3258"/>
        <item m="1" x="527"/>
        <item m="1" x="3548"/>
        <item m="1" x="4671"/>
        <item m="1" x="5686"/>
        <item m="1" x="6673"/>
        <item m="1" x="7888"/>
        <item m="1" x="7019"/>
        <item m="1" x="6975"/>
        <item m="1" x="6932"/>
        <item m="1" x="6897"/>
        <item m="1" x="6823"/>
        <item m="1" x="6861"/>
        <item m="1" x="4560"/>
        <item m="1" x="3434"/>
        <item m="1" x="7607"/>
        <item m="1" x="7655"/>
        <item m="1" x="404"/>
        <item m="1" x="7751"/>
        <item m="1" x="6557"/>
        <item m="1" x="5585"/>
        <item m="1" x="6602"/>
        <item m="1" x="5620"/>
        <item m="1" x="4599"/>
        <item m="1" x="3475"/>
        <item m="1" x="7805"/>
        <item m="1" x="453"/>
        <item m="1" x="7683"/>
        <item m="1" x="3508"/>
        <item m="1" x="4634"/>
        <item m="1" x="5652"/>
        <item m="1" x="6640"/>
        <item m="1" x="7849"/>
        <item m="1" x="492"/>
        <item m="1" x="7714"/>
        <item m="1" x="3416"/>
        <item m="1" x="2871"/>
        <item m="1" x="3592"/>
        <item m="1" x="2359"/>
        <item m="1" x="4777"/>
        <item m="1" x="5720"/>
        <item m="1" x="4711"/>
        <item m="1" x="7972"/>
        <item m="1" x="6744"/>
        <item m="1" x="4750"/>
        <item m="1" x="5749"/>
        <item m="1" x="3631"/>
        <item m="1" x="7810"/>
        <item m="1" x="562"/>
        <item m="1" x="7931"/>
        <item m="1" x="6711"/>
        <item m="1" x="3661"/>
        <item m="1" x="7853"/>
        <item m="1" x="599"/>
        <item m="1" x="3692"/>
        <item m="1" x="4806"/>
        <item m="1" x="5795"/>
        <item m="1" x="6799"/>
        <item m="1" x="3725"/>
        <item m="1" x="655"/>
        <item m="1" x="7726"/>
        <item m="1" x="7937"/>
        <item m="1" x="7133"/>
        <item m="1" x="6829"/>
        <item m="1" x="5820"/>
        <item m="1" x="693"/>
        <item m="1" x="4833"/>
        <item m="1" x="348"/>
        <item m="1" x="6770"/>
        <item m="1" x="628"/>
        <item m="1" x="7893"/>
        <item m="1" x="1868"/>
        <item m="1" x="903"/>
        <item m="1" x="1409"/>
        <item m="1" x="5771"/>
        <item m="1" x="7757"/>
        <item m="1" x="166"/>
        <item m="1" x="1274"/>
        <item m="1" x="2240"/>
        <item m="1" x="3331"/>
        <item m="1" x="7485"/>
        <item m="1" x="7647"/>
        <item m="1" x="302"/>
        <item m="1" x="7523"/>
        <item m="1" x="196"/>
        <item m="1" x="1301"/>
        <item m="1" x="2274"/>
        <item m="1" x="3367"/>
        <item m="1" x="7677"/>
        <item m="1" x="329"/>
        <item m="1" x="7557"/>
        <item m="1" x="228"/>
        <item m="1" x="1331"/>
        <item m="1" x="2305"/>
        <item m="1" x="3399"/>
        <item m="1" x="6516"/>
        <item m="1" x="7705"/>
        <item m="1" x="1364"/>
        <item m="1" x="2339"/>
        <item m="1" x="486"/>
        <item m="1" x="7709"/>
        <item m="1" x="265"/>
        <item m="1" x="359"/>
        <item m="1" x="7597"/>
        <item m="1" x="3431"/>
        <item m="1" x="6551"/>
        <item m="1" x="7744"/>
        <item m="1" x="393"/>
        <item m="1" x="7650"/>
        <item m="1" x="307"/>
        <item m="1" x="1394"/>
        <item m="1" x="2378"/>
        <item m="1" x="6595"/>
        <item m="1" x="7795"/>
        <item m="1" x="442"/>
        <item m="1" x="7679"/>
        <item m="1" x="333"/>
        <item m="1" x="1422"/>
        <item m="1" x="2410"/>
        <item m="1" x="260"/>
        <item m="1" x="7593"/>
        <item m="1" x="7842"/>
        <item m="1" x="6633"/>
        <item m="1" x="1832"/>
        <item m="1" x="2315"/>
        <item m="1" x="2827"/>
        <item m="1" x="7622"/>
        <item m="1" x="1427"/>
        <item m="1" x="1889"/>
        <item m="1" x="2385"/>
        <item m="1" x="2892"/>
        <item m="1" x="3984"/>
        <item m="1" x="4529"/>
        <item m="1" x="7021"/>
        <item m="1" x="5561"/>
        <item m="1" x="5075"/>
        <item m="1" x="236"/>
        <item m="1" x="7610"/>
        <item m="1" x="7657"/>
        <item m="1" x="273"/>
        <item m="1" x="819"/>
        <item m="1" x="7048"/>
        <item m="1" x="6016"/>
        <item m="1" x="1337"/>
        <item m="1" x="6041"/>
        <item m="1" x="6521"/>
        <item m="1" x="7081"/>
        <item m="1" x="312"/>
        <item m="1" x="7716"/>
        <item m="1" x="7117"/>
        <item m="1" x="861"/>
        <item m="1" x="1823"/>
        <item m="1" x="2309"/>
        <item m="1" x="1401"/>
        <item m="1" x="891"/>
        <item m="1" x="1858"/>
        <item m="1" x="3403"/>
        <item m="1" x="2854"/>
        <item m="1" x="3380"/>
        <item m="1" x="3932"/>
        <item m="1" x="4478"/>
        <item m="1" x="4992"/>
        <item m="1" x="925"/>
        <item m="1" x="369"/>
        <item m="1" x="5487"/>
        <item m="1" x="5926"/>
        <item m="1" x="6408"/>
        <item m="1" x="2862"/>
        <item m="1" x="3410"/>
        <item m="1" x="3964"/>
        <item m="1" x="4509"/>
        <item m="1" x="3992"/>
        <item m="1" x="5024"/>
        <item m="1" x="5522"/>
        <item m="1" x="5967"/>
        <item m="1" x="6443"/>
        <item m="1" x="6967"/>
        <item m="1" x="7566"/>
        <item m="1" x="6476"/>
        <item m="1" x="5992"/>
        <item m="1" x="5543"/>
        <item m="1" x="5049"/>
        <item m="1" x="4536"/>
        <item m="1" x="7013"/>
        <item m="1" x="3993"/>
        <item m="1" x="3442"/>
        <item m="1" x="2896"/>
        <item m="1" x="6444"/>
        <item m="1" x="5968"/>
        <item m="1" x="5993"/>
        <item m="1" x="5544"/>
        <item m="1" x="5050"/>
        <item m="1" x="4537"/>
        <item m="1" x="2795"/>
        <item m="1" x="3349"/>
        <item m="1" x="3899"/>
        <item m="1" x="4441"/>
        <item m="1" x="865"/>
        <item m="1" x="1377"/>
        <item m="1" x="1833"/>
        <item m="1" x="2316"/>
        <item m="1" x="2828"/>
        <item m="1" x="5111"/>
        <item m="1" x="284"/>
        <item m="1" x="5488"/>
        <item m="1" x="244"/>
        <item m="1" x="795"/>
        <item m="1" x="1316"/>
        <item m="1" x="1774"/>
        <item m="1" x="2255"/>
        <item m="1" x="2760"/>
        <item m="1" x="3307"/>
        <item m="1" x="6477"/>
        <item m="1" x="7014"/>
        <item m="1" x="2350"/>
        <item m="1" x="1862"/>
        <item m="1" x="832"/>
        <item m="1" x="1346"/>
        <item m="1" x="1803"/>
        <item m="1" x="2287"/>
        <item m="1" x="274"/>
        <item m="1" x="7658"/>
        <item m="1" x="6498"/>
        <item m="1" x="7049"/>
        <item m="1" x="6017"/>
        <item m="1" x="5562"/>
        <item m="1" x="5076"/>
        <item m="1" x="4565"/>
        <item m="1" x="4028"/>
        <item m="1" x="7611"/>
        <item m="1" x="5523"/>
        <item m="1" x="5025"/>
        <item m="1" x="3411"/>
        <item m="1" x="2863"/>
        <item m="1" x="4510"/>
        <item m="1" x="3965"/>
        <item m="1" x="4479"/>
        <item m="1" x="3933"/>
        <item m="1" x="3381"/>
        <item m="1" x="4993"/>
        <item m="1" x="7511"/>
        <item m="1" x="153"/>
        <item m="1" x="696"/>
        <item m="1" x="216"/>
        <item m="1" x="7579"/>
        <item m="1" x="6985"/>
        <item m="1" x="6458"/>
        <item m="1" x="1715"/>
        <item m="1" x="1264"/>
        <item m="1" x="735"/>
        <item m="1" x="189"/>
        <item m="1" x="7545"/>
        <item m="1" x="6942"/>
        <item m="1" x="6421"/>
        <item m="1" x="5941"/>
        <item m="1" x="5502"/>
        <item m="1" x="768"/>
        <item m="1" x="1294"/>
        <item m="1" x="1750"/>
        <item m="1" x="2228"/>
        <item m="1" x="2726"/>
        <item m="1" x="7629"/>
        <item m="1" x="249"/>
        <item m="1" x="801"/>
        <item m="1" x="1321"/>
        <item m="1" x="1780"/>
        <item m="1" x="2263"/>
        <item m="1" x="2771"/>
        <item m="1" x="6339"/>
        <item m="1" x="6394"/>
        <item m="1" x="5464"/>
        <item m="1" x="5909"/>
        <item m="1" x="3320"/>
        <item m="1" x="4414"/>
        <item m="1" x="4931"/>
        <item m="1" x="5441"/>
        <item m="1" x="5884"/>
        <item m="1" x="6369"/>
        <item m="1" x="6870"/>
        <item m="1" x="4966"/>
        <item m="1" x="4456"/>
        <item m="1" x="7468"/>
        <item m="1" x="3865"/>
        <item m="1" x="2293"/>
        <item m="1" x="1809"/>
        <item m="1" x="1351"/>
        <item m="1" x="839"/>
        <item m="1" x="290"/>
        <item m="1" x="3861"/>
        <item m="1" x="3356"/>
        <item m="1" x="2804"/>
        <item m="1" x="3908"/>
        <item m="1" x="3939"/>
        <item m="1" x="4487"/>
        <item m="1" x="4963"/>
        <item m="1" x="4453"/>
        <item m="1" x="3317"/>
        <item m="1" x="6906"/>
        <item m="1" x="3386"/>
        <item m="1" x="5939"/>
        <item m="1" x="5498"/>
        <item m="1" x="5002"/>
        <item m="1" x="1840"/>
        <item m="1" x="2324"/>
        <item m="1" x="2838"/>
        <item m="1" x="6832"/>
        <item m="1" x="5677"/>
        <item m="1" x="5208"/>
        <item m="1" x="585"/>
        <item m="1" x="675"/>
        <item m="1" x="1698"/>
        <item m="1" x="1632"/>
        <item m="1" x="2624"/>
        <item m="1" x="3749"/>
        <item m="1" x="4856"/>
        <item m="1" x="715"/>
        <item m="1" x="1728"/>
        <item m="1" x="398"/>
        <item m="1" x="953"/>
        <item m="1" x="1446"/>
        <item m="1" x="1911"/>
        <item m="1" x="2405"/>
        <item m="1" x="2919"/>
        <item m="1" x="3463"/>
        <item m="1" x="4012"/>
        <item m="1" x="4551"/>
        <item m="1" x="995"/>
        <item m="1" x="1476"/>
        <item m="1" x="1945"/>
        <item m="1" x="2435"/>
        <item m="1" x="2951"/>
        <item m="1" x="3498"/>
        <item m="1" x="4050"/>
        <item m="1" x="4587"/>
        <item m="1" x="5095"/>
        <item m="1" x="5573"/>
        <item m="1" x="1989"/>
        <item m="1" x="2474"/>
        <item m="1" x="2987"/>
        <item m="1" x="3537"/>
        <item m="1" x="4086"/>
        <item m="1" x="4623"/>
        <item m="1" x="5136"/>
        <item m="1" x="5608"/>
        <item m="1" x="6061"/>
        <item m="1" x="6541"/>
        <item m="1" x="3036"/>
        <item m="1" x="3578"/>
        <item m="1" x="4122"/>
        <item m="1" x="4662"/>
        <item m="1" x="5174"/>
        <item m="1" x="5644"/>
        <item m="1" x="6102"/>
        <item m="1" x="6588"/>
        <item m="1" x="7141"/>
        <item m="1" x="7735"/>
        <item m="1" x="4169"/>
        <item m="1" x="4700"/>
        <item m="1" x="547"/>
        <item m="1" x="2597"/>
        <item m="1" x="3711"/>
        <item m="1" x="6137"/>
        <item m="1" x="6629"/>
        <item m="1" x="1605"/>
        <item m="1" x="4822"/>
        <item m="1" x="292"/>
        <item m="1" x="1384"/>
        <item m="1" x="2364"/>
        <item m="1" x="3454"/>
        <item m="1" x="4580"/>
        <item m="1" x="426"/>
        <item m="1" x="1500"/>
        <item m="1" x="322"/>
        <item m="1" x="1412"/>
        <item m="1" x="2398"/>
        <item m="1" x="3493"/>
        <item m="1" x="4618"/>
        <item m="1" x="468"/>
        <item m="1" x="1537"/>
        <item m="1" x="351"/>
        <item m="1" x="1439"/>
        <item m="1" x="2429"/>
        <item m="1" x="3528"/>
        <item m="1" x="4653"/>
        <item m="1" x="505"/>
        <item m="1" x="1572"/>
        <item m="1" x="381"/>
        <item m="1" x="1465"/>
        <item m="1" x="2461"/>
        <item m="1" x="3563"/>
        <item m="1" x="4686"/>
        <item m="1" x="541"/>
        <item m="1" x="1598"/>
        <item m="1" x="429"/>
        <item m="1" x="1504"/>
        <item m="1" x="2504"/>
        <item m="1" x="3611"/>
        <item m="1" x="4730"/>
        <item m="1" x="579"/>
        <item m="1" x="1542"/>
        <item m="1" x="2538"/>
        <item m="1" x="3645"/>
        <item m="1" x="4763"/>
        <item m="1" x="1626"/>
        <item m="1" x="473"/>
        <item m="1" x="614"/>
        <item m="1" x="1650"/>
        <item m="1" x="7921"/>
        <item m="1" x="1067"/>
        <item m="1" x="7313"/>
        <item m="1" x="1551"/>
        <item m="1" x="2466"/>
        <item m="1" x="1946"/>
        <item m="1" x="1980"/>
        <item m="1" x="1477"/>
        <item m="1" x="996"/>
        <item m="1" x="1032"/>
        <item m="1" x="446"/>
        <item m="1" x="1511"/>
        <item m="1" x="6664"/>
        <item m="1" x="6169"/>
        <item m="1" x="5710"/>
        <item m="1" x="7788"/>
        <item m="1" x="5702"/>
        <item m="1" x="2952"/>
        <item m="1" x="5240"/>
        <item m="1" x="2436"/>
        <item m="1" x="2574"/>
        <item m="1" x="1100"/>
        <item m="1" x="3104"/>
        <item m="1" x="555"/>
        <item m="1" x="3650"/>
        <item m="1" x="4205"/>
        <item m="1" x="3569"/>
        <item m="1" x="3028"/>
        <item m="1" x="2021"/>
        <item m="1" x="4161"/>
        <item m="1" x="5249"/>
        <item m="1" x="3074"/>
        <item m="1" x="7194"/>
        <item m="1" x="387"/>
        <item m="1" x="2544"/>
        <item m="1" x="2047"/>
        <item m="1" x="1610"/>
        <item m="1" x="1139"/>
        <item m="1" x="4692"/>
        <item m="1" x="2078"/>
        <item m="1" x="482"/>
        <item m="1" x="7837"/>
        <item m="1" x="7232"/>
        <item m="1" x="439"/>
        <item m="1" x="987"/>
        <item m="1" x="1469"/>
        <item m="1" x="6208"/>
        <item m="1" x="6700"/>
        <item m="1" x="7268"/>
        <item m="1" x="5496"/>
        <item m="1" x="6454"/>
        <item m="1" x="7625"/>
        <item m="1" x="286"/>
        <item m="1" x="186"/>
        <item m="1" x="1292"/>
        <item m="1" x="2261"/>
        <item m="1" x="3355"/>
        <item m="1" x="4485"/>
        <item m="1" x="5527"/>
        <item m="1" x="6481"/>
        <item m="1" x="7664"/>
        <item m="1" x="317"/>
        <item m="1" x="214"/>
        <item m="1" x="1319"/>
        <item m="1" x="2292"/>
        <item m="1" x="3385"/>
        <item m="1" x="4515"/>
        <item m="1" x="5548"/>
        <item m="1" x="6501"/>
        <item m="1" x="7691"/>
        <item m="1" x="344"/>
        <item m="1" x="1350"/>
        <item m="1" x="2323"/>
        <item m="1" x="3418"/>
        <item m="1" x="4544"/>
        <item m="1" x="247"/>
        <item m="1" x="5568"/>
        <item m="1" x="6530"/>
        <item m="1" x="7724"/>
        <item m="1" x="7851"/>
        <item m="1" x="149"/>
        <item m="1" x="7892"/>
        <item m="1" x="7935"/>
        <item m="1" x="7974"/>
        <item m="1" x="2225"/>
        <item m="1" x="3315"/>
        <item m="1" x="1261"/>
        <item m="1" x="4451"/>
        <item m="1" x="6721"/>
        <item m="1" x="5730"/>
        <item m="1" x="4725"/>
        <item m="1" x="3607"/>
        <item m="1" x="2499"/>
        <item m="1" x="1501"/>
        <item m="1" x="427"/>
        <item m="1" x="539"/>
        <item m="1" x="7901"/>
        <item m="1" x="5694"/>
        <item m="1" x="6679"/>
        <item m="1" x="4682"/>
        <item m="1" x="3559"/>
        <item m="1" x="2455"/>
        <item m="1" x="1463"/>
        <item m="1" x="379"/>
        <item m="1" x="504"/>
        <item m="1" x="7862"/>
        <item m="1" x="6649"/>
        <item m="1" x="5665"/>
        <item m="1" x="4648"/>
        <item m="1" x="3524"/>
        <item m="1" x="2426"/>
        <item m="1" x="1437"/>
        <item m="1" x="349"/>
        <item m="1" x="7948"/>
        <item m="1" x="465"/>
        <item m="1" x="6616"/>
        <item m="1" x="7821"/>
        <item m="1" x="2361"/>
        <item m="1" x="3452"/>
        <item m="1" x="4578"/>
        <item m="1" x="5602"/>
        <item m="1" x="4615"/>
        <item m="1" x="3491"/>
        <item m="1" x="2395"/>
        <item m="1" x="1410"/>
        <item m="1" x="7773"/>
        <item m="1" x="320"/>
        <item m="1" x="420"/>
        <item m="1" x="6576"/>
        <item m="1" x="5635"/>
        <item m="1" x="3225"/>
        <item m="1" x="1690"/>
        <item m="1" x="2173"/>
        <item m="1" x="2668"/>
        <item m="1" x="1234"/>
        <item m="1" x="3192"/>
        <item m="1" x="5594"/>
        <item m="1" x="6566"/>
        <item m="1" x="7763"/>
        <item m="1" x="415"/>
        <item m="1" x="1489"/>
        <item m="1" x="113"/>
        <item m="1" x="664"/>
        <item m="1" x="1206"/>
        <item m="1" x="1666"/>
        <item m="1" x="2146"/>
        <item m="1" x="2640"/>
        <item m="1" x="3729"/>
        <item m="1" x="4282"/>
        <item m="1" x="703"/>
        <item m="1" x="3796"/>
        <item m="1" x="3253"/>
        <item m="1" x="2697"/>
        <item m="1" x="2199"/>
        <item m="1" x="1720"/>
        <item m="1" x="5349"/>
        <item m="1" x="4837"/>
        <item m="1" x="5885"/>
        <item m="1" x="3278"/>
        <item m="1" x="2730"/>
        <item m="1" x="6300"/>
        <item m="1" x="5823"/>
        <item m="1" x="5386"/>
        <item m="1" x="4872"/>
        <item m="1" x="4355"/>
        <item m="1" x="6833"/>
        <item m="1" x="6340"/>
        <item m="1" x="5855"/>
        <item m="1" x="5416"/>
        <item m="1" x="4904"/>
        <item m="1" x="4386"/>
        <item m="1" x="5442"/>
        <item m="1" x="4415"/>
        <item m="1" x="3866"/>
        <item m="1" x="7423"/>
        <item m="1" x="3764"/>
        <item m="1" x="4322"/>
        <item m="1" x="7678"/>
        <item m="1" x="7708"/>
        <item m="1" x="7749"/>
        <item m="1" x="7802"/>
        <item m="1" x="7846"/>
        <item m="1" x="7885"/>
        <item m="1" x="7928"/>
        <item m="1" x="7970"/>
        <item m="1" x="1142"/>
        <item m="1" x="2111"/>
        <item m="1" x="3181"/>
        <item m="1" x="6329"/>
        <item m="1" x="7458"/>
        <item m="1" x="144"/>
        <item m="1" x="1255"/>
        <item m="1" x="5375"/>
        <item m="1" x="4310"/>
        <item m="1" x="1175"/>
        <item m="1" x="2138"/>
        <item m="1" x="3215"/>
        <item m="1" x="4344"/>
        <item m="1" x="5407"/>
        <item m="1" x="74"/>
        <item m="1" x="1196"/>
        <item m="1" x="6363"/>
        <item m="1" x="7501"/>
        <item m="1" x="181"/>
        <item m="1" x="1285"/>
        <item m="1" x="2164"/>
        <item m="1" x="6416"/>
        <item m="1" x="5461"/>
        <item m="1" x="4406"/>
        <item m="1" x="3269"/>
        <item m="1" x="2190"/>
        <item m="1" x="1222"/>
        <item m="1" x="101"/>
        <item m="1" x="1310"/>
        <item m="1" x="209"/>
        <item m="1" x="7538"/>
        <item m="1" x="6388"/>
        <item m="1" x="5435"/>
        <item m="1" x="4375"/>
        <item m="1" x="3243"/>
        <item m="1" x="7573"/>
        <item m="1" x="1027"/>
        <item m="1" x="6266"/>
        <item m="1" x="4234"/>
        <item m="1" x="5311"/>
        <item m="1" x="2016"/>
        <item m="1" x="4200"/>
        <item m="1" x="5280"/>
        <item m="1" x="7344"/>
        <item m="1" x="6239"/>
        <item m="1" x="1165"/>
        <item m="1" x="1061"/>
        <item m="1" x="2042"/>
        <item m="1" x="3100"/>
        <item m="1" x="7379"/>
        <item m="1" x="66"/>
        <item m="1" x="1187"/>
        <item m="1" x="1095"/>
        <item m="1" x="2073"/>
        <item m="1" x="3135"/>
        <item m="1" x="4266"/>
        <item m="1" x="5338"/>
        <item m="1" x="6289"/>
        <item m="1" x="7411"/>
        <item m="1" x="91"/>
        <item m="1" x="1213"/>
        <item m="1" x="1133"/>
        <item m="1" x="2106"/>
        <item m="1" x="3176"/>
        <item m="1" x="4305"/>
        <item m="1" x="5371"/>
        <item m="1" x="6324"/>
        <item m="1" x="7448"/>
        <item m="1" x="131"/>
        <item m="1" x="1245"/>
        <item m="1" x="1170"/>
        <item m="1" x="2134"/>
        <item m="1" x="3211"/>
        <item m="1" x="3068"/>
        <item m="1" x="7792"/>
        <item m="1" x="984"/>
        <item m="1" x="1976"/>
        <item m="1" x="7519"/>
        <item m="1" x="7552"/>
        <item m="1" x="7591"/>
        <item m="1" x="7643"/>
        <item m="1" x="7674"/>
        <item m="1" x="7701"/>
        <item m="1" x="7740"/>
        <item m="1" x="3023"/>
        <item m="1" x="1128"/>
        <item m="1" x="5236"/>
        <item m="1" x="6198"/>
        <item m="1" x="7302"/>
        <item m="1" x="4156"/>
        <item m="1" x="7363"/>
        <item m="1" x="7395"/>
        <item m="1" x="7433"/>
        <item m="1" x="7476"/>
        <item m="1" x="7515"/>
        <item m="1" x="7547"/>
        <item m="1" x="7584"/>
        <item m="1" x="7633"/>
        <item m="1" x="841"/>
        <item m="1" x="1841"/>
        <item m="1" x="2875"/>
        <item m="1" x="4003"/>
        <item m="1" x="5089"/>
        <item m="1" x="6057"/>
        <item m="1" x="7136"/>
        <item m="1" x="979"/>
        <item m="1" x="877"/>
        <item m="1" x="1873"/>
        <item m="1" x="2910"/>
        <item m="1" x="4042"/>
        <item m="1" x="5129"/>
        <item m="1" x="908"/>
        <item m="1" x="1020"/>
        <item m="1" x="6095"/>
        <item m="1" x="7183"/>
        <item m="1" x="7222"/>
        <item m="1" x="6128"/>
        <item m="1" x="5165"/>
        <item m="1" x="4078"/>
        <item m="1" x="2944"/>
        <item m="1" x="1902"/>
        <item m="1" x="1054"/>
        <item m="1" x="941"/>
        <item m="1" x="1934"/>
        <item m="1" x="943"/>
        <item m="1" x="3579"/>
        <item m="1" x="4123"/>
        <item m="1" x="4663"/>
        <item m="1" x="5175"/>
        <item m="1" x="5645"/>
        <item m="1" x="6103"/>
        <item m="1" x="6589"/>
        <item m="1" x="7142"/>
        <item m="1" x="7736"/>
        <item m="1" x="2475"/>
        <item m="1" x="2988"/>
        <item m="1" x="3538"/>
        <item m="1" x="4087"/>
        <item m="1" x="4624"/>
        <item m="1" x="5137"/>
        <item m="1" x="5609"/>
        <item m="1" x="6062"/>
        <item m="1" x="6542"/>
        <item m="1" x="4701"/>
        <item m="1" x="5209"/>
        <item m="1" x="388"/>
        <item m="1" x="5678"/>
        <item m="1" x="6138"/>
        <item m="1" x="6630"/>
        <item m="1" x="7195"/>
        <item m="1" x="7789"/>
        <item m="1" x="7838"/>
        <item m="1" x="7233"/>
        <item m="1" x="6665"/>
        <item m="1" x="6170"/>
        <item m="1" x="5711"/>
        <item m="1" x="3499"/>
        <item m="1" x="2953"/>
        <item m="1" x="2437"/>
        <item m="1" x="1478"/>
        <item m="1" x="5096"/>
        <item m="1" x="4588"/>
        <item m="1" x="5574"/>
        <item m="1" x="2438"/>
        <item m="1" x="1479"/>
        <item m="1" x="2920"/>
        <item m="1" x="1912"/>
        <item m="1" x="1447"/>
        <item m="1" x="1947"/>
        <item m="1" x="3075"/>
        <item m="1" x="4693"/>
        <item m="1" x="399"/>
        <item m="1" x="7799"/>
        <item m="1" x="954"/>
        <item m="1" x="3029"/>
        <item m="1" x="2406"/>
        <item m="1" x="3570"/>
        <item m="1" x="3464"/>
        <item m="1" x="4114"/>
        <item m="1" x="4013"/>
        <item m="1" x="556"/>
        <item m="1" x="447"/>
        <item m="1" x="1101"/>
        <item m="1" x="2980"/>
        <item m="1" x="1582"/>
        <item m="1" x="2467"/>
        <item m="1" x="2048"/>
        <item m="1" x="1981"/>
        <item m="1" x="2545"/>
        <item m="1" x="1512"/>
        <item m="1" x="5200"/>
        <item m="1" x="1033"/>
        <item m="1" x="4162"/>
        <item m="1" x="483"/>
        <item m="1" x="3616"/>
        <item m="1" x="2510"/>
        <item m="1" x="2022"/>
        <item m="1" x="1552"/>
        <item m="1" x="1068"/>
        <item m="1" x="518"/>
        <item m="1" x="7922"/>
        <item m="1" x="1470"/>
        <item m="1" x="1936"/>
        <item m="1" x="6701"/>
        <item m="1" x="7269"/>
        <item m="1" x="7879"/>
        <item m="1" x="2516"/>
        <item m="1" x="3037"/>
        <item m="1" x="5610"/>
        <item m="1" x="5138"/>
        <item m="1" x="3500"/>
        <item m="1" x="4625"/>
        <item m="1" x="4051"/>
        <item m="1" x="4589"/>
        <item m="1" x="1520"/>
        <item m="1" x="2476"/>
        <item m="1" x="3539"/>
        <item m="1" x="2989"/>
        <item m="1" x="7160"/>
        <item m="1" x="7207"/>
        <item m="1" x="7242"/>
        <item m="1" x="7283"/>
        <item m="1" x="3970"/>
        <item m="1" x="5055"/>
        <item m="1" x="6022"/>
        <item m="1" x="7091"/>
        <item m="1" x="934"/>
        <item m="1" x="838"/>
        <item m="1" x="7357"/>
        <item m="1" x="7389"/>
        <item m="1" x="7426"/>
        <item m="1" x="7471"/>
        <item m="1" x="694"/>
        <item m="1" x="1713"/>
        <item m="1" x="2724"/>
        <item m="1" x="3859"/>
        <item m="1" x="4962"/>
        <item m="1" x="5938"/>
        <item m="1" x="6983"/>
        <item m="1" x="835"/>
        <item m="1" x="734"/>
        <item m="1" x="1748"/>
        <item m="1" x="2769"/>
        <item m="1" x="3907"/>
        <item m="1" x="5001"/>
        <item m="1" x="5973"/>
        <item m="1" x="7028"/>
        <item m="1" x="5998"/>
        <item m="1" x="3938"/>
        <item m="1" x="1778"/>
        <item m="1" x="872"/>
        <item m="1" x="900"/>
        <item m="1" x="766"/>
        <item m="1" x="2803"/>
        <item m="1" x="5029"/>
        <item m="1" x="7059"/>
        <item m="1" x="1808"/>
        <item m="1" x="799"/>
        <item m="1" x="2836"/>
        <item m="1" x="4974"/>
        <item m="1" x="2810"/>
        <item m="1" x="3362"/>
        <item m="1" x="3914"/>
        <item m="1" x="4461"/>
        <item m="1" x="972"/>
        <item m="1" x="4937"/>
        <item m="1" x="4418"/>
        <item m="1" x="3874"/>
        <item m="1" x="1356"/>
        <item m="1" x="1813"/>
        <item m="1" x="2298"/>
        <item m="1" x="3326"/>
        <item m="1" x="906"/>
        <item m="1" x="875"/>
        <item m="1" x="1871"/>
        <item m="1" x="2908"/>
        <item m="1" x="4040"/>
        <item m="1" x="5126"/>
        <item m="1" x="6091"/>
        <item m="1" x="7179"/>
        <item m="1" x="1015"/>
        <item m="1" x="1900"/>
        <item m="1" x="2942"/>
        <item m="1" x="4075"/>
        <item m="1" x="5162"/>
        <item m="1" x="6124"/>
        <item m="1" x="7217"/>
        <item m="1" x="1052"/>
        <item m="1" x="939"/>
        <item m="1" x="1932"/>
        <item m="1" x="2974"/>
        <item m="1" x="4108"/>
        <item m="1" x="5196"/>
        <item m="1" x="6156"/>
        <item m="1" x="7251"/>
        <item m="1" x="1088"/>
        <item m="1" x="980"/>
        <item m="1" x="1971"/>
        <item m="1" x="3016"/>
        <item m="1" x="4150"/>
        <item m="1" x="5230"/>
        <item m="1" x="6190"/>
        <item m="1" x="7291"/>
        <item m="1" x="1120"/>
        <item m="1" x="7587"/>
        <item m="1" x="220"/>
        <item m="1" x="772"/>
        <item m="1" x="1297"/>
        <item m="1" x="1754"/>
        <item m="1" x="2234"/>
        <item m="1" x="2737"/>
        <item m="1" x="3281"/>
        <item m="1" x="3833"/>
        <item m="1" x="254"/>
        <item m="1" x="806"/>
        <item m="1" x="1325"/>
        <item m="1" x="1785"/>
        <item m="1" x="2268"/>
        <item m="1" x="2775"/>
        <item m="1" x="2571"/>
        <item m="1" x="621"/>
        <item m="1" x="7993"/>
        <item m="1" x="6763"/>
        <item m="1" x="5765"/>
        <item m="1" x="6997"/>
        <item m="1" x="6953"/>
        <item m="1" x="6914"/>
        <item m="1" x="7872"/>
        <item m="1" x="513"/>
        <item m="1" x="1579"/>
        <item m="1" x="386"/>
        <item m="1" x="7733"/>
        <item m="1" x="7147"/>
        <item m="1" x="7102"/>
        <item m="1" x="7071"/>
        <item m="1" x="7038"/>
        <item m="1" x="6692"/>
        <item m="1" x="5701"/>
        <item m="1" x="4690"/>
        <item m="1" x="3566"/>
        <item m="1" x="2463"/>
        <item m="1" x="1467"/>
        <item m="1" x="2507"/>
        <item m="1" x="1507"/>
        <item m="1" x="434"/>
        <item m="1" x="7784"/>
        <item m="1" x="548"/>
        <item m="1" x="7912"/>
        <item m="1" x="586"/>
        <item m="1" x="7957"/>
        <item m="1" x="6732"/>
        <item m="1" x="5737"/>
        <item m="1" x="4735"/>
        <item m="1" x="3614"/>
        <item m="1" x="4768"/>
        <item m="1" x="3648"/>
        <item m="1" x="2541"/>
        <item m="1" x="1545"/>
        <item m="1" x="477"/>
        <item m="1" x="7831"/>
        <item m="1" x="4827"/>
        <item m="1" x="3715"/>
        <item m="1" x="646"/>
        <item m="1" x="7915"/>
        <item m="1" x="551"/>
        <item m="1" x="1607"/>
        <item m="1" x="2600"/>
        <item m="1" x="5813"/>
        <item m="1" x="6818"/>
        <item m="1" x="680"/>
        <item m="1" x="7959"/>
        <item m="1" x="588"/>
        <item m="1" x="1634"/>
        <item m="1" x="2627"/>
        <item m="1" x="3753"/>
        <item m="1" x="4859"/>
        <item m="1" x="5843"/>
        <item m="1" x="6854"/>
        <item m="1" x="720"/>
        <item m="1" x="7995"/>
        <item m="1" x="623"/>
        <item m="1" x="1656"/>
        <item m="1" x="2656"/>
        <item m="1" x="3782"/>
        <item m="1" x="4890"/>
        <item m="1" x="5872"/>
        <item m="1" x="6889"/>
        <item m="1" x="752"/>
        <item m="1" x="650"/>
        <item m="1" x="1678"/>
        <item m="1" x="2683"/>
        <item m="1" x="3814"/>
        <item m="1" x="4918"/>
        <item m="1" x="5898"/>
        <item m="1" x="6925"/>
        <item m="1" x="1708"/>
        <item m="1" x="688"/>
        <item m="1" x="2715"/>
        <item m="1" x="3848"/>
        <item m="1" x="4948"/>
        <item m="1" x="5924"/>
        <item m="1" x="6965"/>
        <item m="1" x="783"/>
        <item m="1" x="7891"/>
        <item m="1" x="495"/>
        <item m="1" x="1046"/>
        <item m="1" x="1526"/>
        <item m="1" x="1997"/>
        <item m="1" x="817"/>
        <item m="1" x="3681"/>
        <item m="1" x="4798"/>
        <item m="1" x="5789"/>
        <item m="1" x="6789"/>
        <item m="1" x="5257"/>
        <item m="1" x="4748"/>
        <item m="1" x="3659"/>
        <item m="1" x="3112"/>
        <item m="1" x="2553"/>
        <item m="1" x="1563"/>
        <item m="1" x="4666"/>
        <item m="1" x="1079"/>
        <item m="1" x="4130"/>
        <item m="1" x="531"/>
        <item m="1" x="3587"/>
        <item m="1" x="3046"/>
        <item m="1" x="3543"/>
        <item m="1" x="1589"/>
        <item m="1" x="2523"/>
        <item m="1" x="2056"/>
        <item m="1" x="2582"/>
        <item m="1" x="5681"/>
        <item m="1" x="2085"/>
        <item m="1" x="4707"/>
        <item m="1" x="4176"/>
        <item m="1" x="3627"/>
        <item m="1" x="5292"/>
        <item m="1" x="5716"/>
        <item m="1" x="5317"/>
        <item m="1" x="4274"/>
        <item m="1" x="4804"/>
        <item m="1" x="5747"/>
        <item m="1" x="6668"/>
        <item m="1" x="6215"/>
        <item m="1" x="3145"/>
        <item m="1" x="6706"/>
        <item m="1" x="3690"/>
        <item m="1" x="4242"/>
        <item m="1" x="7883"/>
        <item m="1" x="4775"/>
        <item m="1" x="6248"/>
        <item m="1" x="5769"/>
        <item m="1" x="6741"/>
        <item m="1" x="7317"/>
        <item m="1" x="5344"/>
        <item m="1" x="523"/>
        <item m="1" x="7926"/>
        <item m="1" x="5793"/>
        <item m="1" x="503"/>
        <item m="1" x="7900"/>
        <item m="1" x="5120"/>
        <item m="1" x="4612"/>
        <item m="1" x="4071"/>
        <item m="1" x="1536"/>
        <item m="1" x="1491"/>
        <item m="1" x="1958"/>
        <item m="1" x="6719"/>
        <item m="1" x="2007"/>
        <item m="1" x="3522"/>
        <item m="1" x="2970"/>
        <item m="1" x="2453"/>
        <item m="1" x="1968"/>
        <item m="1" x="1498"/>
        <item m="1" x="2491"/>
        <item m="1" x="466"/>
        <item m="1" x="6185"/>
        <item m="1" x="5726"/>
        <item m="1" x="5266"/>
        <item m="1" x="1016"/>
        <item m="1" x="4718"/>
        <item m="1" x="7944"/>
        <item m="1" x="538"/>
        <item m="1" x="1086"/>
        <item m="1" x="1571"/>
        <item m="1" x="1117"/>
        <item m="1" x="573"/>
        <item m="1" x="3599"/>
        <item m="1" x="3056"/>
        <item m="1" x="2532"/>
        <item m="1" x="4186"/>
        <item m="1" x="3638"/>
        <item m="1" x="3089"/>
        <item m="1" x="2561"/>
        <item m="1" x="2064"/>
        <item m="1" x="1596"/>
        <item m="1" x="3122"/>
        <item m="1" x="2588"/>
        <item m="1" x="2095"/>
        <item m="1" x="1621"/>
        <item m="1" x="3670"/>
        <item m="1" x="463"/>
        <item m="1" x="7861"/>
        <item m="1" x="7248"/>
        <item m="1" x="6678"/>
        <item m="1" x="2004"/>
        <item m="1" x="1534"/>
        <item m="1" x="4756"/>
        <item m="1" x="4222"/>
        <item m="1" x="1010"/>
        <item m="1" x="4724"/>
        <item m="1" x="2088"/>
        <item m="1" x="2165"/>
        <item m="1" x="6335"/>
        <item m="1" x="2058"/>
        <item m="1" x="3115"/>
        <item m="1" x="1461"/>
        <item m="1" x="975"/>
        <item m="1" x="424"/>
        <item m="1" x="2226"/>
        <item m="1" x="1262"/>
        <item m="1" x="150"/>
        <item m="1" x="7464"/>
        <item m="1" x="5084"/>
        <item m="1" x="4575"/>
        <item m="1" x="4036"/>
        <item m="1" x="3488"/>
        <item m="1" x="2938"/>
        <item m="1" x="2424"/>
        <item m="1" x="1927"/>
        <item m="1" x="4611"/>
        <item m="1" x="4070"/>
        <item m="1" x="3521"/>
        <item m="1" x="2969"/>
        <item m="1" x="2452"/>
        <item m="1" x="1967"/>
        <item m="1" x="1497"/>
        <item m="1" x="4104"/>
        <item m="1" x="3558"/>
        <item m="1" x="3012"/>
        <item m="1" x="2497"/>
        <item m="1" x="6048"/>
        <item m="1" x="5597"/>
        <item m="1" x="5119"/>
        <item m="1" x="5631"/>
        <item m="1" x="5158"/>
        <item m="1" x="4646"/>
        <item m="1" x="7123"/>
        <item m="1" x="6569"/>
        <item m="1" x="6085"/>
        <item m="1" x="4147"/>
        <item m="1" x="5663"/>
        <item m="1" x="6120"/>
        <item m="1" x="6611"/>
        <item m="1" x="5192"/>
        <item m="1" x="4681"/>
        <item m="1" x="3606"/>
        <item m="1" x="7766"/>
        <item m="1" x="7170"/>
        <item m="1" x="3148"/>
        <item m="1" x="7421"/>
        <item m="1" x="1225"/>
        <item m="1" x="2192"/>
        <item m="1" x="1149"/>
        <item m="1" x="5382"/>
        <item m="1" x="4316"/>
        <item m="1" x="3187"/>
        <item m="1" x="2115"/>
        <item m="1" x="104"/>
        <item m="1" x="4278"/>
        <item m="1" x="5347"/>
        <item m="1" x="6298"/>
        <item m="1" x="7316"/>
        <item m="1" x="1143"/>
        <item m="1" x="63"/>
        <item m="1" x="716"/>
        <item m="1" x="88"/>
        <item m="1" x="128"/>
        <item m="1" x="169"/>
        <item m="1" x="2887"/>
        <item m="1" x="852"/>
        <item m="1" x="1851"/>
        <item m="1" x="5038"/>
        <item m="1" x="3919"/>
        <item m="1" x="5012"/>
        <item m="1" x="5983"/>
        <item m="1" x="7041"/>
        <item m="1" x="881"/>
        <item m="1" x="1877"/>
        <item m="1" x="778"/>
        <item m="1" x="1789"/>
        <item m="1" x="2814"/>
        <item m="1" x="3950"/>
        <item m="1" x="6011"/>
        <item m="1" x="4979"/>
        <item m="1" x="2780"/>
        <item m="1" x="3880"/>
        <item m="1" x="2742"/>
        <item m="1" x="1729"/>
        <item m="1" x="7074"/>
        <item m="1" x="912"/>
        <item m="1" x="1905"/>
        <item m="1" x="812"/>
        <item m="1" x="1817"/>
        <item m="1" x="2849"/>
        <item m="1" x="1939"/>
        <item m="1" x="3980"/>
        <item m="1" x="5068"/>
        <item m="1" x="6034"/>
        <item m="1" x="7105"/>
        <item m="1" x="946"/>
        <item m="1" x="5956"/>
        <item m="1" x="6999"/>
        <item m="1" x="849"/>
        <item m="1" x="1848"/>
        <item m="1" x="746"/>
        <item m="1" x="1759"/>
        <item m="1" x="1883"/>
        <item m="1" x="885"/>
        <item m="1" x="2924"/>
        <item m="1" x="4019"/>
        <item m="1" x="4054"/>
        <item m="1" x="5103"/>
        <item m="1" x="5141"/>
        <item m="1" x="6070"/>
        <item m="1" x="6105"/>
        <item m="1" x="7150"/>
        <item m="1" x="7199"/>
        <item m="1" x="1983"/>
        <item m="1" x="990"/>
        <item m="1" x="1036"/>
        <item m="1" x="2023"/>
        <item m="1" x="920"/>
        <item m="1" x="2955"/>
        <item m="1" x="4089"/>
        <item m="1" x="1915"/>
        <item m="1" x="6140"/>
        <item m="1" x="6214"/>
        <item m="1" x="1070"/>
        <item m="1" x="957"/>
        <item m="1" x="2993"/>
        <item m="1" x="5214"/>
        <item m="1" x="7274"/>
        <item m="1" x="1103"/>
        <item m="1" x="6175"/>
        <item m="1" x="2079"/>
        <item m="1" x="4127"/>
        <item m="1" x="1001"/>
        <item m="1" x="1951"/>
        <item m="1" x="1994"/>
        <item m="1" x="2050"/>
        <item m="1" x="3041"/>
        <item m="1" x="7235"/>
        <item m="1" x="4173"/>
        <item m="1" x="5177"/>
        <item m="1" x="5254"/>
        <item m="1" x="275"/>
        <item m="1" x="7659"/>
        <item m="1" x="7050"/>
        <item m="1" x="7685"/>
        <item m="1" x="820"/>
        <item m="1" x="7082"/>
        <item m="1" x="6522"/>
        <item m="1" x="6042"/>
        <item m="1" x="5589"/>
        <item m="1" x="833"/>
        <item m="1" x="1347"/>
        <item m="1" x="1804"/>
        <item m="1" x="2796"/>
        <item m="1" x="5545"/>
        <item m="1" x="6478"/>
        <item m="1" x="7612"/>
        <item m="1" x="5994"/>
        <item m="1" x="4566"/>
        <item m="1" x="5077"/>
        <item m="1" x="5563"/>
        <item m="1" x="6018"/>
        <item m="1" x="6499"/>
        <item m="1" x="7015"/>
        <item m="1" x="1834"/>
        <item m="1" x="1378"/>
        <item m="1" x="4952"/>
        <item m="1" x="3900"/>
        <item m="1" x="3350"/>
        <item m="1" x="3412"/>
        <item m="1" x="2864"/>
        <item m="1" x="4480"/>
        <item m="1" x="3382"/>
        <item m="1" x="2317"/>
        <item m="1" x="2829"/>
        <item m="1" x="3934"/>
        <item m="1" x="4994"/>
        <item m="1" x="5927"/>
        <item m="1" x="2351"/>
        <item m="1" x="5051"/>
        <item m="1" x="3966"/>
        <item m="1" x="4511"/>
        <item m="1" x="5026"/>
        <item m="1" x="5524"/>
        <item m="1" x="5969"/>
        <item m="1" x="6445"/>
        <item m="1" x="6968"/>
        <item m="1" x="3443"/>
        <item m="1" x="3994"/>
        <item m="1" x="4538"/>
        <item m="1" x="2367"/>
        <item m="1" x="3455"/>
        <item m="1" x="1937"/>
        <item m="1" x="1471"/>
        <item m="1" x="988"/>
        <item m="1" x="4547"/>
        <item m="1" x="1440"/>
        <item m="1" x="944"/>
        <item m="1" x="389"/>
        <item m="1" x="3421"/>
        <item m="1" x="2880"/>
        <item m="1" x="1413"/>
        <item m="1" x="909"/>
        <item m="1" x="4007"/>
        <item m="1" x="2912"/>
        <item m="1" x="2399"/>
        <item m="1" x="1903"/>
        <item m="1" x="255"/>
        <item m="1" x="5097"/>
        <item m="1" x="5575"/>
        <item m="1" x="6025"/>
        <item m="1" x="6508"/>
        <item m="1" x="7063"/>
        <item m="1" x="7669"/>
        <item m="1" x="295"/>
        <item m="1" x="845"/>
        <item m="1" x="1357"/>
        <item m="1" x="6063"/>
        <item m="1" x="6543"/>
        <item m="1" x="7095"/>
        <item m="1" x="7696"/>
        <item m="1" x="324"/>
        <item m="1" x="878"/>
        <item m="1" x="1387"/>
        <item m="1" x="1845"/>
        <item m="1" x="2329"/>
        <item m="1" x="7143"/>
        <item m="1" x="7737"/>
        <item m="1" x="353"/>
        <item m="1" x="1874"/>
        <item m="1" x="7030"/>
        <item m="1" x="6487"/>
        <item m="1" x="6002"/>
        <item m="1" x="5552"/>
        <item m="1" x="5060"/>
        <item m="1" x="4656"/>
        <item m="1" x="6060"/>
        <item m="1" x="6537"/>
        <item m="1" x="3571"/>
        <item m="1" x="4115"/>
        <item m="1" x="5169"/>
        <item m="1" x="5640"/>
        <item m="1" x="6064"/>
        <item m="1" x="6544"/>
        <item m="1" x="4052"/>
        <item m="1" x="7637"/>
        <item m="1" x="4590"/>
        <item m="1" x="5098"/>
        <item m="1" x="5576"/>
        <item m="1" x="6026"/>
        <item m="1" x="6509"/>
        <item m="1" x="7064"/>
        <item m="1" x="5139"/>
        <item m="1" x="296"/>
        <item m="1" x="7031"/>
        <item m="1" x="5611"/>
        <item m="1" x="6003"/>
        <item m="1" x="5061"/>
        <item m="1" x="7139"/>
        <item m="1" x="5671"/>
        <item m="1" x="5201"/>
        <item m="1" x="2921"/>
        <item m="1" x="3465"/>
        <item m="1" x="4014"/>
        <item m="1" x="382"/>
        <item m="1" x="7779"/>
        <item m="1" x="7186"/>
        <item m="1" x="6624"/>
        <item m="1" x="4694"/>
        <item m="1" x="7096"/>
        <item m="1" x="1982"/>
        <item m="1" x="5570"/>
        <item m="1" x="2468"/>
        <item m="1" x="7697"/>
        <item m="1" x="7729"/>
        <item m="1" x="5553"/>
        <item m="1" x="5093"/>
        <item m="1" x="4581"/>
        <item m="1" x="6098"/>
        <item m="1" x="6583"/>
        <item m="1" x="3530"/>
        <item m="1" x="4082"/>
        <item m="1" x="5132"/>
        <item m="1" x="4620"/>
        <item m="1" x="325"/>
        <item m="1" x="2223"/>
        <item m="1" x="3312"/>
        <item m="1" x="4448"/>
        <item m="1" x="6365"/>
        <item m="1" x="7506"/>
        <item m="1" x="184"/>
        <item m="1" x="1289"/>
        <item m="1" x="2257"/>
        <item m="1" x="3352"/>
        <item m="1" x="4482"/>
        <item m="1" x="6390"/>
        <item m="1" x="7541"/>
        <item m="1" x="212"/>
        <item m="1" x="1317"/>
        <item m="1" x="2289"/>
        <item m="1" x="3383"/>
        <item m="1" x="4512"/>
        <item m="1" x="2356"/>
        <item m="1" x="2320"/>
        <item m="1" x="3414"/>
        <item m="1" x="4541"/>
        <item m="1" x="1348"/>
        <item m="1" x="7626"/>
        <item m="1" x="6455"/>
        <item m="1" x="287"/>
        <item m="1" x="245"/>
        <item m="1" x="7576"/>
        <item m="1" x="6417"/>
        <item m="1" x="1381"/>
        <item m="1" x="3875"/>
        <item m="1" x="4678"/>
        <item m="1" x="6577"/>
        <item m="1" x="7774"/>
        <item m="1" x="421"/>
        <item m="1" x="1495"/>
        <item m="1" x="2495"/>
        <item m="1" x="3603"/>
        <item m="1" x="4722"/>
        <item m="1" x="2738"/>
        <item m="1" x="3282"/>
        <item m="1" x="3834"/>
        <item m="1" x="4389"/>
        <item m="1" x="4908"/>
        <item m="1" x="5417"/>
        <item m="1" x="5858"/>
        <item m="1" x="6344"/>
        <item m="1" x="6840"/>
        <item m="1" x="7431"/>
        <item m="1" x="3555"/>
        <item m="1" x="6531"/>
        <item m="1" x="7725"/>
        <item m="1" x="377"/>
        <item m="1" x="1459"/>
        <item m="1" x="2449"/>
        <item m="1" x="3448"/>
        <item m="1" x="4571"/>
        <item m="1" x="6482"/>
        <item m="1" x="7665"/>
        <item m="1" x="318"/>
        <item m="1" x="1407"/>
        <item m="1" x="2392"/>
        <item m="1" x="3485"/>
        <item m="1" x="4609"/>
        <item m="1" x="6502"/>
        <item m="1" x="7692"/>
        <item m="1" x="345"/>
        <item m="1" x="1434"/>
        <item m="1" x="2421"/>
        <item m="1" x="3517"/>
        <item m="1" x="4642"/>
        <item m="1" x="2483"/>
        <item m="1" x="2996"/>
        <item m="1" x="4091"/>
        <item m="1" x="4629"/>
        <item m="1" x="5143"/>
        <item m="1" x="6071"/>
        <item m="1" x="3101"/>
        <item m="1" x="4235"/>
        <item m="1" x="5312"/>
        <item m="1" x="6267"/>
        <item m="1" x="7380"/>
        <item m="1" x="67"/>
        <item m="1" x="1188"/>
        <item m="1" x="2154"/>
        <item m="1" x="3136"/>
        <item m="1" x="4267"/>
        <item m="1" x="5339"/>
        <item m="1" x="6290"/>
        <item m="1" x="7412"/>
        <item m="1" x="1214"/>
        <item m="1" x="92"/>
        <item m="1" x="5281"/>
        <item m="1" x="4201"/>
        <item m="1" x="1166"/>
        <item m="1" x="7345"/>
        <item m="1" x="6240"/>
        <item m="1" x="3069"/>
        <item m="1" x="2129"/>
        <item m="1" x="3177"/>
        <item m="1" x="2180"/>
        <item m="1" x="7449"/>
        <item m="1" x="6325"/>
        <item m="1" x="5372"/>
        <item m="1" x="4306"/>
        <item m="1" x="2208"/>
        <item m="1" x="1246"/>
        <item m="1" x="132"/>
        <item m="1" x="2331"/>
        <item m="1" x="2300"/>
        <item m="1" x="2269"/>
        <item m="1" x="2235"/>
        <item m="1" x="2201"/>
        <item m="1" x="2148"/>
        <item m="1" x="2122"/>
        <item m="1" x="2175"/>
        <item m="1" x="2369"/>
        <item m="1" x="2876"/>
        <item m="1" x="4004"/>
        <item m="1" x="5090"/>
        <item m="1" x="6058"/>
        <item m="1" x="7137"/>
        <item m="1" x="982"/>
        <item m="1" x="1974"/>
        <item m="1" x="2911"/>
        <item m="1" x="4043"/>
        <item m="1" x="5130"/>
        <item m="1" x="6096"/>
        <item m="1" x="7184"/>
        <item m="1" x="1023"/>
        <item m="1" x="2946"/>
        <item m="1" x="4080"/>
        <item m="1" x="5167"/>
        <item m="1" x="2012"/>
        <item m="1" x="6131"/>
        <item m="1" x="7224"/>
        <item m="1" x="1057"/>
        <item m="1" x="2069"/>
        <item m="1" x="3024"/>
        <item m="1" x="4157"/>
        <item m="1" x="5237"/>
        <item m="1" x="7303"/>
        <item m="1" x="6199"/>
        <item m="1" x="1129"/>
        <item m="1" x="4667"/>
        <item m="1" x="6634"/>
        <item m="1" x="7201"/>
        <item m="1" x="7800"/>
        <item m="1" x="400"/>
        <item m="1" x="1055"/>
        <item m="1" x="7223"/>
        <item m="1" x="5166"/>
        <item m="1" x="2945"/>
        <item m="1" x="3062"/>
        <item m="1" x="1021"/>
        <item m="1" x="2010"/>
        <item m="1" x="4193"/>
        <item m="1" x="4079"/>
        <item m="1" x="6129"/>
        <item m="1" x="2037"/>
        <item m="1" x="4224"/>
        <item m="1" x="4111"/>
        <item m="1" x="6159"/>
        <item m="1" x="3124"/>
        <item m="1" x="3020"/>
        <item m="1" x="4253"/>
        <item m="1" x="2065"/>
        <item m="1" x="7254"/>
        <item m="1" x="5198"/>
        <item m="1" x="2978"/>
        <item m="1" x="3091"/>
        <item m="1" x="2845"/>
        <item m="1" x="4289"/>
        <item m="1" x="2097"/>
        <item m="1" x="6194"/>
        <item m="1" x="4153"/>
        <item m="1" x="5233"/>
        <item m="1" x="7295"/>
        <item m="1" x="1123"/>
        <item m="1" x="3160"/>
        <item m="1" x="2334"/>
        <item m="1" x="3393"/>
        <item m="1" x="3946"/>
        <item m="1" x="4493"/>
        <item m="1" x="5008"/>
        <item m="1" x="5952"/>
        <item m="1" x="6949"/>
        <item m="1" x="3976"/>
        <item m="1" x="4522"/>
        <item m="1" x="3426"/>
        <item m="1" x="6426"/>
        <item m="1" x="5507"/>
        <item m="1" x="1090"/>
        <item m="1" x="5530"/>
        <item m="1" x="6463"/>
        <item m="1" x="7588"/>
        <item m="1" x="4552"/>
        <item m="1" x="5034"/>
        <item m="1" x="6488"/>
        <item m="1" x="7032"/>
        <item m="1" x="6004"/>
        <item m="1" x="5062"/>
        <item m="1" x="6993"/>
        <item m="1" x="5978"/>
        <item m="1" x="7638"/>
        <item m="1" x="7065"/>
        <item m="1" x="256"/>
        <item m="1" x="807"/>
        <item m="1" x="5577"/>
        <item m="1" x="6027"/>
        <item m="1" x="7670"/>
        <item m="1" x="5056"/>
        <item m="1" x="901"/>
        <item m="1" x="1896"/>
        <item m="1" x="2935"/>
        <item m="1" x="5999"/>
        <item m="1" x="4067"/>
        <item m="1" x="7060"/>
        <item m="1" x="2837"/>
        <item m="1" x="3971"/>
        <item m="1" x="2632"/>
        <item m="1" x="3757"/>
        <item m="1" x="4864"/>
        <item m="1" x="5848"/>
        <item m="1" x="6865"/>
        <item m="1" x="729"/>
        <item m="1" x="1741"/>
        <item m="1" x="6693"/>
        <item m="1" x="5703"/>
        <item m="1" x="4695"/>
        <item m="1" x="3572"/>
        <item m="1" x="2469"/>
        <item m="1" x="1992"/>
        <item m="1" x="2511"/>
        <item m="1" x="3716"/>
        <item m="1" x="2601"/>
        <item m="1" x="1608"/>
        <item m="1" x="552"/>
        <item m="1" x="7916"/>
        <item m="1" x="589"/>
        <item m="1" x="7960"/>
        <item m="1" x="6733"/>
        <item m="1" x="5738"/>
        <item m="1" x="4736"/>
        <item m="1" x="3617"/>
        <item m="1" x="4769"/>
        <item m="1" x="3651"/>
        <item m="1" x="2546"/>
        <item m="1" x="3754"/>
        <item m="1" x="2628"/>
        <item m="1" x="1635"/>
        <item m="1" x="2657"/>
        <item m="1" x="1657"/>
        <item m="1" x="624"/>
        <item m="1" x="7996"/>
        <item m="1" x="6766"/>
        <item m="1" x="5766"/>
        <item m="1" x="6793"/>
        <item m="1" x="5790"/>
        <item m="1" x="4799"/>
        <item m="1" x="3683"/>
        <item m="1" x="2575"/>
        <item m="1" x="3783"/>
        <item m="1" x="2604"/>
        <item m="1" x="3815"/>
        <item m="1" x="2684"/>
        <item m="1" x="1679"/>
        <item m="1" x="651"/>
        <item m="1" x="4829"/>
        <item m="1" x="3718"/>
        <item m="1" x="5816"/>
        <item m="1" x="3989"/>
        <item m="1" x="2858"/>
        <item m="1" x="1826"/>
        <item m="1" x="826"/>
        <item m="1" x="6978"/>
        <item m="1" x="6181"/>
        <item m="1" x="5261"/>
        <item m="1" x="4219"/>
        <item m="1" x="3118"/>
        <item m="1" x="2091"/>
        <item m="1" x="3663"/>
        <item m="1" x="5722"/>
        <item m="1" x="5936"/>
        <item m="1" x="4960"/>
        <item m="1" x="3857"/>
        <item m="1" x="2722"/>
        <item m="1" x="3959"/>
        <item m="1" x="2821"/>
        <item m="1" x="1797"/>
        <item m="1" x="3892"/>
        <item m="1" x="6936"/>
        <item m="1" x="5906"/>
        <item m="1" x="4926"/>
        <item m="1" x="789"/>
        <item m="1" x="6901"/>
        <item m="1" x="5879"/>
        <item m="1" x="4896"/>
        <item m="1" x="3788"/>
        <item m="1" x="2661"/>
        <item m="1" x="2754"/>
        <item m="1" x="3927"/>
        <item m="1" x="2789"/>
        <item m="1" x="1768"/>
        <item m="1" x="760"/>
        <item m="1" x="2691"/>
        <item m="1" x="3820"/>
        <item m="1" x="3151"/>
        <item m="1" x="4779"/>
        <item m="1" x="4246"/>
        <item m="1" x="5750"/>
        <item m="1" x="5294"/>
        <item m="1" x="4247"/>
        <item m="1" x="3693"/>
        <item m="1" x="4898"/>
        <item m="1" x="4379"/>
        <item m="1" x="5850"/>
        <item m="1" x="5411"/>
        <item m="1" x="6826"/>
        <item m="1" x="6333"/>
        <item m="1" x="7419"/>
        <item m="1" x="2118"/>
        <item m="1" x="3272"/>
        <item m="1" x="6797"/>
        <item m="1" x="6296"/>
        <item m="1" x="5818"/>
        <item m="1" x="3822"/>
        <item m="1" x="1198"/>
        <item m="1" x="3790"/>
        <item m="1" x="4866"/>
        <item m="1" x="4348"/>
        <item m="1" x="5380"/>
        <item m="1" x="3722"/>
        <item m="1" x="3185"/>
        <item m="1" x="2634"/>
        <item m="1" x="2139"/>
        <item m="1" x="1660"/>
        <item m="1" x="4275"/>
        <item m="1" x="4805"/>
        <item m="1" x="1226"/>
        <item m="1" x="1683"/>
        <item m="1" x="2166"/>
        <item m="1" x="2662"/>
        <item m="1" x="3218"/>
        <item m="1" x="3759"/>
        <item m="1" x="4314"/>
        <item m="1" x="4832"/>
        <item m="1" x="5345"/>
        <item m="1" x="5794"/>
        <item m="1" x="2193"/>
        <item m="1" x="2692"/>
        <item m="1" x="3246"/>
        <item m="1" x="3152"/>
        <item m="1" x="5105"/>
        <item m="1" x="7109"/>
        <item m="1" x="7707"/>
        <item m="1" x="6819"/>
        <item m="1" x="681"/>
        <item m="1" x="6553"/>
        <item m="1" x="5144"/>
        <item m="1" x="5616"/>
        <item m="1" x="6072"/>
        <item m="1" x="1701"/>
        <item m="1" x="2709"/>
        <item m="1" x="3842"/>
        <item m="1" x="2442"/>
        <item m="1" x="1953"/>
        <item m="1" x="2957"/>
        <item m="1" x="3505"/>
        <item m="1" x="4630"/>
        <item m="1" x="5583"/>
        <item m="1" x="6036"/>
        <item m="1" x="6517"/>
        <item m="1" x="2997"/>
        <item m="1" x="3544"/>
        <item m="1" x="4092"/>
        <item m="1" x="5179"/>
        <item m="1" x="4131"/>
        <item m="1" x="5648"/>
        <item m="1" x="4056"/>
        <item m="1" x="4596"/>
        <item m="1" x="5216"/>
        <item m="1" x="363"/>
        <item m="1" x="7748"/>
        <item m="1" x="7155"/>
        <item m="1" x="6597"/>
        <item m="1" x="6106"/>
        <item m="1" x="401"/>
        <item m="1" x="7202"/>
        <item m="1" x="6635"/>
        <item m="1" x="6141"/>
        <item m="1" x="7844"/>
        <item m="1" x="7236"/>
        <item m="1" x="6176"/>
        <item m="1" x="1448"/>
        <item m="1" x="955"/>
        <item m="1" x="1948"/>
        <item m="1" x="1480"/>
        <item m="1" x="997"/>
        <item m="1" x="7275"/>
        <item m="1" x="7884"/>
        <item m="1" x="3809"/>
        <item m="1" x="2678"/>
        <item m="1" x="5814"/>
        <item m="1" x="2602"/>
        <item m="1" x="3717"/>
        <item m="1" x="4828"/>
        <item m="1" x="1990"/>
        <item m="1" x="2477"/>
        <item m="1" x="2990"/>
        <item m="1" x="524"/>
        <item m="1" x="1073"/>
        <item m="1" x="1558"/>
        <item m="1" x="2029"/>
        <item m="1" x="2517"/>
        <item m="1" x="3038"/>
        <item m="1" x="3580"/>
        <item m="1" x="4124"/>
        <item m="1" x="1105"/>
        <item m="1" x="1586"/>
        <item m="1" x="2053"/>
        <item m="1" x="2550"/>
        <item m="1" x="3081"/>
        <item m="1" x="3622"/>
        <item m="1" x="6702"/>
        <item m="1" x="7270"/>
        <item m="1" x="3047"/>
        <item m="1" x="6554"/>
        <item m="1" x="4170"/>
        <item m="1" x="4702"/>
        <item m="1" x="5210"/>
        <item m="1" x="5679"/>
        <item m="1" x="2081"/>
        <item m="1" x="4631"/>
        <item m="1" x="5145"/>
        <item m="1" x="5617"/>
        <item m="1" x="6073"/>
        <item m="1" x="4132"/>
        <item m="1" x="3588"/>
        <item m="1" x="3545"/>
        <item m="1" x="7880"/>
        <item m="1" x="1998"/>
        <item m="1" x="2484"/>
        <item m="1" x="2998"/>
        <item m="1" x="4093"/>
        <item m="1" x="5743"/>
        <item m="1" x="6209"/>
        <item m="1" x="4212"/>
        <item m="1" x="2578"/>
        <item m="1" x="3108"/>
        <item m="1" x="3655"/>
        <item m="1" x="3686"/>
        <item m="1" x="4239"/>
        <item m="1" x="4743"/>
        <item m="1" x="5250"/>
        <item m="1" x="5712"/>
        <item m="1" x="5289"/>
        <item m="1" x="4772"/>
        <item m="1" x="6666"/>
        <item m="1" x="6171"/>
        <item m="1" x="3141"/>
        <item m="1" x="1645"/>
        <item m="1" x="338"/>
        <item m="1" x="892"/>
        <item m="1" x="7718"/>
        <item m="1" x="1835"/>
        <item m="1" x="6570"/>
        <item m="1" x="1402"/>
        <item m="1" x="1863"/>
        <item m="1" x="2352"/>
        <item m="1" x="2865"/>
        <item m="1" x="7767"/>
        <item m="1" x="371"/>
        <item m="1" x="3995"/>
        <item m="1" x="926"/>
        <item m="1" x="1428"/>
        <item m="1" x="1890"/>
        <item m="1" x="2386"/>
        <item m="1" x="2897"/>
        <item m="1" x="3444"/>
        <item m="1" x="3480"/>
        <item m="1" x="2930"/>
        <item m="1" x="2416"/>
        <item m="1" x="1920"/>
        <item m="1" x="1454"/>
        <item m="1" x="965"/>
        <item m="1" x="417"/>
        <item m="1" x="5078"/>
        <item m="1" x="4567"/>
        <item m="1" x="4029"/>
        <item m="1" x="4062"/>
        <item m="1" x="3512"/>
        <item m="1" x="2961"/>
        <item m="1" x="1959"/>
        <item m="1" x="1492"/>
        <item m="1" x="4604"/>
        <item m="1" x="3004"/>
        <item m="1" x="2492"/>
        <item m="1" x="6043"/>
        <item m="1" x="5590"/>
        <item m="1" x="5112"/>
        <item m="1" x="313"/>
        <item m="1" x="1379"/>
        <item m="1" x="7052"/>
        <item m="1" x="7686"/>
        <item m="1" x="7083"/>
        <item m="1" x="7661"/>
        <item m="1" x="866"/>
        <item m="1" x="6049"/>
        <item m="1" x="285"/>
        <item m="1" x="6525"/>
        <item m="1" x="834"/>
        <item m="1" x="5598"/>
        <item m="1" x="7124"/>
        <item m="1" x="5255"/>
        <item m="1" x="4059"/>
        <item m="1" x="5148"/>
        <item m="1" x="6110"/>
        <item m="1" x="7206"/>
        <item m="1" x="4174"/>
        <item m="1" x="3042"/>
        <item m="1" x="1044"/>
        <item m="1" x="2031"/>
        <item m="1" x="3083"/>
        <item m="1" x="4215"/>
        <item m="1" x="5291"/>
        <item m="1" x="4096"/>
        <item m="1" x="5183"/>
        <item m="1" x="6145"/>
        <item m="1" x="7240"/>
        <item m="1" x="1076"/>
        <item m="1" x="2055"/>
        <item m="1" x="3111"/>
        <item m="1" x="4241"/>
        <item m="1" x="5316"/>
        <item m="1" x="4136"/>
        <item m="1" x="5220"/>
        <item m="1" x="6180"/>
        <item m="1" x="7280"/>
        <item m="1" x="1107"/>
        <item m="1" x="2084"/>
        <item m="1" x="3143"/>
        <item m="1" x="4272"/>
        <item m="1" x="5342"/>
        <item m="1" x="4179"/>
        <item m="1" x="5260"/>
        <item m="1" x="6219"/>
        <item m="1" x="7321"/>
        <item m="1" x="4312"/>
        <item m="1" x="3183"/>
        <item m="1" x="2113"/>
        <item m="1" x="1146"/>
        <item m="1" x="5995"/>
        <item m="1" x="5547"/>
        <item m="1" x="5052"/>
        <item m="1" x="4543"/>
        <item m="1" x="4000"/>
        <item m="1" x="3451"/>
        <item m="1" x="5377"/>
        <item m="1" x="7623"/>
        <item m="1" x="7022"/>
        <item m="1" x="6480"/>
        <item m="1" x="4576"/>
        <item m="1" x="5085"/>
        <item m="1" x="3600"/>
        <item m="1" x="7118"/>
        <item m="1" x="6114"/>
        <item m="1" x="5656"/>
        <item m="1" x="7760"/>
        <item m="1" x="7164"/>
        <item m="1" x="4140"/>
        <item m="1" x="5186"/>
        <item m="1" x="4719"/>
        <item m="1" x="6644"/>
        <item m="1" x="6148"/>
        <item m="1" x="2962"/>
        <item m="1" x="1891"/>
        <item m="1" x="1429"/>
        <item m="1" x="5086"/>
        <item m="1" x="4577"/>
        <item m="1" x="4037"/>
        <item m="1" x="964"/>
        <item m="1" x="412"/>
        <item m="1" x="3489"/>
        <item m="1" x="6019"/>
        <item m="1" x="5567"/>
        <item m="1" x="6526"/>
        <item m="1" x="5599"/>
        <item m="1" x="4613"/>
        <item m="1" x="7662"/>
        <item m="1" x="6500"/>
        <item m="1" x="7719"/>
        <item m="1" x="7053"/>
        <item m="1" x="7125"/>
        <item m="1" x="6571"/>
        <item m="1" x="5121"/>
        <item m="1" x="6086"/>
        <item m="1" x="6050"/>
        <item m="1" x="5632"/>
        <item m="1" x="7084"/>
        <item m="1" x="867"/>
        <item m="1" x="314"/>
        <item m="1" x="7687"/>
        <item m="1" x="2387"/>
        <item m="1" x="339"/>
        <item m="1" x="7171"/>
        <item m="1" x="893"/>
        <item m="1" x="1403"/>
        <item m="1" x="6612"/>
        <item m="1" x="1864"/>
        <item m="1" x="7768"/>
        <item m="1" x="372"/>
        <item m="1" x="927"/>
        <item m="1" x="5690"/>
        <item m="1" x="5223"/>
        <item m="1" x="6876"/>
        <item m="1" x="2832"/>
        <item m="1" x="2872"/>
        <item m="1" x="2905"/>
        <item m="1" x="2939"/>
        <item m="1" x="2971"/>
        <item m="1" x="3013"/>
        <item m="1" x="3060"/>
        <item m="1" x="3604"/>
        <item m="1" x="4723"/>
        <item m="1" x="5728"/>
        <item m="1" x="6717"/>
        <item m="1" x="7942"/>
        <item m="1" x="571"/>
        <item m="1" x="1620"/>
        <item m="1" x="5834"/>
        <item m="1" x="4848"/>
        <item m="1" x="3741"/>
        <item m="1" x="4935"/>
        <item m="1" x="3831"/>
        <item m="1" x="2700"/>
        <item m="1" x="2612"/>
        <item m="1" x="1723"/>
        <item m="1" x="708"/>
        <item m="1" x="6844"/>
        <item m="1" x="2734"/>
        <item m="1" x="3800"/>
        <item m="1" x="4907"/>
        <item m="1" x="3701"/>
        <item m="1" x="4812"/>
        <item m="1" x="5802"/>
        <item m="1" x="6806"/>
        <item m="1" x="2671"/>
        <item m="1" x="1669"/>
        <item m="1" x="667"/>
        <item m="1" x="1693"/>
        <item m="1" x="606"/>
        <item m="1" x="7982"/>
        <item m="1" x="6751"/>
        <item m="1" x="5756"/>
        <item m="1" x="3639"/>
        <item m="1" x="4842"/>
        <item m="1" x="3735"/>
        <item m="1" x="4757"/>
        <item m="1" x="1644"/>
        <item m="1" x="2643"/>
        <item m="1" x="3768"/>
        <item m="1" x="3671"/>
        <item m="1" x="4785"/>
        <item m="1" x="5778"/>
        <item m="1" x="6777"/>
        <item m="1" x="636"/>
        <item m="1" x="4875"/>
        <item m="1" x="2687"/>
        <item m="1" x="2718"/>
        <item m="1" x="2763"/>
        <item m="1" x="2798"/>
        <item m="1" x="2584"/>
        <item m="1" x="1590"/>
        <item m="1" x="2830"/>
        <item m="1" x="2867"/>
        <item m="1" x="2902"/>
        <item m="1" x="3438"/>
        <item m="1" x="4563"/>
        <item m="1" x="5587"/>
        <item m="1" x="6561"/>
        <item m="1" x="7758"/>
        <item m="1" x="410"/>
        <item m="1" x="1486"/>
        <item m="1" x="2488"/>
        <item m="1" x="3593"/>
        <item m="1" x="4712"/>
        <item m="1" x="3478"/>
        <item m="1" x="4602"/>
        <item m="1" x="5623"/>
        <item m="1" x="6605"/>
        <item m="1" x="7811"/>
        <item m="1" x="3510"/>
        <item m="1" x="4751"/>
        <item m="1" x="3632"/>
        <item m="1" x="2528"/>
        <item m="1" x="1529"/>
        <item m="1" x="458"/>
        <item m="1" x="7854"/>
        <item m="1" x="6642"/>
        <item m="1" x="5654"/>
        <item m="1" x="4636"/>
        <item m="1" x="1565"/>
        <item m="1" x="497"/>
        <item m="1" x="6675"/>
        <item m="1" x="5688"/>
        <item m="1" x="4673"/>
        <item m="1" x="3550"/>
        <item m="1" x="4778"/>
        <item m="1" x="3662"/>
        <item m="1" x="7894"/>
        <item m="1" x="2556"/>
        <item m="1" x="532"/>
        <item m="1" x="3824"/>
        <item m="1" x="2693"/>
        <item m="1" x="1685"/>
        <item m="1" x="659"/>
        <item m="1" x="6804"/>
        <item m="1" x="5799"/>
        <item m="1" x="4810"/>
        <item m="1" x="3699"/>
        <item m="1" x="3596"/>
        <item m="1" x="567"/>
        <item m="1" x="7938"/>
        <item m="1" x="6715"/>
        <item m="1" x="5724"/>
        <item m="1" x="4715"/>
        <item m="1" x="6838"/>
        <item m="1" x="5828"/>
        <item m="1" x="4843"/>
        <item m="1" x="3736"/>
        <item m="1" x="4928"/>
        <item m="1" x="4754"/>
        <item m="1" x="3635"/>
        <item m="1" x="4834"/>
        <item m="1" x="3726"/>
        <item m="1" x="2608"/>
        <item m="1" x="1616"/>
        <item m="1" x="2636"/>
        <item m="1" x="1641"/>
        <item m="1" x="603"/>
        <item m="1" x="7978"/>
        <item m="1" x="6749"/>
        <item m="1" x="5754"/>
        <item m="1" x="6775"/>
        <item m="1" x="5775"/>
        <item m="1" x="4783"/>
        <item m="1" x="3668"/>
        <item m="1" x="4868"/>
        <item m="1" x="3760"/>
        <item m="1" x="4900"/>
        <item m="1" x="3792"/>
        <item m="1" x="2664"/>
        <item m="1" x="1661"/>
        <item m="1" x="632"/>
        <item m="1" x="454"/>
        <item m="1" x="1524"/>
        <item m="1" x="2520"/>
        <item m="1" x="3626"/>
        <item m="1" x="4747"/>
        <item m="1" x="3509"/>
        <item m="1" x="4635"/>
        <item m="1" x="5653"/>
        <item m="1" x="6641"/>
        <item m="1" x="7850"/>
        <item m="1" x="493"/>
        <item m="1" x="1560"/>
        <item m="1" x="2552"/>
        <item m="1" x="7889"/>
        <item m="1" x="528"/>
        <item m="1" x="4774"/>
        <item m="1" x="3549"/>
        <item m="1" x="4672"/>
        <item m="1" x="5687"/>
        <item m="1" x="6674"/>
        <item m="1" x="3658"/>
        <item m="1" x="4600"/>
        <item m="1" x="3476"/>
        <item m="1" x="4705"/>
        <item m="1" x="3583"/>
        <item m="1" x="2480"/>
        <item m="1" x="1482"/>
        <item m="1" x="5621"/>
        <item m="1" x="6603"/>
        <item m="1" x="6558"/>
        <item m="1" x="4514"/>
        <item m="1" x="405"/>
        <item m="1" x="7752"/>
        <item m="1" x="5526"/>
        <item m="1" x="4713"/>
        <item m="1" x="3594"/>
        <item m="1" x="4803"/>
        <item m="1" x="3689"/>
        <item m="1" x="1587"/>
        <item m="1" x="2581"/>
        <item m="1" x="7806"/>
        <item m="1" x="3417"/>
        <item m="1" x="3721"/>
        <item m="1" x="1614"/>
        <item m="1" x="563"/>
        <item m="1" x="5721"/>
        <item m="1" x="6712"/>
        <item m="1" x="7932"/>
        <item m="1" x="2606"/>
        <item m="1" x="4831"/>
        <item m="1" x="3967"/>
        <item m="1" x="3513"/>
        <item m="1" x="5079"/>
        <item m="1" x="5564"/>
        <item m="1" x="1960"/>
        <item m="1" x="2446"/>
        <item m="1" x="2963"/>
        <item m="1" x="4063"/>
        <item m="1" x="4605"/>
        <item m="1" x="5113"/>
        <item m="1" x="5591"/>
        <item m="1" x="6044"/>
        <item m="1" x="6523"/>
        <item m="1" x="3005"/>
        <item m="1" x="3552"/>
        <item m="1" x="4098"/>
        <item m="1" x="4638"/>
        <item m="1" x="5152"/>
        <item m="1" x="5625"/>
        <item m="1" x="6079"/>
        <item m="1" x="6563"/>
        <item m="1" x="7119"/>
        <item m="1" x="7717"/>
        <item m="1" x="4141"/>
        <item m="1" x="4675"/>
        <item m="1" x="7165"/>
        <item m="1" x="6115"/>
        <item m="1" x="6607"/>
        <item m="1" x="5657"/>
        <item m="1" x="5187"/>
        <item m="1" x="373"/>
        <item m="1" x="928"/>
        <item m="1" x="1430"/>
        <item m="1" x="1892"/>
        <item m="1" x="2388"/>
        <item m="1" x="2898"/>
        <item m="1" x="1921"/>
        <item m="1" x="2417"/>
        <item m="1" x="3445"/>
        <item m="1" x="3996"/>
        <item m="1" x="4539"/>
        <item m="1" x="966"/>
        <item m="1" x="1455"/>
        <item m="1" x="2931"/>
        <item m="1" x="3481"/>
        <item m="1" x="4030"/>
        <item m="1" x="4568"/>
        <item m="1" x="7769"/>
        <item m="1" x="929"/>
        <item m="1" x="374"/>
        <item m="1" x="1893"/>
        <item m="1" x="1431"/>
        <item m="1" x="2899"/>
        <item m="1" x="2389"/>
        <item m="1" x="3446"/>
        <item m="1" x="967"/>
        <item m="1" x="418"/>
        <item m="1" x="1922"/>
        <item m="1" x="1456"/>
        <item m="1" x="2932"/>
        <item m="1" x="2418"/>
        <item m="1" x="4031"/>
        <item m="1" x="3482"/>
        <item m="1" x="1011"/>
        <item m="1" x="4569"/>
        <item m="1" x="1493"/>
        <item m="1" x="1961"/>
        <item m="1" x="2447"/>
        <item m="1" x="3006"/>
        <item m="1" x="2964"/>
        <item m="1" x="2493"/>
        <item m="1" x="2005"/>
        <item m="1" x="4064"/>
        <item m="1" x="5592"/>
        <item m="1" x="4606"/>
        <item m="1" x="3553"/>
        <item m="1" x="5114"/>
        <item m="1" x="4099"/>
        <item m="1" x="3514"/>
        <item m="1" x="3057"/>
        <item m="1" x="6564"/>
        <item m="1" x="4639"/>
        <item m="1" x="5153"/>
        <item m="1" x="5626"/>
        <item m="1" x="6080"/>
        <item m="1" x="4676"/>
        <item m="1" x="5188"/>
        <item m="1" x="5658"/>
        <item m="1" x="6116"/>
        <item m="1" x="4142"/>
        <item m="1" x="3601"/>
        <item m="1" x="6608"/>
        <item m="1" x="7166"/>
        <item m="1" x="7761"/>
        <item m="1" x="4187"/>
        <item m="1" x="4720"/>
        <item m="1" x="5224"/>
        <item m="1" x="5691"/>
        <item m="1" x="6149"/>
        <item m="1" x="6645"/>
        <item m="1" x="7210"/>
        <item m="1" x="7813"/>
        <item m="1" x="413"/>
        <item m="1" x="3490"/>
        <item m="1" x="1404"/>
        <item m="1" x="2353"/>
        <item m="1" x="894"/>
        <item m="1" x="340"/>
        <item m="1" x="7172"/>
        <item m="1" x="2750"/>
        <item m="1" x="3293"/>
        <item m="1" x="3985"/>
        <item m="1" x="6961"/>
        <item m="1" x="7561"/>
        <item m="1" x="6433"/>
        <item m="1" x="4471"/>
        <item m="1" x="3955"/>
        <item m="1" x="3404"/>
        <item m="1" x="2855"/>
        <item m="1" x="3339"/>
        <item m="1" x="5450"/>
        <item m="1" x="5515"/>
        <item m="1" x="5962"/>
        <item m="1" x="5016"/>
        <item m="1" x="4501"/>
        <item m="1" x="5477"/>
        <item m="1" x="4986"/>
        <item m="1" x="821"/>
        <item m="1" x="6404"/>
        <item m="1" x="2819"/>
        <item m="1" x="2310"/>
        <item m="1" x="3888"/>
        <item m="1" x="4429"/>
        <item m="1" x="7601"/>
        <item m="1" x="7006"/>
        <item m="1" x="6471"/>
        <item m="1" x="1794"/>
        <item m="1" x="1824"/>
        <item m="1" x="3308"/>
        <item m="1" x="3852"/>
        <item m="1" x="3373"/>
        <item m="1" x="2279"/>
        <item m="1" x="3925"/>
        <item m="1" x="5042"/>
        <item m="1" x="5537"/>
        <item m="1" x="5986"/>
        <item m="1" x="4530"/>
        <item m="1" x="4396"/>
        <item m="1" x="232"/>
        <item m="1" x="2761"/>
        <item m="1" x="1338"/>
        <item m="1" x="7613"/>
        <item m="1" x="237"/>
        <item m="1" x="1306"/>
        <item m="1" x="1764"/>
        <item m="1" x="2245"/>
        <item m="1" x="2751"/>
        <item m="1" x="3294"/>
        <item m="1" x="276"/>
        <item m="1" x="822"/>
        <item m="1" x="4430"/>
        <item m="1" x="1339"/>
        <item m="1" x="2280"/>
        <item m="1" x="2786"/>
        <item m="1" x="3340"/>
        <item m="1" x="7451"/>
        <item m="1" x="3901"/>
        <item m="1" x="4442"/>
        <item m="1" x="4953"/>
        <item m="1" x="5455"/>
        <item m="1" x="5899"/>
        <item m="1" x="6381"/>
        <item m="1" x="6890"/>
        <item m="1" x="7493"/>
        <item m="1" x="135"/>
        <item m="1" x="4995"/>
        <item m="1" x="7531"/>
        <item m="1" x="6926"/>
        <item m="1" x="6409"/>
        <item m="1" x="5928"/>
        <item m="1" x="5489"/>
        <item m="1" x="6969"/>
        <item m="1" x="6446"/>
        <item m="1" x="1249"/>
        <item m="1" x="723"/>
        <item m="1" x="175"/>
        <item m="1" x="7567"/>
        <item m="1" x="1736"/>
        <item m="1" x="1280"/>
        <item m="1" x="754"/>
        <item m="1" x="204"/>
        <item m="1" x="2211"/>
        <item m="1" x="2893"/>
        <item m="1" x="6434"/>
        <item m="1" x="3986"/>
        <item m="1" x="3436"/>
        <item m="1" x="5043"/>
        <item m="1" x="4531"/>
        <item m="1" x="5987"/>
        <item m="1" x="5538"/>
        <item m="1" x="7007"/>
        <item m="1" x="6472"/>
        <item m="1" x="7602"/>
        <item m="1" x="4025"/>
        <item m="1" x="4562"/>
        <item m="1" x="5072"/>
        <item m="1" x="5560"/>
        <item m="1" x="6015"/>
        <item m="1" x="6497"/>
        <item m="1" x="7045"/>
        <item m="1" x="7652"/>
        <item m="1" x="5516"/>
        <item m="1" x="5017"/>
        <item m="1" x="4472"/>
        <item m="1" x="4502"/>
        <item m="1" x="3956"/>
        <item m="1" x="5478"/>
        <item m="1" x="3405"/>
        <item m="1" x="1859"/>
        <item m="1" x="2856"/>
        <item m="1" x="176"/>
        <item m="1" x="2345"/>
        <item m="1" x="6382"/>
        <item m="1" x="7532"/>
        <item m="1" x="7494"/>
        <item m="1" x="6927"/>
        <item m="1" x="4481"/>
        <item m="1" x="6410"/>
        <item m="1" x="5490"/>
        <item m="1" x="5929"/>
        <item m="1" x="4996"/>
        <item m="1" x="3935"/>
        <item m="1" x="6891"/>
        <item m="1" x="5900"/>
        <item m="1" x="3351"/>
        <item m="1" x="269"/>
        <item m="1" x="2797"/>
        <item m="1" x="3902"/>
        <item m="1" x="4443"/>
        <item m="1" x="4954"/>
        <item m="1" x="5456"/>
        <item m="1" x="2068"/>
        <item m="1" x="1602"/>
        <item m="1" x="7951"/>
        <item m="1" x="1125"/>
        <item m="1" x="7338"/>
        <item m="1" x="3358"/>
        <item m="1" x="1322"/>
        <item m="1" x="2294"/>
        <item m="1" x="3387"/>
        <item m="1" x="4518"/>
        <item m="1" x="3285"/>
        <item m="1" x="4421"/>
        <item m="1" x="2325"/>
        <item m="1" x="6425"/>
        <item m="1" x="7585"/>
        <item m="1" x="251"/>
        <item m="1" x="1353"/>
        <item m="1" x="5470"/>
        <item m="1" x="4261"/>
        <item m="1" x="4793"/>
        <item m="1" x="5306"/>
        <item m="1" x="5761"/>
        <item m="1" x="6233"/>
        <item m="1" x="6726"/>
        <item m="1" x="7298"/>
        <item m="1" x="3712"/>
        <item m="1" x="6688"/>
        <item m="1" x="7256"/>
        <item m="1" x="4823"/>
        <item m="1" x="7908"/>
        <item m="1" x="4359"/>
        <item m="1" x="5420"/>
        <item m="1" x="6372"/>
        <item m="1" x="7518"/>
        <item m="1" x="5332"/>
        <item m="1" x="5784"/>
        <item m="1" x="2598"/>
        <item m="1" x="3130"/>
        <item m="1" x="3678"/>
        <item m="1" x="4230"/>
        <item m="1" x="4764"/>
        <item m="1" x="5276"/>
        <item m="1" x="5734"/>
        <item m="1" x="4447"/>
        <item m="1" x="159"/>
        <item m="1" x="1268"/>
        <item m="1" x="7550"/>
        <item m="1" x="3257"/>
        <item m="1" x="4392"/>
        <item m="1" x="5446"/>
        <item m="1" x="6398"/>
        <item m="1" x="2232"/>
        <item m="1" x="3323"/>
        <item m="1" x="4457"/>
        <item m="1" x="116"/>
        <item m="1" x="7435"/>
        <item m="1" x="6308"/>
        <item m="1" x="192"/>
        <item m="1" x="1295"/>
        <item m="1" x="2265"/>
        <item m="1" x="7373"/>
        <item m="1" x="5683"/>
        <item m="1" x="1964"/>
        <item m="1" x="7405"/>
        <item m="1" x="617"/>
        <item m="1" x="1161"/>
        <item m="1" x="2260"/>
        <item m="1" x="7287"/>
        <item m="1" x="2291"/>
        <item m="1" x="6187"/>
        <item m="1" x="2322"/>
        <item m="1" x="5226"/>
        <item m="1" x="2360"/>
        <item m="1" x="4144"/>
        <item m="1" x="2394"/>
        <item m="1" x="3009"/>
        <item m="1" x="2425"/>
        <item m="1" x="2498"/>
        <item m="1" x="2454"/>
        <item m="1" x="3156"/>
        <item m="1" x="6226"/>
        <item m="1" x="2094"/>
        <item m="1" x="7329"/>
        <item m="1" x="1115"/>
        <item m="1" x="4286"/>
        <item m="1" x="1154"/>
        <item m="1" x="5268"/>
        <item m="1" x="2121"/>
        <item m="1" x="4189"/>
        <item m="1" x="3195"/>
        <item m="1" x="3059"/>
        <item m="1" x="2147"/>
        <item m="1" x="7365"/>
        <item m="1" x="1181"/>
        <item m="1" x="6255"/>
        <item m="1" x="5324"/>
        <item m="1" x="5299"/>
        <item m="1" x="7396"/>
        <item m="1" x="4223"/>
        <item m="1" x="1207"/>
        <item m="1" x="3090"/>
        <item m="1" x="3254"/>
        <item m="1" x="3226"/>
        <item m="1" x="4388"/>
        <item m="1" x="4325"/>
        <item m="1" x="2174"/>
        <item m="1" x="3159"/>
        <item m="1" x="81"/>
        <item m="1" x="4252"/>
        <item m="1" x="3123"/>
        <item m="1" x="4356"/>
        <item m="1" x="6277"/>
        <item m="1" x="7406"/>
        <item m="1" x="6813"/>
        <item m="1" x="5842"/>
        <item m="1" x="6318"/>
        <item m="1" x="3812"/>
        <item m="1" x="4367"/>
        <item m="1" x="4889"/>
        <item m="1" x="5399"/>
        <item m="1" x="3884"/>
        <item m="1" x="4427"/>
        <item m="1" x="5448"/>
        <item m="1" x="3291"/>
        <item m="1" x="5895"/>
        <item m="1" x="6375"/>
        <item m="1" x="2681"/>
        <item m="1" x="4335"/>
        <item m="1" x="3780"/>
        <item m="1" x="3234"/>
        <item m="1" x="5810"/>
        <item m="1" x="5366"/>
        <item m="1" x="4858"/>
        <item m="1" x="162"/>
        <item m="1" x="7521"/>
        <item m="1" x="6881"/>
        <item m="1" x="6783"/>
        <item m="1" x="3841"/>
        <item m="1" x="5869"/>
        <item m="1" x="6349"/>
        <item m="1" x="4394"/>
        <item m="1" x="4915"/>
        <item m="1" x="5424"/>
        <item m="1" x="3336"/>
        <item m="1" x="4982"/>
        <item m="1" x="6917"/>
        <item m="1" x="6401"/>
        <item m="1" x="5474"/>
        <item m="1" x="4468"/>
        <item m="1" x="7481"/>
        <item m="1" x="7374"/>
        <item m="1" x="3808"/>
        <item m="1" x="4364"/>
        <item m="1" x="4885"/>
        <item m="1" x="5395"/>
        <item m="1" x="2244"/>
        <item m="1" x="2747"/>
        <item m="1" x="6112"/>
        <item m="1" x="5150"/>
        <item m="1" x="2221"/>
        <item m="1" x="2188"/>
        <item m="1" x="2162"/>
        <item m="1" x="2256"/>
        <item m="1" x="2288"/>
        <item m="1" x="2319"/>
        <item m="1" x="2355"/>
        <item m="1" x="5073"/>
        <item m="1" x="4137"/>
        <item m="1" x="6039"/>
        <item m="1" x="7114"/>
        <item m="1" x="962"/>
        <item m="1" x="1956"/>
        <item m="1" x="3001"/>
        <item m="1" x="3050"/>
        <item m="1" x="4180"/>
        <item m="1" x="2000"/>
        <item m="1" x="5109"/>
        <item m="1" x="7162"/>
        <item m="1" x="1004"/>
        <item m="1" x="6077"/>
        <item m="1" x="5184"/>
        <item m="1" x="6146"/>
        <item m="1" x="7243"/>
        <item m="1" x="5221"/>
        <item m="1" x="4244"/>
        <item m="1" x="3116"/>
        <item m="1" x="2059"/>
        <item m="1" x="1081"/>
        <item m="1" x="4279"/>
        <item m="1" x="3149"/>
        <item m="1" x="2089"/>
        <item m="1" x="1111"/>
        <item m="1" x="7284"/>
        <item m="1" x="6183"/>
        <item m="1" x="1150"/>
        <item m="1" x="7326"/>
        <item m="1" x="6224"/>
        <item m="1" x="5264"/>
        <item m="1" x="6253"/>
        <item m="1" x="5297"/>
        <item m="1" x="4317"/>
        <item m="1" x="3188"/>
        <item m="1" x="2116"/>
        <item m="1" x="4350"/>
        <item m="1" x="3220"/>
        <item m="1" x="2141"/>
        <item m="1" x="1178"/>
        <item m="1" x="7360"/>
        <item m="1" x="2168"/>
        <item m="1" x="1201"/>
        <item m="1" x="79"/>
        <item m="1" x="7392"/>
        <item m="1" x="6275"/>
        <item m="1" x="5322"/>
        <item m="1" x="7429"/>
        <item m="1" x="6305"/>
        <item m="1" x="5353"/>
        <item m="1" x="4381"/>
        <item m="1" x="3248"/>
        <item m="1" x="2975"/>
        <item m="1" x="2457"/>
        <item m="1" x="4409"/>
        <item m="1" x="3273"/>
        <item m="1" x="2194"/>
        <item m="1" x="1229"/>
        <item m="1" x="108"/>
        <item m="1" x="4217"/>
        <item m="1" x="3085"/>
        <item m="1" x="2034"/>
        <item m="1" x="1048"/>
        <item m="1" x="7208"/>
        <item m="1" x="3525"/>
        <item m="1" x="2743"/>
        <item m="1" x="809"/>
        <item m="1" x="2706"/>
        <item m="1" x="3839"/>
        <item m="1" x="4942"/>
        <item m="1" x="5919"/>
        <item m="1" x="6955"/>
        <item m="1" x="3702"/>
        <item m="1" x="4813"/>
        <item m="1" x="5803"/>
        <item m="1" x="6808"/>
        <item m="1" x="671"/>
        <item m="1" x="2616"/>
        <item m="1" x="3743"/>
        <item m="1" x="4850"/>
        <item m="1" x="5836"/>
        <item m="1" x="6847"/>
        <item m="1" x="711"/>
        <item m="1" x="2648"/>
        <item m="1" x="3774"/>
        <item m="1" x="4881"/>
        <item m="1" x="5865"/>
        <item m="1" x="6879"/>
        <item m="1" x="742"/>
        <item m="1" x="2676"/>
        <item m="1" x="3806"/>
        <item m="1" x="4913"/>
        <item m="1" x="5894"/>
        <item m="1" x="6916"/>
        <item m="1" x="774"/>
        <item m="1" x="3341"/>
        <item m="1" x="2787"/>
        <item m="1" x="2281"/>
        <item m="1" x="1795"/>
        <item m="1" x="1340"/>
        <item m="1" x="823"/>
        <item m="1" x="3889"/>
        <item m="1" x="1307"/>
        <item m="1" x="784"/>
        <item m="1" x="4945"/>
        <item m="1" x="4431"/>
        <item m="1" x="277"/>
        <item m="1" x="1765"/>
        <item m="1" x="2246"/>
        <item m="1" x="2752"/>
        <item m="1" x="3295"/>
        <item m="1" x="3844"/>
        <item m="1" x="5930"/>
        <item m="1" x="6411"/>
        <item m="1" x="6970"/>
        <item m="1" x="5491"/>
        <item m="1" x="685"/>
        <item m="1" x="1705"/>
        <item m="1" x="137"/>
        <item m="1" x="724"/>
        <item m="1" x="7496"/>
        <item m="1" x="6447"/>
        <item m="1" x="1250"/>
        <item m="1" x="7568"/>
        <item m="1" x="6928"/>
        <item m="1" x="7533"/>
        <item m="1" x="177"/>
        <item m="1" x="755"/>
        <item m="1" x="205"/>
        <item m="1" x="1282"/>
        <item m="1" x="1738"/>
        <item m="1" x="2213"/>
        <item m="1" x="2712"/>
        <item m="1" x="7614"/>
        <item m="1" x="238"/>
        <item m="1" x="1281"/>
        <item m="1" x="1737"/>
        <item m="1" x="2212"/>
        <item m="1" x="3920"/>
        <item m="1" x="5431"/>
        <item m="1" x="7000"/>
        <item m="1" x="5957"/>
        <item m="1" x="7042"/>
        <item m="1" x="3267"/>
        <item m="1" x="3817"/>
        <item m="1" x="4373"/>
        <item m="1" x="4892"/>
        <item m="1" x="5405"/>
        <item m="1" x="5844"/>
        <item m="1" x="5901"/>
        <item m="1" x="4860"/>
        <item m="1" x="4342"/>
        <item m="1" x="5069"/>
        <item m="1" x="648"/>
        <item m="1" x="6383"/>
        <item m="1" x="6856"/>
        <item m="1" x="7452"/>
        <item m="1" x="4402"/>
        <item m="1" x="5457"/>
        <item m="1" x="6291"/>
        <item m="1" x="7413"/>
        <item m="1" x="7075"/>
        <item m="1" x="5815"/>
        <item m="1" x="7495"/>
        <item m="1" x="6035"/>
        <item m="1" x="7106"/>
        <item m="1" x="947"/>
        <item m="1" x="2187"/>
        <item m="1" x="2686"/>
        <item m="1" x="3241"/>
        <item m="1" x="3785"/>
        <item m="1" x="6358"/>
        <item m="1" x="5873"/>
        <item m="1" x="6820"/>
        <item m="1" x="6790"/>
        <item m="1" x="6326"/>
        <item m="1" x="5039"/>
        <item m="1" x="2815"/>
        <item m="1" x="3951"/>
        <item m="1" x="2781"/>
        <item m="1" x="94"/>
        <item m="1" x="913"/>
        <item m="1" x="2850"/>
        <item m="1" x="3981"/>
        <item m="1" x="4920"/>
        <item m="1" x="850"/>
        <item m="1" x="136"/>
        <item m="1" x="684"/>
        <item m="1" x="6012"/>
        <item m="1" x="6892"/>
        <item m="1" x="3146"/>
        <item m="1" x="105"/>
        <item m="1" x="656"/>
        <item m="1" x="1199"/>
        <item m="1" x="3395"/>
        <item m="1" x="3427"/>
        <item m="1" x="3467"/>
        <item m="1" x="3501"/>
        <item m="1" x="3540"/>
        <item m="1" x="3581"/>
        <item m="1" x="3623"/>
        <item m="1" x="7307"/>
        <item m="1" x="1134"/>
        <item m="1" x="2107"/>
        <item m="1" x="3178"/>
        <item m="1" x="4307"/>
        <item m="1" x="5373"/>
        <item m="1" x="7349"/>
        <item m="1" x="1171"/>
        <item m="1" x="2135"/>
        <item m="1" x="3212"/>
        <item m="1" x="4340"/>
        <item m="1" x="5404"/>
        <item m="1" x="7383"/>
        <item m="1" x="71"/>
        <item m="1" x="1193"/>
        <item m="1" x="2160"/>
        <item m="1" x="3239"/>
        <item m="1" x="4371"/>
        <item m="1" x="5430"/>
        <item m="1" x="7416"/>
        <item m="1" x="98"/>
        <item m="1" x="4400"/>
        <item m="1" x="5454"/>
        <item m="1" x="1219"/>
        <item m="1" x="2185"/>
        <item m="1" x="3265"/>
        <item m="1" x="7459"/>
        <item m="1" x="145"/>
        <item m="1" x="1256"/>
        <item m="1" x="2218"/>
        <item m="1" x="3301"/>
        <item m="1" x="4436"/>
        <item m="1" x="2249"/>
        <item m="1" x="1286"/>
        <item m="1" x="7502"/>
        <item m="1" x="5483"/>
        <item m="1" x="5519"/>
        <item m="1" x="4474"/>
        <item m="1" x="3344"/>
        <item m="1" x="182"/>
        <item m="1" x="2635"/>
        <item m="1" x="2140"/>
        <item m="1" x="1227"/>
        <item m="1" x="697"/>
        <item m="1" x="4276"/>
        <item m="1" x="3723"/>
        <item m="1" x="3219"/>
        <item m="1" x="1684"/>
        <item m="1" x="2167"/>
        <item m="1" x="2663"/>
        <item m="1" x="3283"/>
        <item m="1" x="7346"/>
        <item m="1" x="6241"/>
        <item m="1" x="6200"/>
        <item m="1" x="3255"/>
        <item m="1" x="3227"/>
        <item m="1" x="4202"/>
        <item m="1" x="5364"/>
        <item m="1" x="5282"/>
        <item m="1" x="5091"/>
        <item m="1" x="4298"/>
        <item m="1" x="3169"/>
        <item m="1" x="7304"/>
        <item m="1" x="3064"/>
        <item m="1" x="4196"/>
        <item m="1" x="5275"/>
        <item m="1" x="4081"/>
        <item m="1" x="5168"/>
        <item m="1" x="5305"/>
        <item m="1" x="5331"/>
        <item m="1" x="6132"/>
        <item m="1" x="7225"/>
        <item m="1" x="3095"/>
        <item m="1" x="4229"/>
        <item m="1" x="7258"/>
        <item m="1" x="6161"/>
        <item m="1" x="5199"/>
        <item m="1" x="4112"/>
        <item m="1" x="4158"/>
        <item m="1" x="7138"/>
        <item m="1" x="6059"/>
        <item m="1" x="5238"/>
        <item m="1" x="4260"/>
        <item m="1" x="3129"/>
        <item m="1" x="4044"/>
        <item m="1" x="5234"/>
        <item m="1" x="4154"/>
        <item m="1" x="3021"/>
        <item m="1" x="3391"/>
        <item m="1" x="3363"/>
        <item m="1" x="3327"/>
        <item m="1" x="4005"/>
        <item m="1" x="3457"/>
        <item m="1" x="3423"/>
        <item m="1" x="7185"/>
        <item m="1" x="6097"/>
        <item m="1" x="5131"/>
        <item m="1" x="7790"/>
        <item m="1" x="2881"/>
        <item m="1" x="2368"/>
        <item m="1" x="4015"/>
        <item m="1" x="3466"/>
        <item m="1" x="942"/>
        <item m="1" x="383"/>
        <item m="1" x="5063"/>
        <item m="1" x="5554"/>
        <item m="1" x="6005"/>
        <item m="1" x="7033"/>
        <item m="1" x="7639"/>
        <item m="1" x="4591"/>
        <item m="1" x="5099"/>
        <item m="1" x="5578"/>
        <item m="1" x="6028"/>
        <item m="1" x="6510"/>
        <item m="1" x="7066"/>
        <item m="1" x="297"/>
        <item m="1" x="846"/>
        <item m="1" x="5612"/>
        <item m="1" x="6065"/>
        <item m="1" x="6545"/>
        <item m="1" x="7097"/>
        <item m="1" x="7698"/>
        <item m="1" x="326"/>
        <item m="1" x="879"/>
        <item m="1" x="1388"/>
        <item m="1" x="1846"/>
        <item m="1" x="6590"/>
        <item m="1" x="910"/>
        <item m="1" x="1875"/>
        <item m="1" x="1414"/>
        <item m="1" x="7144"/>
        <item m="1" x="7738"/>
        <item m="1" x="354"/>
        <item m="1" x="5672"/>
        <item m="1" x="6625"/>
        <item m="1" x="7187"/>
        <item m="1" x="7780"/>
        <item m="1" x="6979"/>
        <item m="1" x="5937"/>
        <item m="1" x="3960"/>
        <item m="1" x="5046"/>
        <item m="1" x="3858"/>
        <item m="1" x="4961"/>
        <item m="1" x="6824"/>
        <item m="1" x="5817"/>
        <item m="1" x="4830"/>
        <item m="1" x="3719"/>
        <item m="1" x="1769"/>
        <item m="1" x="3928"/>
        <item m="1" x="5880"/>
        <item m="1" x="4897"/>
        <item m="1" x="6902"/>
        <item m="1" x="2790"/>
        <item m="1" x="761"/>
        <item m="1" x="5907"/>
        <item m="1" x="4927"/>
        <item m="1" x="3821"/>
        <item m="1" x="1798"/>
        <item m="1" x="790"/>
        <item m="1" x="6937"/>
        <item m="1" x="5020"/>
        <item m="1" x="2716"/>
        <item m="1" x="3789"/>
        <item m="1" x="4988"/>
        <item m="1" x="3893"/>
        <item m="1" x="2755"/>
        <item m="1" x="730"/>
        <item m="1" x="689"/>
        <item m="1" x="1709"/>
        <item m="1" x="3849"/>
        <item m="1" x="6866"/>
        <item m="1" x="5849"/>
        <item m="1" x="1742"/>
        <item m="1" x="4949"/>
        <item m="1" x="3758"/>
        <item m="1" x="4865"/>
        <item m="1" x="4919"/>
        <item m="1" x="2685"/>
        <item m="1" x="4800"/>
        <item m="1" x="3684"/>
        <item m="1" x="652"/>
        <item m="1" x="1680"/>
        <item m="1" x="3784"/>
        <item m="1" x="4891"/>
        <item m="1" x="5791"/>
        <item m="1" x="6794"/>
        <item m="1" x="3816"/>
        <item m="1" x="2822"/>
        <item m="1" x="880"/>
        <item m="1" x="7098"/>
        <item m="1" x="469"/>
        <item m="1" x="1538"/>
        <item m="1" x="2533"/>
        <item m="1" x="3640"/>
        <item m="1" x="4758"/>
        <item m="1" x="3529"/>
        <item m="1" x="4654"/>
        <item m="1" x="5669"/>
        <item m="1" x="6655"/>
        <item m="1" x="7866"/>
        <item m="1" x="506"/>
        <item m="1" x="1573"/>
        <item m="1" x="2562"/>
        <item m="1" x="3672"/>
        <item m="1" x="4786"/>
        <item m="1" x="3564"/>
        <item m="1" x="4687"/>
        <item m="1" x="5698"/>
        <item m="1" x="6685"/>
        <item m="1" x="7904"/>
        <item m="1" x="542"/>
        <item m="1" x="1599"/>
        <item m="1" x="2589"/>
        <item m="1" x="3703"/>
        <item m="1" x="4814"/>
        <item m="1" x="2846"/>
        <item m="1" x="3394"/>
        <item m="1" x="3947"/>
        <item m="1" x="4494"/>
        <item m="1" x="5009"/>
        <item m="1" x="5508"/>
        <item m="1" x="5953"/>
        <item m="1" x="6427"/>
        <item m="1" x="6950"/>
        <item m="1" x="7551"/>
        <item m="1" x="3977"/>
        <item m="1" x="4523"/>
        <item m="1" x="5035"/>
        <item m="1" x="5531"/>
        <item m="1" x="5979"/>
        <item m="1" x="6464"/>
        <item m="1" x="6994"/>
        <item m="1" x="7589"/>
        <item m="1" x="221"/>
        <item m="1" x="5064"/>
        <item m="1" x="6006"/>
        <item m="1" x="6489"/>
        <item m="1" x="7034"/>
        <item m="1" x="7640"/>
        <item m="1" x="6029"/>
        <item m="1" x="1326"/>
        <item m="1" x="808"/>
        <item m="1" x="257"/>
        <item m="1" x="1358"/>
        <item m="1" x="847"/>
        <item m="1" x="7671"/>
        <item m="1" x="7067"/>
        <item m="1" x="5638"/>
        <item m="1" x="6621"/>
        <item m="1" x="7825"/>
        <item m="1" x="1814"/>
        <item m="1" x="2299"/>
        <item m="1" x="4548"/>
        <item m="1" x="1847"/>
        <item m="1" x="2330"/>
        <item m="1" x="2843"/>
        <item m="1" x="355"/>
        <item m="1" x="911"/>
        <item m="1" x="1415"/>
        <item m="1" x="1876"/>
        <item m="1" x="2882"/>
        <item m="1" x="3422"/>
        <item m="1" x="3974"/>
        <item m="1" x="945"/>
        <item m="1" x="1441"/>
        <item m="1" x="1904"/>
        <item m="1" x="2400"/>
        <item m="1" x="2913"/>
        <item m="1" x="3456"/>
        <item m="1" x="4008"/>
        <item m="1" x="3494"/>
        <item m="1" x="2947"/>
        <item m="1" x="2430"/>
        <item m="1" x="5094"/>
        <item m="1" x="4582"/>
        <item m="1" x="4045"/>
        <item m="1" x="6506"/>
        <item m="1" x="6024"/>
        <item m="1" x="5571"/>
        <item m="1" x="2981"/>
        <item m="1" x="5058"/>
        <item m="1" x="1938"/>
        <item m="1" x="2341"/>
        <item m="1" x="2381"/>
        <item m="1" x="2413"/>
        <item m="1" x="2525"/>
        <item m="1" x="2485"/>
        <item m="1" x="2443"/>
        <item m="1" x="2607"/>
        <item m="1" x="2583"/>
        <item m="1" x="2554"/>
        <item m="1" x="3144"/>
        <item m="1" x="5343"/>
        <item m="1" x="4273"/>
        <item m="1" x="6294"/>
        <item m="1" x="7418"/>
        <item m="1" x="1223"/>
        <item m="1" x="102"/>
        <item m="1" x="3270"/>
        <item m="1" x="2191"/>
        <item m="1" x="4407"/>
        <item m="1" x="3184"/>
        <item m="1" x="4313"/>
        <item m="1" x="5378"/>
        <item m="1" x="7462"/>
        <item m="1" x="148"/>
        <item m="1" x="6331"/>
        <item m="1" x="1259"/>
        <item m="1" x="2224"/>
        <item m="1" x="3313"/>
        <item m="1" x="4449"/>
        <item m="1" x="3217"/>
        <item m="1" x="5437"/>
        <item m="1" x="1290"/>
        <item m="1" x="2258"/>
        <item m="1" x="185"/>
        <item m="1" x="3353"/>
        <item m="1" x="7507"/>
        <item m="1" x="4483"/>
        <item m="1" x="6366"/>
        <item m="1" x="3245"/>
        <item m="1" x="5409"/>
        <item m="1" x="4377"/>
        <item m="1" x="4346"/>
        <item m="1" x="7580"/>
        <item m="1" x="2231"/>
        <item m="1" x="2731"/>
        <item m="1" x="3279"/>
        <item m="1" x="3827"/>
        <item m="1" x="4387"/>
        <item m="1" x="803"/>
        <item m="1" x="1781"/>
        <item m="1" x="2264"/>
        <item m="1" x="2773"/>
        <item m="1" x="3321"/>
        <item m="1" x="1810"/>
        <item m="1" x="3867"/>
        <item m="1" x="4416"/>
        <item m="1" x="4932"/>
        <item m="1" x="5443"/>
        <item m="1" x="5465"/>
        <item m="1" x="3910"/>
        <item m="1" x="4967"/>
        <item m="1" x="2805"/>
        <item m="1" x="3940"/>
        <item m="1" x="2839"/>
        <item m="1" x="6395"/>
        <item m="1" x="5910"/>
        <item m="1" x="4488"/>
        <item m="1" x="3357"/>
        <item m="1" x="6943"/>
        <item m="1" x="5004"/>
        <item m="1" x="5942"/>
        <item m="1" x="6422"/>
        <item m="1" x="3972"/>
        <item m="1" x="4517"/>
        <item m="1" x="5030"/>
        <item m="1" x="5529"/>
        <item m="1" x="5975"/>
        <item m="1" x="6986"/>
        <item m="1" x="2161"/>
        <item m="1" x="1194"/>
        <item m="1" x="72"/>
        <item m="1" x="7384"/>
        <item m="1" x="2237"/>
        <item m="1" x="2271"/>
        <item m="1" x="3240"/>
        <item m="1" x="4372"/>
        <item m="1" x="3139"/>
        <item m="1" x="4269"/>
        <item m="1" x="5340"/>
        <item m="1" x="6293"/>
        <item m="1" x="2302"/>
        <item m="1" x="2335"/>
        <item m="1" x="2374"/>
        <item m="1" x="2407"/>
        <item m="1" x="2439"/>
        <item m="1" x="2478"/>
        <item m="1" x="1096"/>
        <item m="1" x="7261"/>
        <item m="1" x="6163"/>
        <item m="1" x="5202"/>
        <item m="1" x="4116"/>
        <item m="1" x="5241"/>
        <item m="1" x="4163"/>
        <item m="1" x="3030"/>
        <item m="1" x="4268"/>
        <item m="1" x="3137"/>
        <item m="1" x="2074"/>
        <item m="1" x="3179"/>
        <item m="1" x="2108"/>
        <item m="1" x="1135"/>
        <item m="1" x="7308"/>
        <item m="1" x="6202"/>
        <item m="1" x="6243"/>
        <item m="1" x="7350"/>
        <item m="1" x="5284"/>
        <item m="1" x="4206"/>
        <item m="1" x="3076"/>
        <item m="1" x="4308"/>
        <item m="1" x="3105"/>
        <item m="1" x="4341"/>
        <item m="1" x="3213"/>
        <item m="1" x="2136"/>
        <item m="1" x="1172"/>
        <item m="1" x="2982"/>
        <item m="1" x="6269"/>
        <item m="1" x="5313"/>
        <item m="1" x="4237"/>
        <item m="1" x="6389"/>
        <item m="1" x="5436"/>
        <item m="1" x="4376"/>
        <item m="1" x="7539"/>
        <item m="1" x="210"/>
        <item m="1" x="1311"/>
        <item m="1" x="4505"/>
        <item m="1" x="3375"/>
        <item m="1" x="3271"/>
        <item m="1" x="2283"/>
        <item m="1" x="3345"/>
        <item m="1" x="4475"/>
        <item m="1" x="3244"/>
        <item m="1" x="3182"/>
        <item m="1" x="4401"/>
        <item m="1" x="3266"/>
        <item m="1" x="2186"/>
        <item m="1" x="1220"/>
        <item m="1" x="99"/>
        <item m="1" x="1257"/>
        <item m="1" x="146"/>
        <item m="1" x="7460"/>
        <item m="1" x="6330"/>
        <item m="1" x="5376"/>
        <item m="1" x="4311"/>
        <item m="1" x="7503"/>
        <item m="1" x="4345"/>
        <item m="1" x="3216"/>
        <item m="1" x="4437"/>
        <item m="1" x="3302"/>
        <item m="1" x="2219"/>
        <item m="1" x="6364"/>
        <item m="1" x="5408"/>
        <item m="1" x="1287"/>
        <item m="1" x="183"/>
        <item m="1" x="2250"/>
        <item m="1" x="3247"/>
        <item m="1" x="3791"/>
        <item m="1" x="4349"/>
        <item m="1" x="4867"/>
        <item m="1" x="5381"/>
        <item m="1" x="5819"/>
        <item m="1" x="6297"/>
        <item m="1" x="6798"/>
        <item m="1" x="7386"/>
        <item m="1" x="3823"/>
        <item m="1" x="4380"/>
        <item m="1" x="4899"/>
        <item m="1" x="5412"/>
        <item m="1" x="5851"/>
        <item m="1" x="6334"/>
        <item m="1" x="6827"/>
        <item m="1" x="7420"/>
        <item m="1" x="75"/>
        <item m="1" x="3153"/>
        <item m="1" x="3694"/>
        <item m="1" x="4248"/>
        <item m="1" x="6834"/>
        <item m="1" x="7424"/>
        <item m="1" x="76"/>
        <item m="1" x="5751"/>
        <item m="1" x="5295"/>
        <item m="1" x="629"/>
        <item m="1" x="2086"/>
        <item m="1" x="1147"/>
        <item m="1" x="1615"/>
        <item m="1" x="6800"/>
        <item m="1" x="7387"/>
        <item m="1" x="6745"/>
        <item m="1" x="7281"/>
        <item m="1" x="3730"/>
        <item m="1" x="4838"/>
        <item m="1" x="4283"/>
        <item m="1" x="5796"/>
        <item m="1" x="4807"/>
        <item m="1" x="6271"/>
        <item m="1" x="5319"/>
        <item m="1" x="7356"/>
        <item m="1" x="7973"/>
        <item m="1" x="6771"/>
        <item m="1" x="1109"/>
        <item m="1" x="5350"/>
        <item m="1" x="5824"/>
        <item m="1" x="7323"/>
        <item m="1" x="6250"/>
        <item m="1" x="6301"/>
        <item m="1" x="600"/>
        <item m="1" x="6220"/>
        <item m="1" x="7923"/>
        <item m="1" x="2524"/>
        <item m="1" x="3048"/>
        <item m="1" x="3589"/>
        <item m="1" x="4133"/>
        <item m="1" x="4668"/>
        <item m="1" x="5180"/>
        <item m="1" x="5649"/>
        <item m="1" x="6107"/>
        <item m="1" x="7156"/>
        <item m="1" x="6598"/>
        <item m="1" x="5717"/>
        <item m="1" x="5258"/>
        <item m="1" x="7801"/>
        <item m="1" x="7203"/>
        <item m="1" x="6636"/>
        <item m="1" x="6142"/>
        <item m="1" x="5682"/>
        <item m="1" x="5217"/>
        <item m="1" x="4708"/>
        <item m="1" x="4177"/>
        <item m="1" x="3628"/>
        <item m="1" x="3109"/>
        <item m="1" x="3656"/>
        <item m="1" x="4213"/>
        <item m="1" x="4744"/>
        <item m="1" x="5251"/>
        <item m="1" x="5713"/>
        <item m="1" x="6172"/>
        <item m="1" x="2605"/>
        <item m="1" x="3142"/>
        <item m="1" x="7271"/>
        <item m="1" x="3720"/>
        <item m="1" x="4271"/>
        <item m="1" x="4802"/>
        <item m="1" x="5315"/>
        <item m="1" x="5768"/>
        <item m="1" x="5211"/>
        <item m="1" x="1612"/>
        <item m="1" x="2082"/>
        <item m="1" x="2579"/>
        <item m="1" x="6247"/>
        <item m="1" x="6703"/>
        <item m="1" x="5290"/>
        <item m="1" x="5744"/>
        <item m="1" x="6210"/>
        <item m="1" x="3687"/>
        <item m="1" x="4240"/>
        <item m="1" x="4773"/>
        <item m="1" x="7314"/>
        <item m="1" x="6737"/>
        <item m="1" x="2551"/>
        <item m="1" x="559"/>
        <item m="1" x="7969"/>
        <item m="1" x="3039"/>
        <item m="1" x="2030"/>
        <item m="1" x="1559"/>
        <item m="1" x="1074"/>
        <item m="1" x="1106"/>
        <item m="1" x="2054"/>
        <item m="1" x="5252"/>
        <item m="1" x="3657"/>
        <item m="1" x="4214"/>
        <item m="1" x="597"/>
        <item m="1" x="3110"/>
        <item m="1" x="2580"/>
        <item m="1" x="2083"/>
        <item m="1" x="1613"/>
        <item m="1" x="1144"/>
        <item m="1" x="3082"/>
        <item m="1" x="4171"/>
        <item m="1" x="6669"/>
        <item m="1" x="6177"/>
        <item m="1" x="1640"/>
        <item m="1" x="2112"/>
        <item m="1" x="6707"/>
        <item m="1" x="6216"/>
        <item m="1" x="998"/>
        <item m="1" x="7276"/>
        <item m="1" x="3688"/>
        <item m="1" x="6211"/>
        <item m="1" x="448"/>
        <item m="1" x="7845"/>
        <item m="1" x="7237"/>
        <item m="1" x="7927"/>
        <item m="1" x="489"/>
        <item m="1" x="1042"/>
        <item m="1" x="1521"/>
        <item m="1" x="1991"/>
        <item m="1" x="7318"/>
        <item m="1" x="2633"/>
        <item m="1" x="2049"/>
        <item m="1" x="4100"/>
        <item m="1" x="4640"/>
        <item m="1" x="3007"/>
        <item m="1" x="6524"/>
        <item m="1" x="5565"/>
        <item m="1" x="4570"/>
        <item m="1" x="3483"/>
        <item m="1" x="4032"/>
        <item m="1" x="5080"/>
        <item m="1" x="1962"/>
        <item m="1" x="2965"/>
        <item m="1" x="3515"/>
        <item m="1" x="4065"/>
        <item m="1" x="4607"/>
        <item m="1" x="7120"/>
        <item m="1" x="6565"/>
        <item m="1" x="6081"/>
        <item m="1" x="5154"/>
        <item m="1" x="6045"/>
        <item m="1" x="5115"/>
        <item m="1" x="5593"/>
        <item m="1" x="895"/>
        <item m="1" x="1405"/>
        <item m="1" x="1865"/>
        <item m="1" x="2354"/>
        <item m="1" x="2866"/>
        <item m="1" x="3413"/>
        <item m="1" x="1894"/>
        <item m="1" x="2390"/>
        <item m="1" x="375"/>
        <item m="1" x="930"/>
        <item m="1" x="1432"/>
        <item m="1" x="2900"/>
        <item m="1" x="1457"/>
        <item m="1" x="968"/>
        <item m="1" x="4540"/>
        <item m="1" x="3997"/>
        <item m="1" x="3447"/>
        <item m="1" x="868"/>
        <item m="1" x="1380"/>
        <item m="1" x="315"/>
        <item m="1" x="1836"/>
        <item m="1" x="2318"/>
        <item m="1" x="7126"/>
        <item m="1" x="7720"/>
        <item m="1" x="341"/>
        <item m="1" x="2933"/>
        <item m="1" x="1923"/>
        <item m="1" x="2419"/>
        <item m="1" x="853"/>
        <item m="1" x="1852"/>
        <item m="1" x="2888"/>
        <item m="1" x="4020"/>
        <item m="1" x="5104"/>
        <item m="1" x="3923"/>
        <item m="1" x="5014"/>
        <item m="1" x="5985"/>
        <item m="1" x="7044"/>
        <item m="1" x="886"/>
        <item m="1" x="1884"/>
        <item m="1" x="2925"/>
        <item m="1" x="4055"/>
        <item m="1" x="5142"/>
        <item m="1" x="3953"/>
        <item m="1" x="5041"/>
        <item m="1" x="6014"/>
        <item m="1" x="7078"/>
        <item m="1" x="921"/>
        <item m="1" x="1916"/>
        <item m="1" x="2956"/>
        <item m="1" x="4090"/>
        <item m="1" x="5178"/>
        <item m="1" x="3983"/>
        <item m="1" x="3298"/>
        <item m="1" x="3343"/>
        <item m="1" x="3885"/>
        <item m="1" x="1002"/>
        <item m="1" x="1995"/>
        <item m="1" x="3043"/>
        <item m="1" x="4983"/>
        <item m="1" x="5959"/>
        <item m="1" x="7003"/>
        <item m="1" x="4175"/>
        <item m="1" x="5256"/>
        <item m="1" x="4060"/>
        <item m="1" x="5149"/>
        <item m="1" x="6111"/>
        <item m="1" x="5071"/>
        <item m="1" x="6038"/>
        <item m="1" x="1952"/>
        <item m="1" x="4128"/>
        <item m="1" x="5215"/>
        <item m="1" x="4024"/>
        <item m="1" x="7111"/>
        <item m="1" x="958"/>
        <item m="1" x="2994"/>
        <item m="1" x="6076"/>
        <item m="1" x="5108"/>
        <item m="1" x="7159"/>
        <item m="1" x="3096"/>
        <item m="1" x="3131"/>
        <item m="1" x="3172"/>
        <item m="1" x="3262"/>
        <item m="1" x="3206"/>
        <item m="1" x="3235"/>
        <item m="1" x="6435"/>
        <item m="1" x="5963"/>
        <item m="1" x="7534"/>
        <item m="1" x="6412"/>
        <item m="1" x="6962"/>
        <item m="1" x="2820"/>
        <item m="1" x="3374"/>
        <item m="1" x="3926"/>
        <item m="1" x="4473"/>
        <item m="1" x="4987"/>
        <item m="1" x="824"/>
        <item m="1" x="3890"/>
        <item m="1" x="4432"/>
        <item m="1" x="4946"/>
        <item m="1" x="1371"/>
        <item m="1" x="1825"/>
        <item m="1" x="2311"/>
        <item m="1" x="1796"/>
        <item m="1" x="2282"/>
        <item m="1" x="2788"/>
        <item m="1" x="3342"/>
        <item m="1" x="1341"/>
        <item m="1" x="5479"/>
        <item m="1" x="278"/>
        <item m="1" x="3845"/>
        <item m="1" x="2857"/>
        <item m="1" x="2346"/>
        <item m="1" x="5922"/>
        <item m="1" x="3406"/>
        <item m="1" x="3957"/>
        <item m="1" x="4503"/>
        <item m="1" x="5517"/>
        <item m="1" x="5018"/>
        <item m="1" x="1251"/>
        <item m="1" x="178"/>
        <item m="1" x="5044"/>
        <item m="1" x="4532"/>
        <item m="1" x="3987"/>
        <item m="1" x="3437"/>
        <item m="1" x="5539"/>
        <item m="1" x="7615"/>
        <item m="1" x="2713"/>
        <item m="1" x="2214"/>
        <item m="1" x="1283"/>
        <item m="1" x="7569"/>
        <item m="1" x="206"/>
        <item m="1" x="756"/>
        <item m="1" x="2247"/>
        <item m="1" x="1706"/>
        <item m="1" x="6448"/>
        <item m="1" x="6971"/>
        <item m="1" x="1766"/>
        <item m="1" x="1308"/>
        <item m="1" x="785"/>
        <item m="1" x="239"/>
        <item m="1" x="3296"/>
        <item m="1" x="5432"/>
        <item m="1" x="5874"/>
        <item m="1" x="4444"/>
        <item m="1" x="7453"/>
        <item m="1" x="6857"/>
        <item m="1" x="6359"/>
        <item m="1" x="4955"/>
        <item m="1" x="6384"/>
        <item m="1" x="5458"/>
        <item m="1" x="5931"/>
        <item m="1" x="5170"/>
        <item m="1" x="686"/>
        <item m="1" x="5492"/>
        <item m="1" x="138"/>
        <item m="1" x="6893"/>
        <item m="1" x="7497"/>
        <item m="1" x="4403"/>
        <item m="1" x="4921"/>
        <item m="1" x="3853"/>
        <item m="1" x="3309"/>
        <item m="1" x="5242"/>
        <item m="1" x="4164"/>
        <item m="1" x="3031"/>
        <item m="1" x="1984"/>
        <item m="1" x="991"/>
        <item m="1" x="4117"/>
        <item m="1" x="5203"/>
        <item m="1" x="2983"/>
        <item m="1" x="1940"/>
        <item m="1" x="948"/>
        <item m="1" x="7151"/>
        <item m="1" x="7107"/>
        <item m="1" x="2948"/>
        <item m="1" x="1906"/>
        <item m="1" x="5133"/>
        <item m="1" x="7076"/>
        <item m="1" x="4046"/>
        <item m="1" x="2914"/>
        <item m="1" x="914"/>
        <item m="1" x="4083"/>
        <item m="1" x="5122"/>
        <item m="1" x="5633"/>
        <item m="1" x="5600"/>
        <item m="1" x="6051"/>
        <item m="1" x="6527"/>
        <item m="1" x="7085"/>
        <item m="1" x="7688"/>
        <item m="1" x="316"/>
        <item m="1" x="869"/>
        <item m="1" x="6087"/>
        <item m="1" x="6572"/>
        <item m="1" x="7127"/>
        <item m="1" x="7721"/>
        <item m="1" x="6613"/>
        <item m="1" x="342"/>
        <item m="1" x="896"/>
        <item m="1" x="1406"/>
        <item m="1" x="1866"/>
        <item m="1" x="464"/>
        <item m="1" x="1012"/>
        <item m="1" x="1494"/>
        <item m="1" x="1963"/>
        <item m="1" x="2448"/>
        <item m="1" x="2966"/>
        <item m="1" x="3516"/>
        <item m="1" x="4033"/>
        <item m="1" x="3484"/>
        <item m="1" x="1535"/>
        <item m="1" x="5116"/>
        <item m="1" x="4608"/>
        <item m="1" x="4066"/>
        <item m="1" x="5155"/>
        <item m="1" x="4641"/>
        <item m="1" x="4101"/>
        <item m="1" x="3554"/>
        <item m="1" x="3008"/>
        <item m="1" x="2494"/>
        <item m="1" x="2006"/>
        <item m="1" x="7173"/>
        <item m="1" x="7770"/>
        <item m="1" x="376"/>
        <item m="1" x="931"/>
        <item m="1" x="6082"/>
        <item m="1" x="5627"/>
        <item m="1" x="1433"/>
        <item m="1" x="1895"/>
        <item m="1" x="2391"/>
        <item m="1" x="2901"/>
        <item m="1" x="7819"/>
        <item m="1" x="419"/>
        <item m="1" x="2934"/>
        <item m="1" x="969"/>
        <item m="1" x="1458"/>
        <item m="1" x="1924"/>
        <item m="1" x="2420"/>
        <item m="1" x="7771"/>
        <item m="1" x="7174"/>
        <item m="1" x="6121"/>
        <item m="1" x="6614"/>
        <item m="1" x="897"/>
        <item m="1" x="5664"/>
        <item m="1" x="343"/>
        <item m="1" x="7128"/>
        <item m="1" x="7722"/>
        <item m="1" x="6088"/>
        <item m="1" x="6573"/>
        <item m="1" x="5159"/>
        <item m="1" x="5634"/>
        <item m="1" x="4647"/>
        <item m="1" x="7689"/>
        <item m="1" x="6528"/>
        <item m="1" x="6052"/>
        <item m="1" x="5601"/>
        <item m="1" x="5123"/>
        <item m="1" x="4614"/>
        <item m="1" x="4072"/>
        <item m="1" x="3523"/>
        <item m="1" x="1006"/>
        <item m="1" x="6150"/>
        <item m="1" x="7211"/>
        <item m="1" x="6646"/>
        <item m="1" x="7814"/>
        <item m="1" x="5267"/>
        <item m="1" x="5727"/>
        <item m="1" x="6186"/>
        <item m="1" x="7245"/>
        <item m="1" x="7856"/>
        <item m="1" x="6609"/>
        <item m="1" x="7167"/>
        <item m="1" x="4188"/>
        <item m="1" x="4721"/>
        <item m="1" x="5189"/>
        <item m="1" x="5659"/>
        <item m="1" x="6117"/>
        <item m="1" x="3602"/>
        <item m="1" x="4143"/>
        <item m="1" x="4677"/>
        <item m="1" x="3058"/>
        <item m="1" x="5225"/>
        <item m="1" x="7730"/>
        <item m="1" x="6882"/>
        <item m="1" x="7482"/>
        <item m="1" x="121"/>
        <item m="1" x="673"/>
        <item m="1" x="3205"/>
        <item m="1" x="3751"/>
        <item m="1" x="4301"/>
        <item m="1" x="4825"/>
        <item m="1" x="5334"/>
        <item m="1" x="5786"/>
        <item m="1" x="6262"/>
        <item m="1" x="6758"/>
        <item m="1" x="7340"/>
        <item m="1" x="5762"/>
        <item m="1" x="5892"/>
        <item m="1" x="4912"/>
        <item m="1" x="3713"/>
        <item m="1" x="4262"/>
        <item m="1" x="4794"/>
        <item m="1" x="5307"/>
        <item m="1" x="4970"/>
        <item m="1" x="3871"/>
        <item m="1" x="1782"/>
        <item m="1" x="6912"/>
        <item m="1" x="2735"/>
        <item m="1" x="6877"/>
        <item m="1" x="3772"/>
        <item m="1" x="4879"/>
        <item m="1" x="5863"/>
        <item m="1" x="5005"/>
        <item m="1" x="3912"/>
        <item m="1" x="2774"/>
        <item m="1" x="1752"/>
        <item m="1" x="3804"/>
        <item m="1" x="2701"/>
        <item m="1" x="3832"/>
        <item m="1" x="4936"/>
        <item m="1" x="3742"/>
        <item m="1" x="4849"/>
        <item m="1" x="6845"/>
        <item m="1" x="5835"/>
        <item m="1" x="2806"/>
        <item m="1" x="3941"/>
        <item m="1" x="5031"/>
        <item m="1" x="4941"/>
        <item m="1" x="3973"/>
        <item m="1" x="2840"/>
        <item m="1" x="1811"/>
        <item m="1" x="5917"/>
        <item m="1" x="5951"/>
        <item m="1" x="4977"/>
        <item m="1" x="3878"/>
        <item m="1" x="5057"/>
        <item m="1" x="3838"/>
        <item m="1" x="1842"/>
        <item m="1" x="2877"/>
        <item m="1" x="4006"/>
        <item m="1" x="5092"/>
        <item m="1" x="3171"/>
        <item m="1" x="5785"/>
        <item m="1" x="4300"/>
        <item m="1" x="5333"/>
        <item m="1" x="4824"/>
        <item m="1" x="6234"/>
        <item m="1" x="7909"/>
        <item m="1" x="6727"/>
        <item m="1" x="7299"/>
        <item m="1" x="1211"/>
        <item m="1" x="2127"/>
        <item m="1" x="2621"/>
        <item m="1" x="3166"/>
        <item m="1" x="3709"/>
        <item m="1" x="126"/>
        <item m="1" x="677"/>
        <item m="1" x="4820"/>
        <item m="1" x="1242"/>
        <item m="1" x="6314"/>
        <item m="1" x="2179"/>
        <item m="1" x="4295"/>
        <item m="1" x="4332"/>
        <item m="1" x="1653"/>
        <item m="1" x="5396"/>
        <item m="1" x="6261"/>
        <item m="1" x="7989"/>
        <item m="1" x="5811"/>
        <item m="1" x="6284"/>
        <item m="1" x="6784"/>
        <item m="1" x="7375"/>
        <item m="1" x="5367"/>
        <item m="1" x="545"/>
        <item m="1" x="7952"/>
        <item m="1" x="7339"/>
        <item m="1" x="6757"/>
        <item m="1" x="1185"/>
        <item m="1" x="643"/>
        <item m="1" x="3201"/>
        <item m="1" x="5361"/>
        <item m="1" x="5809"/>
        <item m="1" x="2207"/>
        <item m="1" x="2708"/>
        <item m="1" x="3260"/>
        <item m="1" x="1603"/>
        <item m="1" x="1126"/>
        <item m="1" x="581"/>
        <item m="1" x="87"/>
        <item m="1" x="4886"/>
        <item m="1" x="2652"/>
        <item m="1" x="2153"/>
        <item m="1" x="618"/>
        <item m="1" x="7407"/>
        <item m="1" x="6814"/>
        <item m="1" x="6319"/>
        <item m="1" x="7443"/>
        <item m="1" x="2594"/>
        <item m="1" x="2101"/>
        <item m="1" x="1630"/>
        <item m="1" x="1162"/>
        <item m="1" x="7953"/>
        <item m="1" x="224"/>
        <item m="1" x="775"/>
        <item m="1" x="3297"/>
        <item m="1" x="3846"/>
        <item m="1" x="4397"/>
        <item m="1" x="4917"/>
        <item m="1" x="5426"/>
        <item m="1" x="5871"/>
        <item m="1" x="6352"/>
        <item m="1" x="7001"/>
        <item m="1" x="7595"/>
        <item m="1" x="6851"/>
        <item m="1" x="168"/>
        <item m="1" x="1243"/>
        <item m="1" x="6436"/>
        <item m="1" x="6963"/>
        <item m="1" x="750"/>
        <item m="1" x="1278"/>
        <item m="1" x="200"/>
        <item m="1" x="7562"/>
        <item m="1" x="1700"/>
        <item m="1" x="718"/>
        <item m="1" x="4527"/>
        <item m="1" x="5040"/>
        <item m="1" x="6918"/>
        <item m="1" x="5923"/>
        <item m="1" x="7527"/>
        <item m="1" x="6924"/>
        <item m="1" x="6405"/>
        <item m="1" x="5451"/>
        <item m="1" x="5897"/>
        <item m="1" x="6377"/>
        <item m="1" x="6886"/>
        <item m="1" x="7487"/>
        <item m="1" x="127"/>
        <item m="1" x="678"/>
        <item m="1" x="5480"/>
        <item m="1" x="7555"/>
        <item m="1" x="5512"/>
        <item m="1" x="5013"/>
        <item m="1" x="5958"/>
        <item m="1" x="3400"/>
        <item m="1" x="6430"/>
        <item m="1" x="3952"/>
        <item m="1" x="4498"/>
        <item m="1" x="7444"/>
        <item m="1" x="1733"/>
        <item m="1" x="6469"/>
        <item m="1" x="5984"/>
        <item m="1" x="5535"/>
        <item m="1" x="4433"/>
        <item m="1" x="4947"/>
        <item m="1" x="2629"/>
        <item m="1" x="2658"/>
        <item m="1" x="2688"/>
        <item m="1" x="2719"/>
        <item m="1" x="2764"/>
        <item m="1" x="2799"/>
        <item m="1" x="2831"/>
        <item m="1" x="2868"/>
        <item m="1" x="2903"/>
        <item m="1" x="3439"/>
        <item m="1" x="4564"/>
        <item m="1" x="5588"/>
        <item m="1" x="6562"/>
        <item m="1" x="7895"/>
        <item m="1" x="533"/>
        <item m="1" x="1591"/>
        <item m="1" x="3597"/>
        <item m="1" x="4716"/>
        <item m="1" x="5725"/>
        <item m="1" x="6716"/>
        <item m="1" x="7939"/>
        <item m="1" x="568"/>
        <item m="1" x="1617"/>
        <item m="1" x="7759"/>
        <item m="1" x="411"/>
        <item m="1" x="1487"/>
        <item m="1" x="3479"/>
        <item m="1" x="4603"/>
        <item m="1" x="5624"/>
        <item m="1" x="6606"/>
        <item m="1" x="7812"/>
        <item m="1" x="459"/>
        <item m="1" x="1530"/>
        <item m="1" x="498"/>
        <item m="1" x="5655"/>
        <item m="1" x="6643"/>
        <item m="1" x="7855"/>
        <item m="1" x="3511"/>
        <item m="1" x="4637"/>
        <item m="1" x="5689"/>
        <item m="1" x="4674"/>
        <item m="1" x="3551"/>
        <item m="1" x="1566"/>
        <item m="1" x="6676"/>
        <item m="1" x="4649"/>
        <item m="1" x="3018"/>
        <item m="1" x="3560"/>
        <item m="1" x="6776"/>
        <item m="1" x="633"/>
        <item m="1" x="1662"/>
        <item m="1" x="3700"/>
        <item m="1" x="4811"/>
        <item m="1" x="5800"/>
        <item m="1" x="6805"/>
        <item m="1" x="660"/>
        <item m="1" x="1686"/>
        <item m="1" x="3737"/>
        <item m="1" x="4844"/>
        <item m="1" x="5829"/>
        <item m="1" x="6839"/>
        <item m="1" x="699"/>
        <item m="1" x="1716"/>
        <item m="1" x="3636"/>
        <item m="1" x="6750"/>
        <item m="1" x="7979"/>
        <item m="1" x="604"/>
        <item m="1" x="1642"/>
        <item m="1" x="5755"/>
        <item m="1" x="4755"/>
        <item m="1" x="3669"/>
        <item m="1" x="4784"/>
        <item m="1" x="5776"/>
        <item m="1" x="5586"/>
        <item m="1" x="6559"/>
        <item m="1" x="7753"/>
        <item m="1" x="406"/>
        <item m="1" x="1483"/>
        <item m="1" x="2481"/>
        <item m="1" x="3584"/>
        <item m="1" x="4706"/>
        <item m="1" x="3477"/>
        <item m="1" x="4601"/>
        <item m="1" x="5622"/>
        <item m="1" x="6604"/>
        <item m="1" x="7807"/>
        <item m="1" x="455"/>
        <item m="1" x="6519"/>
        <item m="1" x="7710"/>
        <item m="1" x="365"/>
        <item m="1" x="1450"/>
        <item m="1" x="2441"/>
        <item m="1" x="3542"/>
        <item m="1" x="4665"/>
        <item m="1" x="3435"/>
        <item m="1" x="4561"/>
        <item m="1" x="3337"/>
        <item m="1" x="4557"/>
        <item m="1" x="3432"/>
        <item m="1" x="2340"/>
        <item m="1" x="1365"/>
        <item m="1" x="1395"/>
        <item m="1" x="2379"/>
        <item m="1" x="308"/>
        <item m="1" x="7651"/>
        <item m="1" x="6470"/>
        <item m="1" x="5513"/>
        <item m="1" x="4469"/>
        <item m="1" x="3471"/>
        <item m="1" x="4595"/>
        <item m="1" x="2411"/>
        <item m="1" x="3504"/>
        <item m="1" x="4628"/>
        <item m="1" x="3401"/>
        <item m="1" x="4528"/>
        <item m="1" x="5559"/>
        <item m="1" x="3371"/>
        <item m="1" x="4499"/>
        <item m="1" x="5536"/>
        <item m="1" x="6496"/>
        <item m="1" x="7680"/>
        <item m="1" x="334"/>
        <item m="1" x="1423"/>
        <item m="1" x="240"/>
        <item m="1" x="2215"/>
        <item m="1" x="7016"/>
        <item m="1" x="7570"/>
        <item m="1" x="6449"/>
        <item m="1" x="6972"/>
        <item m="1" x="5970"/>
        <item m="1" x="1767"/>
        <item m="1" x="2248"/>
        <item m="1" x="1309"/>
        <item m="1" x="5433"/>
        <item m="1" x="7616"/>
        <item m="1" x="786"/>
        <item m="1" x="4404"/>
        <item m="1" x="4922"/>
        <item m="1" x="6437"/>
        <item m="1" x="139"/>
        <item m="1" x="1252"/>
        <item m="1" x="4997"/>
        <item m="1" x="1284"/>
        <item m="1" x="7535"/>
        <item m="1" x="6929"/>
        <item m="1" x="6413"/>
        <item m="1" x="5932"/>
        <item m="1" x="5493"/>
        <item m="1" x="4956"/>
        <item m="1" x="5459"/>
        <item m="1" x="5902"/>
        <item m="1" x="6385"/>
        <item m="1" x="207"/>
        <item m="1" x="757"/>
        <item m="1" x="725"/>
        <item m="1" x="179"/>
        <item m="1" x="6894"/>
        <item m="1" x="7498"/>
        <item m="1" x="6473"/>
        <item m="1" x="5988"/>
        <item m="1" x="5540"/>
        <item m="1" x="5045"/>
        <item m="1" x="4533"/>
        <item m="1" x="3988"/>
        <item m="1" x="1739"/>
        <item m="1" x="3854"/>
        <item m="1" x="3310"/>
        <item m="1" x="2762"/>
        <item m="1" x="233"/>
        <item m="1" x="7603"/>
        <item m="1" x="7008"/>
        <item m="1" x="5019"/>
        <item m="1" x="4504"/>
        <item m="1" x="3958"/>
        <item m="1" x="3407"/>
        <item m="1" x="5518"/>
        <item m="1" x="7454"/>
        <item m="1" x="4445"/>
        <item m="1" x="3903"/>
        <item m="1" x="6858"/>
        <item m="1" x="5875"/>
        <item m="1" x="6360"/>
        <item m="1" x="7563"/>
        <item m="1" x="6964"/>
        <item m="1" x="6494"/>
        <item m="1" x="4550"/>
        <item m="1" x="5534"/>
        <item m="1" x="3332"/>
        <item m="1" x="4497"/>
        <item m="1" x="3424"/>
        <item m="1" x="3368"/>
        <item m="1" x="2332"/>
        <item m="1" x="4584"/>
        <item m="1" x="1360"/>
        <item m="1" x="3458"/>
        <item m="1" x="261"/>
        <item m="1" x="2370"/>
        <item m="1" x="7594"/>
        <item m="1" x="1389"/>
        <item m="1" x="6429"/>
        <item m="1" x="4465"/>
        <item m="1" x="5471"/>
        <item m="1" x="4393"/>
        <item m="1" x="4423"/>
        <item m="1" x="3259"/>
        <item m="1" x="3287"/>
        <item m="1" x="4492"/>
        <item m="1" x="4521"/>
        <item m="1" x="3364"/>
        <item m="1" x="3392"/>
        <item m="1" x="2270"/>
        <item m="1" x="2301"/>
        <item m="1" x="5447"/>
        <item m="1" x="1327"/>
        <item m="1" x="6400"/>
        <item m="1" x="223"/>
        <item m="1" x="7554"/>
        <item m="1" x="7648"/>
        <item m="1" x="303"/>
        <item m="1" x="2567"/>
        <item m="1" x="193"/>
        <item m="1" x="2595"/>
        <item m="1" x="2536"/>
        <item m="1" x="2622"/>
        <item m="1" x="2502"/>
        <item m="1" x="3161"/>
        <item m="1" x="2459"/>
        <item m="1" x="4290"/>
        <item m="1" x="2427"/>
        <item m="1" x="5356"/>
        <item m="1" x="2396"/>
        <item m="1" x="6309"/>
        <item m="1" x="2362"/>
        <item m="1" x="7438"/>
        <item m="1" x="2236"/>
        <item m="1" x="119"/>
        <item m="1" x="1269"/>
        <item m="1" x="1237"/>
        <item m="1" x="160"/>
        <item m="1" x="2203"/>
        <item m="1" x="7479"/>
        <item m="1" x="3286"/>
        <item m="1" x="6347"/>
        <item m="1" x="4422"/>
        <item m="1" x="5391"/>
        <item m="1" x="3197"/>
        <item m="1" x="4328"/>
        <item m="1" x="6468"/>
        <item m="1" x="5511"/>
        <item m="1" x="1298"/>
        <item m="1" x="7520"/>
        <item m="1" x="6373"/>
        <item m="1" x="5421"/>
        <item m="1" x="4361"/>
        <item m="1" x="3230"/>
        <item m="1" x="4462"/>
        <item m="1" x="3328"/>
        <item m="1" x="963"/>
        <item m="1" x="7115"/>
        <item m="1" x="6040"/>
        <item m="1" x="5074"/>
        <item m="1" x="3221"/>
        <item m="1" x="2142"/>
        <item m="1" x="6078"/>
        <item m="1" x="5110"/>
        <item m="1" x="4026"/>
        <item m="1" x="2894"/>
        <item m="1" x="4138"/>
        <item m="1" x="3002"/>
        <item m="1" x="1957"/>
        <item m="1" x="2929"/>
        <item m="1" x="4181"/>
        <item m="1" x="3051"/>
        <item m="1" x="2001"/>
        <item m="1" x="1005"/>
        <item m="1" x="7163"/>
        <item m="1" x="2035"/>
        <item m="1" x="1049"/>
        <item m="1" x="7209"/>
        <item m="1" x="6113"/>
        <item m="1" x="5151"/>
        <item m="1" x="4061"/>
        <item m="1" x="7244"/>
        <item m="1" x="6147"/>
        <item m="1" x="5185"/>
        <item m="1" x="4097"/>
        <item m="1" x="2960"/>
        <item m="1" x="4218"/>
        <item m="1" x="3086"/>
        <item m="1" x="4139"/>
        <item m="1" x="3003"/>
        <item m="1" x="4245"/>
        <item m="1" x="3117"/>
        <item m="1" x="2060"/>
        <item m="1" x="1082"/>
        <item m="1" x="3150"/>
        <item m="1" x="2090"/>
        <item m="1" x="1112"/>
        <item m="1" x="7285"/>
        <item m="1" x="6184"/>
        <item m="1" x="5222"/>
        <item m="1" x="7327"/>
        <item m="1" x="6225"/>
        <item m="1" x="5265"/>
        <item m="1" x="4184"/>
        <item m="1" x="3054"/>
        <item m="1" x="4280"/>
        <item m="1" x="5298"/>
        <item m="1" x="4221"/>
        <item m="1" x="3087"/>
        <item m="1" x="4318"/>
        <item m="1" x="3189"/>
        <item m="1" x="2117"/>
        <item m="1" x="1151"/>
        <item m="1" x="7361"/>
        <item m="1" x="6254"/>
        <item m="1" x="1179"/>
        <item m="1" x="5323"/>
        <item m="1" x="4251"/>
        <item m="1" x="3121"/>
        <item m="1" x="4351"/>
        <item m="1" x="1499"/>
        <item m="1" x="467"/>
        <item m="1" x="4382"/>
        <item m="1" x="3249"/>
        <item m="1" x="2169"/>
        <item m="1" x="1202"/>
        <item m="1" x="80"/>
        <item m="1" x="7393"/>
        <item m="1" x="6276"/>
        <item m="1" x="1230"/>
        <item m="1" x="109"/>
        <item m="1" x="7430"/>
        <item m="1" x="6306"/>
        <item m="1" x="5354"/>
        <item m="1" x="4287"/>
        <item m="1" x="3157"/>
        <item m="1" x="4076"/>
        <item m="1" x="3526"/>
        <item m="1" x="2976"/>
        <item m="1" x="2458"/>
        <item m="1" x="4410"/>
        <item m="1" x="3274"/>
        <item m="1" x="2195"/>
        <item m="1" x="3561"/>
        <item m="1" x="7092"/>
        <item m="1" x="6533"/>
        <item m="1" x="6055"/>
        <item m="1" x="5603"/>
        <item m="1" x="5127"/>
        <item m="1" x="4616"/>
        <item m="1" x="7134"/>
        <item m="1" x="6578"/>
        <item m="1" x="6092"/>
        <item m="1" x="5636"/>
        <item m="1" x="5163"/>
        <item m="1" x="4650"/>
        <item m="1" x="4109"/>
        <item m="1" x="6617"/>
        <item m="1" x="6125"/>
        <item m="1" x="5666"/>
        <item m="1" x="4684"/>
        <item m="1" x="7727"/>
        <item m="1" x="936"/>
        <item m="1" x="378"/>
        <item m="1" x="7776"/>
        <item m="1" x="7180"/>
        <item m="1" x="5696"/>
        <item m="1" x="976"/>
        <item m="1" x="1462"/>
        <item m="1" x="425"/>
        <item m="1" x="6650"/>
        <item m="1" x="7219"/>
        <item m="1" x="7823"/>
        <item m="1" x="1928"/>
        <item m="1" x="6681"/>
        <item m="1" x="7863"/>
        <item m="1" x="5499"/>
        <item m="1" x="3797"/>
        <item m="1" x="4454"/>
        <item m="1" x="3765"/>
        <item m="1" x="3911"/>
        <item m="1" x="3731"/>
        <item m="1" x="3868"/>
        <item m="1" x="3695"/>
        <item m="1" x="3828"/>
        <item m="1" x="3664"/>
        <item m="1" x="2534"/>
        <item m="1" x="1539"/>
        <item m="1" x="5837"/>
        <item m="1" x="4851"/>
        <item m="1" x="4553"/>
        <item m="1" x="4016"/>
        <item m="1" x="5555"/>
        <item m="1" x="5065"/>
        <item m="1" x="6490"/>
        <item m="1" x="6007"/>
        <item m="1" x="7035"/>
        <item m="1" x="7641"/>
        <item m="1" x="258"/>
        <item m="1" x="5733"/>
        <item m="1" x="6725"/>
        <item m="1" x="5731"/>
        <item m="1" x="7950"/>
        <item m="1" x="4619"/>
        <item m="1" x="580"/>
        <item m="1" x="5639"/>
        <item m="1" x="1627"/>
        <item m="1" x="6622"/>
        <item m="1" x="2617"/>
        <item m="1" x="7826"/>
        <item m="1" x="3744"/>
        <item m="1" x="3641"/>
        <item m="1" x="507"/>
        <item m="1" x="4688"/>
        <item m="1" x="4759"/>
        <item m="1" x="5779"/>
        <item m="1" x="5757"/>
        <item m="1" x="4787"/>
        <item m="1" x="4655"/>
        <item m="1" x="4731"/>
        <item m="1" x="5670"/>
        <item m="1" x="1574"/>
        <item m="1" x="6656"/>
        <item m="1" x="2563"/>
        <item m="1" x="7867"/>
        <item m="1" x="3673"/>
        <item m="1" x="5804"/>
        <item m="1" x="4815"/>
        <item m="1" x="3704"/>
        <item m="1" x="5699"/>
        <item m="1" x="6686"/>
        <item m="1" x="7905"/>
        <item m="1" x="543"/>
        <item m="1" x="4726"/>
        <item m="1" x="3608"/>
        <item m="1" x="2500"/>
        <item m="1" x="6066"/>
        <item m="1" x="2590"/>
        <item m="1" x="1600"/>
        <item m="1" x="5100"/>
        <item m="1" x="6546"/>
        <item m="1" x="5579"/>
        <item m="1" x="7099"/>
        <item m="1" x="6030"/>
        <item m="1" x="7699"/>
        <item m="1" x="6511"/>
        <item m="1" x="298"/>
        <item m="1" x="7068"/>
        <item m="1" x="848"/>
        <item m="1" x="7672"/>
        <item m="1" x="1359"/>
        <item m="1" x="1502"/>
        <item m="1" x="470"/>
        <item m="1" x="6391"/>
        <item m="1" x="7542"/>
        <item m="1" x="213"/>
        <item m="1" x="1318"/>
        <item m="1" x="2290"/>
        <item m="1" x="3384"/>
        <item m="1" x="4513"/>
        <item m="1" x="1435"/>
        <item m="1" x="346"/>
        <item m="1" x="7693"/>
        <item m="1" x="2422"/>
        <item m="1" x="4545"/>
        <item m="1" x="5546"/>
        <item m="1" x="4408"/>
        <item m="1" x="5549"/>
        <item m="1" x="4516"/>
        <item m="1" x="5628"/>
        <item m="1" x="3629"/>
        <item m="1" x="7508"/>
        <item m="1" x="4610"/>
        <item m="1" x="3486"/>
        <item m="1" x="1291"/>
        <item m="1" x="2259"/>
        <item m="1" x="3354"/>
        <item m="1" x="4484"/>
        <item m="1" x="5525"/>
        <item m="1" x="6532"/>
        <item m="1" x="6418"/>
        <item m="1" x="7577"/>
        <item m="1" x="246"/>
        <item m="1" x="1349"/>
        <item m="1" x="2321"/>
        <item m="1" x="3415"/>
        <item m="1" x="4542"/>
        <item m="1" x="5566"/>
        <item m="1" x="4452"/>
        <item m="1" x="5497"/>
        <item m="1" x="6456"/>
        <item m="1" x="7627"/>
        <item m="1" x="288"/>
        <item m="1" x="1382"/>
        <item m="1" x="5410"/>
        <item m="1" x="4450"/>
        <item m="1" x="4347"/>
        <item m="1" x="5495"/>
        <item m="1" x="4572"/>
        <item m="1" x="2357"/>
        <item m="1" x="3449"/>
        <item m="1" x="5379"/>
        <item m="1" x="6332"/>
        <item m="1" x="7463"/>
        <item m="1" x="4486"/>
        <item m="1" x="7666"/>
        <item m="1" x="6483"/>
        <item m="1" x="5528"/>
        <item m="1" x="4643"/>
        <item m="1" x="3518"/>
        <item m="1" x="4378"/>
        <item m="1" x="3314"/>
        <item m="1" x="2393"/>
        <item m="1" x="319"/>
        <item m="1" x="3691"/>
        <item m="1" x="3724"/>
        <item m="1" x="1260"/>
        <item m="1" x="5660"/>
        <item m="1" x="5569"/>
        <item m="1" x="56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4"/>
    <field x="2"/>
  </rowFields>
  <rowItems count="62">
    <i>
      <x v="7939"/>
      <x v="162"/>
    </i>
    <i>
      <x v="7940"/>
      <x v="162"/>
    </i>
    <i>
      <x v="7941"/>
      <x v="162"/>
    </i>
    <i>
      <x v="7942"/>
      <x v="162"/>
    </i>
    <i>
      <x v="7943"/>
      <x v="162"/>
    </i>
    <i>
      <x v="7944"/>
      <x v="162"/>
    </i>
    <i>
      <x v="7945"/>
      <x v="521"/>
    </i>
    <i>
      <x v="7946"/>
      <x v="520"/>
    </i>
    <i>
      <x v="7947"/>
      <x v="521"/>
    </i>
    <i>
      <x v="7948"/>
      <x v="520"/>
    </i>
    <i>
      <x v="7949"/>
      <x v="523"/>
    </i>
    <i>
      <x v="7950"/>
      <x v="520"/>
    </i>
    <i>
      <x v="7951"/>
      <x v="523"/>
    </i>
    <i>
      <x v="7952"/>
      <x v="520"/>
    </i>
    <i>
      <x v="7953"/>
      <x v="522"/>
    </i>
    <i>
      <x v="7954"/>
      <x v="522"/>
    </i>
    <i>
      <x v="7955"/>
      <x v="161"/>
    </i>
    <i>
      <x v="7956"/>
      <x v="161"/>
    </i>
    <i>
      <x v="7957"/>
      <x v="161"/>
    </i>
    <i>
      <x v="7958"/>
      <x v="161"/>
    </i>
    <i>
      <x v="7959"/>
      <x v="161"/>
    </i>
    <i>
      <x v="7960"/>
      <x v="161"/>
    </i>
    <i>
      <x v="7961"/>
      <x v="161"/>
    </i>
    <i>
      <x v="7962"/>
      <x v="161"/>
    </i>
    <i>
      <x v="7963"/>
      <x v="161"/>
    </i>
    <i>
      <x v="7964"/>
      <x v="161"/>
    </i>
    <i>
      <x v="7965"/>
      <x v="161"/>
    </i>
    <i>
      <x v="7966"/>
      <x v="161"/>
    </i>
    <i>
      <x v="7967"/>
      <x v="161"/>
    </i>
    <i>
      <x v="7968"/>
      <x v="161"/>
    </i>
    <i>
      <x v="7969"/>
      <x v="161"/>
    </i>
    <i>
      <x v="7970"/>
      <x v="161"/>
    </i>
    <i>
      <x v="7971"/>
      <x v="161"/>
    </i>
    <i>
      <x v="7972"/>
      <x v="161"/>
    </i>
    <i>
      <x v="7973"/>
      <x v="161"/>
    </i>
    <i>
      <x v="7974"/>
      <x v="161"/>
    </i>
    <i>
      <x v="7975"/>
      <x v="161"/>
    </i>
    <i>
      <x v="7976"/>
      <x v="161"/>
    </i>
    <i>
      <x v="7977"/>
      <x v="161"/>
    </i>
    <i>
      <x v="7978"/>
      <x v="161"/>
    </i>
    <i>
      <x v="7979"/>
      <x v="161"/>
    </i>
    <i>
      <x v="7980"/>
      <x v="161"/>
    </i>
    <i>
      <x v="7981"/>
      <x v="161"/>
    </i>
    <i>
      <x v="7982"/>
      <x v="161"/>
    </i>
    <i>
      <x v="7983"/>
      <x v="161"/>
    </i>
    <i>
      <x v="7984"/>
      <x v="161"/>
    </i>
    <i>
      <x v="7985"/>
      <x v="161"/>
    </i>
    <i>
      <x v="7986"/>
      <x v="161"/>
    </i>
    <i>
      <x v="7987"/>
      <x v="161"/>
    </i>
    <i>
      <x v="7988"/>
      <x v="161"/>
    </i>
    <i>
      <x v="7989"/>
      <x v="161"/>
    </i>
    <i>
      <x v="7990"/>
      <x v="161"/>
    </i>
    <i>
      <x v="7991"/>
      <x v="161"/>
    </i>
    <i>
      <x v="7992"/>
      <x v="161"/>
    </i>
    <i>
      <x v="7993"/>
      <x v="161"/>
    </i>
    <i>
      <x v="7994"/>
      <x v="161"/>
    </i>
    <i>
      <x v="7995"/>
      <x v="161"/>
    </i>
    <i>
      <x v="7996"/>
      <x v="161"/>
    </i>
    <i>
      <x v="7997"/>
      <x v="161"/>
    </i>
    <i>
      <x v="7998"/>
      <x v="161"/>
    </i>
    <i>
      <x v="7999"/>
      <x v="161"/>
    </i>
    <i t="grand">
      <x/>
    </i>
  </rowItems>
  <colItems count="1">
    <i/>
  </colItems>
  <dataFields count="1">
    <dataField name="SỐ LƯỢNG HÀNG VỀ" fld="8" baseField="0" baseItem="0"/>
  </dataFields>
  <pivotTableStyleInfo name="PivotStyleLight16" showRowHeaders="1" showColHeaders="1" showRowStripes="0" showColStripes="0" showLastColumn="1"/>
  <filters count="1">
    <filter fld="4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241D2-F25A-4A7D-B107-5179092B7B08}" name="PivotTable2" cacheId="1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D17" firstHeaderRow="1" firstDataRow="1" firstDataCol="3"/>
  <pivotFields count="13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3">
        <item m="1" x="93"/>
        <item m="1" x="105"/>
        <item m="1" x="59"/>
        <item m="1" x="191"/>
        <item m="1" x="73"/>
        <item m="1" x="122"/>
        <item m="1" x="201"/>
        <item m="1" x="217"/>
        <item m="1" x="168"/>
        <item m="1" x="196"/>
        <item m="1" x="214"/>
        <item m="1" x="163"/>
        <item m="1" x="143"/>
        <item m="1" x="167"/>
        <item x="0"/>
        <item x="14"/>
        <item m="1" x="147"/>
        <item m="1" x="113"/>
        <item m="1" x="98"/>
        <item m="1" x="66"/>
        <item m="1" x="86"/>
        <item m="1" x="114"/>
        <item m="1" x="129"/>
        <item m="1" x="60"/>
        <item m="1" x="67"/>
        <item m="1" x="158"/>
        <item m="1" x="135"/>
        <item m="1" x="50"/>
        <item m="1" x="74"/>
        <item m="1" x="197"/>
        <item m="1" x="102"/>
        <item m="1" x="119"/>
        <item m="1" x="227"/>
        <item m="1" x="209"/>
        <item m="1" x="223"/>
        <item m="1" x="207"/>
        <item m="1" x="133"/>
        <item m="1" x="149"/>
        <item m="1" x="130"/>
        <item m="1" x="212"/>
        <item m="1" x="192"/>
        <item m="1" x="174"/>
        <item m="1" x="90"/>
        <item m="1" x="75"/>
        <item m="1" x="51"/>
        <item m="1" x="33"/>
        <item m="1" x="232"/>
        <item m="1" x="27"/>
        <item m="1" x="224"/>
        <item m="1" x="175"/>
        <item m="1" x="150"/>
        <item m="1" x="131"/>
        <item m="1" x="117"/>
        <item m="1" x="100"/>
        <item m="1" x="88"/>
        <item m="1" x="15"/>
        <item m="1" x="55"/>
        <item m="1" x="78"/>
        <item m="1" x="94"/>
        <item m="1" x="109"/>
        <item m="1" x="228"/>
        <item m="1" x="210"/>
        <item m="1" x="188"/>
        <item m="1" x="46"/>
        <item m="1" x="36"/>
        <item m="1" x="17"/>
        <item m="1" x="106"/>
        <item m="1" x="182"/>
        <item m="1" x="159"/>
        <item m="1" x="136"/>
        <item m="1" x="123"/>
        <item m="1" x="34"/>
        <item m="1" x="144"/>
        <item m="1" x="127"/>
        <item m="1" x="110"/>
        <item m="1" x="95"/>
        <item m="1" x="118"/>
        <item m="1" x="132"/>
        <item m="1" x="120"/>
        <item m="1" x="134"/>
        <item m="1" x="154"/>
        <item m="1" x="179"/>
        <item m="1" x="198"/>
        <item m="1" x="79"/>
        <item m="1" x="61"/>
        <item m="1" x="164"/>
        <item m="1" x="193"/>
        <item m="1" x="151"/>
        <item m="1" x="213"/>
        <item m="1" x="219"/>
        <item m="1" x="20"/>
        <item m="1" x="38"/>
        <item m="1" x="211"/>
        <item m="1" x="89"/>
        <item m="1" x="124"/>
        <item m="1" x="160"/>
        <item m="1" x="21"/>
        <item m="1" x="39"/>
        <item m="1" x="183"/>
        <item m="1" x="161"/>
        <item m="1" x="180"/>
        <item m="1" x="155"/>
        <item m="1" x="83"/>
        <item m="1" x="62"/>
        <item m="1" x="44"/>
        <item m="1" x="30"/>
        <item m="1" x="176"/>
        <item m="1" x="194"/>
        <item m="1" x="91"/>
        <item m="1" x="104"/>
        <item m="1" x="107"/>
        <item m="1" x="205"/>
        <item m="1" x="184"/>
        <item m="1" x="40"/>
        <item m="1" x="22"/>
        <item m="1" x="41"/>
        <item m="1" x="64"/>
        <item m="1" x="96"/>
        <item m="1" x="111"/>
        <item m="1" x="69"/>
        <item m="1" x="47"/>
        <item m="1" x="31"/>
        <item m="1" x="229"/>
        <item m="1" x="169"/>
        <item m="1" x="186"/>
        <item m="1" x="145"/>
        <item m="1" x="225"/>
        <item m="1" x="63"/>
        <item m="1" x="37"/>
        <item m="1" x="56"/>
        <item m="1" x="80"/>
        <item m="1" x="57"/>
        <item m="1" x="76"/>
        <item m="1" x="52"/>
        <item m="1" x="70"/>
        <item m="1" x="48"/>
        <item m="1" x="140"/>
        <item m="1" x="68"/>
        <item m="1" x="84"/>
        <item m="1" x="65"/>
        <item m="1" x="42"/>
        <item m="1" x="23"/>
        <item m="1" x="220"/>
        <item m="1" x="165"/>
        <item m="1" x="103"/>
        <item m="1" x="137"/>
        <item m="1" x="156"/>
        <item m="1" x="18"/>
        <item m="1" x="112"/>
        <item m="1" x="187"/>
        <item m="1" x="28"/>
        <item m="1" x="58"/>
        <item m="1" x="35"/>
        <item m="1" x="16"/>
        <item m="1" x="215"/>
        <item m="1" x="199"/>
        <item m="1" x="181"/>
        <item m="1" x="157"/>
        <item m="1" x="81"/>
        <item m="1" x="92"/>
        <item m="1" x="125"/>
        <item m="1" x="24"/>
        <item m="1" x="43"/>
        <item m="1" x="29"/>
        <item m="1" x="45"/>
        <item m="1" x="148"/>
        <item m="1" x="170"/>
        <item m="1" x="189"/>
        <item m="1" x="49"/>
        <item m="1" x="32"/>
        <item m="1" x="230"/>
        <item m="1" x="171"/>
        <item m="1" x="71"/>
        <item m="1" x="108"/>
        <item m="1" x="126"/>
        <item m="1" x="141"/>
        <item m="1" x="177"/>
        <item m="1" x="152"/>
        <item m="1" x="101"/>
        <item m="1" x="138"/>
        <item m="1" x="25"/>
        <item m="1" x="221"/>
        <item m="1" x="206"/>
        <item m="1" x="185"/>
        <item m="1" x="202"/>
        <item m="1" x="121"/>
        <item m="1" x="142"/>
        <item m="1" x="72"/>
        <item m="1" x="231"/>
        <item m="1" x="115"/>
        <item m="1" x="53"/>
        <item m="1" x="200"/>
        <item m="1" x="216"/>
        <item m="1" x="203"/>
        <item m="1" x="218"/>
        <item m="1" x="19"/>
        <item m="1" x="146"/>
        <item m="1" x="128"/>
        <item m="1" x="208"/>
        <item m="1" x="226"/>
        <item m="1" x="166"/>
        <item m="1" x="82"/>
        <item m="1" x="87"/>
        <item m="1" x="97"/>
        <item m="1" x="85"/>
        <item m="1" x="26"/>
        <item m="1" x="222"/>
        <item m="1" x="99"/>
        <item m="1" x="116"/>
        <item m="1" x="190"/>
        <item m="1" x="172"/>
        <item m="1" x="54"/>
        <item m="1" x="77"/>
        <item x="13"/>
        <item m="1" x="173"/>
        <item m="1" x="153"/>
        <item m="1" x="178"/>
        <item m="1" x="195"/>
        <item x="12"/>
        <item m="1" x="162"/>
        <item m="1" x="139"/>
        <item x="9"/>
        <item x="10"/>
        <item x="11"/>
        <item m="1" x="204"/>
        <item x="7"/>
        <item x="8"/>
        <item x="2"/>
        <item x="3"/>
        <item x="4"/>
        <item x="5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3">
        <item m="1" x="75"/>
        <item m="1" x="135"/>
        <item m="1" x="91"/>
        <item m="1" x="220"/>
        <item m="1" x="195"/>
        <item m="1" x="109"/>
        <item m="1" x="179"/>
        <item m="1" x="208"/>
        <item m="1" x="143"/>
        <item m="1" x="232"/>
        <item x="0"/>
        <item m="1" x="221"/>
        <item m="1" x="230"/>
        <item m="1" x="110"/>
        <item x="14"/>
        <item m="1" x="204"/>
        <item m="1" x="152"/>
        <item m="1" x="153"/>
        <item m="1" x="205"/>
        <item m="1" x="207"/>
        <item m="1" x="155"/>
        <item m="1" x="156"/>
        <item m="1" x="29"/>
        <item m="1" x="136"/>
        <item m="1" x="37"/>
        <item m="1" x="34"/>
        <item m="1" x="103"/>
        <item m="1" x="105"/>
        <item m="1" x="206"/>
        <item m="1" x="19"/>
        <item m="1" x="107"/>
        <item m="1" x="106"/>
        <item m="1" x="224"/>
        <item m="1" x="165"/>
        <item m="1" x="168"/>
        <item m="1" x="33"/>
        <item m="1" x="32"/>
        <item m="1" x="30"/>
        <item m="1" x="169"/>
        <item m="1" x="31"/>
        <item m="1" x="158"/>
        <item m="1" x="78"/>
        <item m="1" x="56"/>
        <item m="1" x="77"/>
        <item m="1" x="55"/>
        <item m="1" x="137"/>
        <item m="1" x="28"/>
        <item m="1" x="145"/>
        <item m="1" x="222"/>
        <item m="1" x="54"/>
        <item m="1" x="38"/>
        <item m="1" x="35"/>
        <item m="1" x="163"/>
        <item m="1" x="25"/>
        <item m="1" x="24"/>
        <item m="1" x="57"/>
        <item m="1" x="115"/>
        <item m="1" x="112"/>
        <item m="1" x="27"/>
        <item m="1" x="162"/>
        <item m="1" x="166"/>
        <item m="1" x="40"/>
        <item m="1" x="116"/>
        <item m="1" x="117"/>
        <item m="1" x="50"/>
        <item m="1" x="138"/>
        <item m="1" x="132"/>
        <item m="1" x="164"/>
        <item m="1" x="171"/>
        <item m="1" x="172"/>
        <item m="1" x="146"/>
        <item m="1" x="22"/>
        <item m="1" x="23"/>
        <item m="1" x="161"/>
        <item m="1" x="26"/>
        <item m="1" x="104"/>
        <item m="1" x="147"/>
        <item m="1" x="113"/>
        <item m="1" x="114"/>
        <item m="1" x="118"/>
        <item m="1" x="119"/>
        <item m="1" x="181"/>
        <item m="1" x="134"/>
        <item m="1" x="48"/>
        <item m="1" x="141"/>
        <item m="1" x="160"/>
        <item m="1" x="111"/>
        <item m="1" x="36"/>
        <item m="1" x="127"/>
        <item m="1" x="167"/>
        <item m="1" x="58"/>
        <item m="1" x="126"/>
        <item m="1" x="170"/>
        <item m="1" x="39"/>
        <item m="1" x="223"/>
        <item m="1" x="144"/>
        <item m="1" x="203"/>
        <item m="1" x="159"/>
        <item m="1" x="21"/>
        <item m="1" x="20"/>
        <item m="1" x="128"/>
        <item m="1" x="225"/>
        <item m="1" x="142"/>
        <item m="1" x="212"/>
        <item m="1" x="133"/>
        <item m="1" x="139"/>
        <item m="1" x="231"/>
        <item m="1" x="61"/>
        <item m="1" x="182"/>
        <item m="1" x="47"/>
        <item m="1" x="229"/>
        <item m="1" x="74"/>
        <item m="1" x="148"/>
        <item m="1" x="129"/>
        <item m="1" x="200"/>
        <item m="1" x="174"/>
        <item m="1" x="46"/>
        <item m="1" x="18"/>
        <item m="1" x="177"/>
        <item m="1" x="217"/>
        <item m="1" x="216"/>
        <item m="1" x="140"/>
        <item m="1" x="80"/>
        <item m="1" x="62"/>
        <item m="1" x="202"/>
        <item m="1" x="192"/>
        <item m="1" x="173"/>
        <item m="1" x="214"/>
        <item m="1" x="45"/>
        <item m="1" x="178"/>
        <item m="1" x="97"/>
        <item m="1" x="16"/>
        <item m="1" x="130"/>
        <item m="1" x="122"/>
        <item m="1" x="120"/>
        <item m="1" x="60"/>
        <item m="1" x="176"/>
        <item m="1" x="175"/>
        <item m="1" x="65"/>
        <item m="1" x="131"/>
        <item m="1" x="43"/>
        <item m="1" x="42"/>
        <item m="1" x="41"/>
        <item m="1" x="215"/>
        <item m="1" x="183"/>
        <item m="1" x="123"/>
        <item m="1" x="87"/>
        <item m="1" x="17"/>
        <item m="1" x="90"/>
        <item m="1" x="184"/>
        <item m="1" x="79"/>
        <item m="1" x="82"/>
        <item m="1" x="150"/>
        <item m="1" x="209"/>
        <item m="1" x="86"/>
        <item m="1" x="64"/>
        <item m="1" x="44"/>
        <item m="1" x="149"/>
        <item m="1" x="73"/>
        <item m="1" x="71"/>
        <item m="1" x="185"/>
        <item m="1" x="197"/>
        <item m="1" x="210"/>
        <item m="1" x="186"/>
        <item m="1" x="59"/>
        <item m="1" x="72"/>
        <item m="1" x="85"/>
        <item m="1" x="63"/>
        <item m="1" x="67"/>
        <item m="1" x="151"/>
        <item m="1" x="198"/>
        <item m="1" x="211"/>
        <item m="1" x="98"/>
        <item m="1" x="99"/>
        <item m="1" x="121"/>
        <item m="1" x="190"/>
        <item m="1" x="96"/>
        <item m="1" x="81"/>
        <item m="1" x="189"/>
        <item m="1" x="102"/>
        <item m="1" x="199"/>
        <item m="1" x="15"/>
        <item m="1" x="213"/>
        <item m="1" x="84"/>
        <item m="1" x="88"/>
        <item m="1" x="83"/>
        <item m="1" x="70"/>
        <item m="1" x="187"/>
        <item m="1" x="124"/>
        <item m="1" x="125"/>
        <item m="1" x="191"/>
        <item m="1" x="157"/>
        <item m="1" x="180"/>
        <item m="1" x="154"/>
        <item m="1" x="108"/>
        <item m="1" x="196"/>
        <item m="1" x="51"/>
        <item m="1" x="93"/>
        <item m="1" x="68"/>
        <item m="1" x="228"/>
        <item m="1" x="66"/>
        <item m="1" x="188"/>
        <item m="1" x="89"/>
        <item m="1" x="69"/>
        <item m="1" x="92"/>
        <item m="1" x="227"/>
        <item m="1" x="94"/>
        <item m="1" x="100"/>
        <item m="1" x="101"/>
        <item x="13"/>
        <item m="1" x="49"/>
        <item m="1" x="201"/>
        <item m="1" x="193"/>
        <item m="1" x="194"/>
        <item x="12"/>
        <item m="1" x="226"/>
        <item m="1" x="53"/>
        <item x="10"/>
        <item x="11"/>
        <item m="1" x="95"/>
        <item m="1" x="218"/>
        <item m="1" x="52"/>
        <item m="1" x="76"/>
        <item m="1" x="219"/>
        <item x="7"/>
        <item x="8"/>
        <item x="2"/>
        <item x="3"/>
        <item x="4"/>
        <item x="5"/>
        <item x="6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2">
        <item x="6"/>
        <item x="0"/>
        <item m="1" x="74"/>
        <item m="1" x="40"/>
        <item m="1" x="189"/>
        <item m="1" x="188"/>
        <item m="1" x="91"/>
        <item m="1" x="116"/>
        <item m="1" x="43"/>
        <item m="1" x="67"/>
        <item m="1" x="166"/>
        <item m="1" x="174"/>
        <item m="1" x="81"/>
        <item m="1" x="50"/>
        <item m="1" x="38"/>
        <item x="14"/>
        <item m="1" x="72"/>
        <item m="1" x="137"/>
        <item m="1" x="150"/>
        <item m="1" x="136"/>
        <item m="1" x="15"/>
        <item m="1" x="181"/>
        <item m="1" x="173"/>
        <item m="1" x="132"/>
        <item m="1" x="94"/>
        <item m="1" x="144"/>
        <item m="1" x="126"/>
        <item m="1" x="120"/>
        <item m="1" x="93"/>
        <item m="1" x="19"/>
        <item m="1" x="152"/>
        <item m="1" x="140"/>
        <item m="1" x="203"/>
        <item m="1" x="110"/>
        <item m="1" x="146"/>
        <item sd="0" m="1" x="98"/>
        <item m="1" x="62"/>
        <item m="1" x="197"/>
        <item m="1" x="135"/>
        <item m="1" x="151"/>
        <item m="1" x="164"/>
        <item m="1" x="39"/>
        <item m="1" x="88"/>
        <item m="1" x="85"/>
        <item m="1" x="78"/>
        <item m="1" x="202"/>
        <item m="1" x="61"/>
        <item m="1" x="96"/>
        <item m="1" x="108"/>
        <item m="1" x="28"/>
        <item m="1" x="48"/>
        <item m="1" x="44"/>
        <item m="1" x="68"/>
        <item m="1" x="36"/>
        <item m="1" x="53"/>
        <item m="1" x="199"/>
        <item m="1" x="211"/>
        <item m="1" x="47"/>
        <item m="1" x="32"/>
        <item m="1" x="42"/>
        <item m="1" x="66"/>
        <item m="1" x="24"/>
        <item m="1" x="76"/>
        <item m="1" x="187"/>
        <item m="1" x="95"/>
        <item m="1" x="30"/>
        <item m="1" x="125"/>
        <item m="1" x="92"/>
        <item m="1" x="154"/>
        <item m="1" x="196"/>
        <item m="1" x="210"/>
        <item m="1" x="90"/>
        <item m="1" x="168"/>
        <item m="1" x="86"/>
        <item m="1" x="71"/>
        <item m="1" x="55"/>
        <item m="1" x="118"/>
        <item m="1" x="163"/>
        <item m="1" x="49"/>
        <item m="1" x="97"/>
        <item m="1" x="147"/>
        <item m="1" x="29"/>
        <item m="1" x="25"/>
        <item m="1" x="175"/>
        <item m="1" x="58"/>
        <item m="1" x="117"/>
        <item m="1" x="45"/>
        <item m="1" x="60"/>
        <item m="1" x="46"/>
        <item m="1" x="54"/>
        <item m="1" x="131"/>
        <item m="1" x="77"/>
        <item m="1" x="198"/>
        <item m="1" x="208"/>
        <item m="1" x="121"/>
        <item m="1" x="115"/>
        <item m="1" x="20"/>
        <item m="1" x="194"/>
        <item m="1" x="109"/>
        <item m="1" x="73"/>
        <item m="1" x="69"/>
        <item m="1" x="113"/>
        <item m="1" x="37"/>
        <item m="1" x="153"/>
        <item m="1" x="155"/>
        <item m="1" x="75"/>
        <item m="1" x="52"/>
        <item m="1" x="27"/>
        <item m="1" x="129"/>
        <item m="1" x="127"/>
        <item m="1" x="179"/>
        <item m="1" x="101"/>
        <item m="1" x="105"/>
        <item m="1" x="141"/>
        <item m="1" x="102"/>
        <item m="1" x="161"/>
        <item m="1" x="23"/>
        <item m="1" x="22"/>
        <item m="1" x="82"/>
        <item m="1" x="145"/>
        <item m="1" x="130"/>
        <item m="1" x="142"/>
        <item m="1" x="122"/>
        <item m="1" x="56"/>
        <item m="1" x="207"/>
        <item m="1" x="192"/>
        <item m="1" x="170"/>
        <item m="1" x="205"/>
        <item m="1" x="112"/>
        <item m="1" x="191"/>
        <item m="1" x="83"/>
        <item m="1" x="100"/>
        <item m="1" x="176"/>
        <item m="1" x="51"/>
        <item m="1" x="183"/>
        <item m="1" x="80"/>
        <item m="1" x="206"/>
        <item m="1" x="162"/>
        <item m="1" x="177"/>
        <item m="1" x="79"/>
        <item m="1" x="106"/>
        <item m="1" x="17"/>
        <item m="1" x="204"/>
        <item m="1" x="114"/>
        <item m="1" x="63"/>
        <item m="1" x="16"/>
        <item m="1" x="195"/>
        <item m="1" x="84"/>
        <item m="1" x="124"/>
        <item m="1" x="160"/>
        <item m="1" x="184"/>
        <item m="1" x="139"/>
        <item m="1" x="185"/>
        <item m="1" x="35"/>
        <item m="1" x="201"/>
        <item m="1" x="57"/>
        <item m="1" x="99"/>
        <item m="1" x="157"/>
        <item m="1" x="34"/>
        <item m="1" x="128"/>
        <item m="1" x="65"/>
        <item m="1" x="138"/>
        <item m="1" x="149"/>
        <item m="1" x="103"/>
        <item m="1" x="87"/>
        <item m="1" x="171"/>
        <item m="1" x="18"/>
        <item m="1" x="26"/>
        <item m="1" x="178"/>
        <item m="1" x="134"/>
        <item m="1" x="180"/>
        <item m="1" x="148"/>
        <item m="1" x="21"/>
        <item m="1" x="172"/>
        <item m="1" x="186"/>
        <item m="1" x="159"/>
        <item m="1" x="156"/>
        <item m="1" x="200"/>
        <item m="1" x="190"/>
        <item m="1" x="70"/>
        <item m="1" x="33"/>
        <item m="1" x="59"/>
        <item m="1" x="143"/>
        <item m="1" x="64"/>
        <item m="1" x="123"/>
        <item m="1" x="107"/>
        <item m="1" x="133"/>
        <item m="1" x="119"/>
        <item m="1" x="158"/>
        <item m="1" x="111"/>
        <item m="1" x="193"/>
        <item m="1" x="165"/>
        <item m="1" x="31"/>
        <item x="13"/>
        <item m="1" x="89"/>
        <item m="1" x="104"/>
        <item m="1" x="182"/>
        <item m="1" x="169"/>
        <item x="12"/>
        <item m="1" x="167"/>
        <item m="1" x="41"/>
        <item x="9"/>
        <item x="10"/>
        <item x="11"/>
        <item m="1" x="209"/>
        <item x="7"/>
        <item x="8"/>
        <item x="2"/>
        <item x="3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37"/>
    <field x="34"/>
  </rowFields>
  <rowItems count="14">
    <i>
      <x v="213"/>
      <x v="193"/>
      <x v="209"/>
    </i>
    <i>
      <x v="218"/>
      <x v="198"/>
      <x v="214"/>
    </i>
    <i>
      <x v="221"/>
      <x v="201"/>
      <x v="231"/>
    </i>
    <i>
      <x v="222"/>
      <x v="202"/>
      <x v="217"/>
    </i>
    <i>
      <x v="223"/>
      <x v="203"/>
      <x v="218"/>
    </i>
    <i>
      <x v="225"/>
      <x v="205"/>
      <x v="224"/>
    </i>
    <i>
      <x v="226"/>
      <x v="206"/>
      <x v="225"/>
    </i>
    <i>
      <x v="227"/>
      <x v="207"/>
      <x v="226"/>
    </i>
    <i>
      <x v="228"/>
      <x v="208"/>
      <x v="227"/>
    </i>
    <i>
      <x v="229"/>
      <x v="209"/>
      <x v="228"/>
    </i>
    <i>
      <x v="230"/>
      <x v="210"/>
      <x v="229"/>
    </i>
    <i>
      <x v="231"/>
      <x/>
      <x v="230"/>
    </i>
    <i>
      <x v="232"/>
      <x v="211"/>
      <x v="232"/>
    </i>
    <i t="grand">
      <x/>
    </i>
  </rowItems>
  <colItems count="1">
    <i/>
  </colItems>
  <dataFields count="1">
    <dataField name="Count of SUSR1" fld="36" subtotal="count" baseField="0" baseItem="0"/>
  </dataFields>
  <formats count="216">
    <format dxfId="237">
      <pivotArea type="all" dataOnly="0" outline="0" fieldPosition="0"/>
    </format>
    <format dxfId="236">
      <pivotArea outline="0" collapsedLevelsAreSubtotals="1" fieldPosition="0"/>
    </format>
    <format dxfId="235">
      <pivotArea field="2" type="button" dataOnly="0" labelOnly="1" outline="0" axis="axisRow" fieldPosition="0"/>
    </format>
    <format dxfId="234">
      <pivotArea field="37" type="button" dataOnly="0" labelOnly="1" outline="0" axis="axisRow" fieldPosition="1"/>
    </format>
    <format dxfId="233">
      <pivotArea field="34" type="button" dataOnly="0" labelOnly="1" outline="0" axis="axisRow" fieldPosition="2"/>
    </format>
    <format dxfId="232">
      <pivotArea dataOnly="0" labelOnly="1" outline="0" fieldPosition="0">
        <references count="1">
          <reference field="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31">
      <pivotArea dataOnly="0" labelOnly="1" grandRow="1" outline="0" fieldPosition="0"/>
    </format>
    <format dxfId="230">
      <pivotArea dataOnly="0" labelOnly="1" outline="0" fieldPosition="0">
        <references count="2">
          <reference field="2" count="1" selected="0">
            <x v="0"/>
          </reference>
          <reference field="37" count="1">
            <x v="0"/>
          </reference>
        </references>
      </pivotArea>
    </format>
    <format dxfId="229">
      <pivotArea dataOnly="0" labelOnly="1" outline="0" fieldPosition="0">
        <references count="2">
          <reference field="2" count="1" selected="0">
            <x v="1"/>
          </reference>
          <reference field="37" count="1">
            <x v="6"/>
          </reference>
        </references>
      </pivotArea>
    </format>
    <format dxfId="228">
      <pivotArea dataOnly="0" labelOnly="1" outline="0" fieldPosition="0">
        <references count="2">
          <reference field="2" count="1" selected="0">
            <x v="2"/>
          </reference>
          <reference field="37" count="1">
            <x v="9"/>
          </reference>
        </references>
      </pivotArea>
    </format>
    <format dxfId="227">
      <pivotArea dataOnly="0" labelOnly="1" outline="0" fieldPosition="0">
        <references count="2">
          <reference field="2" count="1" selected="0">
            <x v="3"/>
          </reference>
          <reference field="37" count="1">
            <x v="12"/>
          </reference>
        </references>
      </pivotArea>
    </format>
    <format dxfId="226">
      <pivotArea dataOnly="0" labelOnly="1" outline="0" fieldPosition="0">
        <references count="2">
          <reference field="2" count="1" selected="0">
            <x v="4"/>
          </reference>
          <reference field="37" count="1">
            <x v="8"/>
          </reference>
        </references>
      </pivotArea>
    </format>
    <format dxfId="225">
      <pivotArea dataOnly="0" labelOnly="1" outline="0" fieldPosition="0">
        <references count="2">
          <reference field="2" count="1" selected="0">
            <x v="5"/>
          </reference>
          <reference field="37" count="1">
            <x v="4"/>
          </reference>
        </references>
      </pivotArea>
    </format>
    <format dxfId="224">
      <pivotArea dataOnly="0" labelOnly="1" outline="0" fieldPosition="0">
        <references count="2">
          <reference field="2" count="1" selected="0">
            <x v="6"/>
          </reference>
          <reference field="37" count="1">
            <x v="14"/>
          </reference>
        </references>
      </pivotArea>
    </format>
    <format dxfId="223">
      <pivotArea dataOnly="0" labelOnly="1" outline="0" fieldPosition="0">
        <references count="2">
          <reference field="2" count="1" selected="0">
            <x v="7"/>
          </reference>
          <reference field="37" count="1">
            <x v="2"/>
          </reference>
        </references>
      </pivotArea>
    </format>
    <format dxfId="222">
      <pivotArea dataOnly="0" labelOnly="1" outline="0" fieldPosition="0">
        <references count="2">
          <reference field="2" count="1" selected="0">
            <x v="8"/>
          </reference>
          <reference field="37" count="1">
            <x v="13"/>
          </reference>
        </references>
      </pivotArea>
    </format>
    <format dxfId="221">
      <pivotArea dataOnly="0" labelOnly="1" outline="0" fieldPosition="0">
        <references count="2">
          <reference field="2" count="1" selected="0">
            <x v="9"/>
          </reference>
          <reference field="37" count="1">
            <x v="5"/>
          </reference>
        </references>
      </pivotArea>
    </format>
    <format dxfId="220">
      <pivotArea dataOnly="0" labelOnly="1" outline="0" fieldPosition="0">
        <references count="2">
          <reference field="2" count="1" selected="0">
            <x v="10"/>
          </reference>
          <reference field="37" count="1">
            <x v="3"/>
          </reference>
        </references>
      </pivotArea>
    </format>
    <format dxfId="219">
      <pivotArea dataOnly="0" labelOnly="1" outline="0" fieldPosition="0">
        <references count="2">
          <reference field="2" count="1" selected="0">
            <x v="11"/>
          </reference>
          <reference field="37" count="1">
            <x v="7"/>
          </reference>
        </references>
      </pivotArea>
    </format>
    <format dxfId="218">
      <pivotArea dataOnly="0" labelOnly="1" outline="0" fieldPosition="0">
        <references count="2">
          <reference field="2" count="1" selected="0">
            <x v="12"/>
          </reference>
          <reference field="37" count="1">
            <x v="11"/>
          </reference>
        </references>
      </pivotArea>
    </format>
    <format dxfId="217">
      <pivotArea dataOnly="0" labelOnly="1" outline="0" fieldPosition="0">
        <references count="2">
          <reference field="2" count="1" selected="0">
            <x v="13"/>
          </reference>
          <reference field="37" count="1">
            <x v="10"/>
          </reference>
        </references>
      </pivotArea>
    </format>
    <format dxfId="216">
      <pivotArea dataOnly="0" labelOnly="1" outline="0" fieldPosition="0">
        <references count="3">
          <reference field="2" count="1" selected="0">
            <x v="0"/>
          </reference>
          <reference field="34" count="1">
            <x v="12"/>
          </reference>
          <reference field="37" count="1" selected="0">
            <x v="0"/>
          </reference>
        </references>
      </pivotArea>
    </format>
    <format dxfId="215">
      <pivotArea dataOnly="0" labelOnly="1" outline="0" fieldPosition="0">
        <references count="3">
          <reference field="2" count="1" selected="0">
            <x v="1"/>
          </reference>
          <reference field="34" count="1">
            <x v="11"/>
          </reference>
          <reference field="37" count="1" selected="0">
            <x v="6"/>
          </reference>
        </references>
      </pivotArea>
    </format>
    <format dxfId="214">
      <pivotArea dataOnly="0" labelOnly="1" outline="0" fieldPosition="0">
        <references count="3">
          <reference field="2" count="1" selected="0">
            <x v="2"/>
          </reference>
          <reference field="34" count="1">
            <x v="13"/>
          </reference>
          <reference field="37" count="1" selected="0">
            <x v="9"/>
          </reference>
        </references>
      </pivotArea>
    </format>
    <format dxfId="213">
      <pivotArea dataOnly="0" labelOnly="1" outline="0" fieldPosition="0">
        <references count="3">
          <reference field="2" count="1" selected="0">
            <x v="3"/>
          </reference>
          <reference field="34" count="1">
            <x v="2"/>
          </reference>
          <reference field="37" count="1" selected="0">
            <x v="12"/>
          </reference>
        </references>
      </pivotArea>
    </format>
    <format dxfId="212">
      <pivotArea dataOnly="0" labelOnly="1" outline="0" fieldPosition="0">
        <references count="3">
          <reference field="2" count="1" selected="0">
            <x v="4"/>
          </reference>
          <reference field="34" count="1">
            <x v="9"/>
          </reference>
          <reference field="37" count="1" selected="0">
            <x v="8"/>
          </reference>
        </references>
      </pivotArea>
    </format>
    <format dxfId="211">
      <pivotArea dataOnly="0" labelOnly="1" outline="0" fieldPosition="0">
        <references count="3">
          <reference field="2" count="1" selected="0">
            <x v="5"/>
          </reference>
          <reference field="34" count="1">
            <x v="8"/>
          </reference>
          <reference field="37" count="1" selected="0">
            <x v="4"/>
          </reference>
        </references>
      </pivotArea>
    </format>
    <format dxfId="210">
      <pivotArea dataOnly="0" labelOnly="1" outline="0" fieldPosition="0">
        <references count="3">
          <reference field="2" count="1" selected="0">
            <x v="6"/>
          </reference>
          <reference field="34" count="1">
            <x v="0"/>
          </reference>
          <reference field="37" count="1" selected="0">
            <x v="14"/>
          </reference>
        </references>
      </pivotArea>
    </format>
    <format dxfId="209">
      <pivotArea dataOnly="0" labelOnly="1" outline="0" fieldPosition="0">
        <references count="3">
          <reference field="2" count="1" selected="0">
            <x v="7"/>
          </reference>
          <reference field="34" count="1">
            <x v="1"/>
          </reference>
          <reference field="37" count="1" selected="0">
            <x v="2"/>
          </reference>
        </references>
      </pivotArea>
    </format>
    <format dxfId="208">
      <pivotArea dataOnly="0" labelOnly="1" outline="0" fieldPosition="0">
        <references count="3">
          <reference field="2" count="1" selected="0">
            <x v="8"/>
          </reference>
          <reference field="34" count="1">
            <x v="7"/>
          </reference>
          <reference field="37" count="1" selected="0">
            <x v="13"/>
          </reference>
        </references>
      </pivotArea>
    </format>
    <format dxfId="207">
      <pivotArea dataOnly="0" labelOnly="1" outline="0" fieldPosition="0">
        <references count="3">
          <reference field="2" count="1" selected="0">
            <x v="9"/>
          </reference>
          <reference field="34" count="1">
            <x v="4"/>
          </reference>
          <reference field="37" count="1" selected="0">
            <x v="5"/>
          </reference>
        </references>
      </pivotArea>
    </format>
    <format dxfId="206">
      <pivotArea dataOnly="0" labelOnly="1" outline="0" fieldPosition="0">
        <references count="3">
          <reference field="2" count="1" selected="0">
            <x v="10"/>
          </reference>
          <reference field="34" count="1">
            <x v="4"/>
          </reference>
          <reference field="37" count="1" selected="0">
            <x v="3"/>
          </reference>
        </references>
      </pivotArea>
    </format>
    <format dxfId="205">
      <pivotArea dataOnly="0" labelOnly="1" outline="0" fieldPosition="0">
        <references count="3">
          <reference field="2" count="1" selected="0">
            <x v="11"/>
          </reference>
          <reference field="34" count="1">
            <x v="5"/>
          </reference>
          <reference field="37" count="1" selected="0">
            <x v="7"/>
          </reference>
        </references>
      </pivotArea>
    </format>
    <format dxfId="204">
      <pivotArea dataOnly="0" labelOnly="1" outline="0" fieldPosition="0">
        <references count="3">
          <reference field="2" count="1" selected="0">
            <x v="12"/>
          </reference>
          <reference field="34" count="1">
            <x v="6"/>
          </reference>
          <reference field="37" count="1" selected="0">
            <x v="11"/>
          </reference>
        </references>
      </pivotArea>
    </format>
    <format dxfId="203">
      <pivotArea dataOnly="0" labelOnly="1" outline="0" fieldPosition="0">
        <references count="3">
          <reference field="2" count="1" selected="0">
            <x v="13"/>
          </reference>
          <reference field="34" count="1">
            <x v="3"/>
          </reference>
          <reference field="37" count="1" selected="0">
            <x v="10"/>
          </reference>
        </references>
      </pivotArea>
    </format>
    <format dxfId="202">
      <pivotArea dataOnly="0" labelOnly="1" outline="0" axis="axisValues" fieldPosition="0"/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field="2" type="button" dataOnly="0" labelOnly="1" outline="0" axis="axisRow" fieldPosition="0"/>
    </format>
    <format dxfId="198">
      <pivotArea field="37" type="button" dataOnly="0" labelOnly="1" outline="0" axis="axisRow" fieldPosition="1"/>
    </format>
    <format dxfId="197">
      <pivotArea field="34" type="button" dataOnly="0" labelOnly="1" outline="0" axis="axisRow" fieldPosition="2"/>
    </format>
    <format dxfId="196">
      <pivotArea dataOnly="0" labelOnly="1" outline="0" fieldPosition="0">
        <references count="1">
          <reference field="2" count="12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95">
      <pivotArea dataOnly="0" labelOnly="1" grandRow="1" outline="0" fieldPosition="0"/>
    </format>
    <format dxfId="194">
      <pivotArea dataOnly="0" labelOnly="1" outline="0" fieldPosition="0">
        <references count="2">
          <reference field="2" count="1" selected="0">
            <x v="2"/>
          </reference>
          <reference field="37" count="1">
            <x v="9"/>
          </reference>
        </references>
      </pivotArea>
    </format>
    <format dxfId="193">
      <pivotArea dataOnly="0" labelOnly="1" outline="0" fieldPosition="0">
        <references count="2">
          <reference field="2" count="1" selected="0">
            <x v="3"/>
          </reference>
          <reference field="37" count="1">
            <x v="12"/>
          </reference>
        </references>
      </pivotArea>
    </format>
    <format dxfId="192">
      <pivotArea dataOnly="0" labelOnly="1" outline="0" fieldPosition="0">
        <references count="2">
          <reference field="2" count="1" selected="0">
            <x v="4"/>
          </reference>
          <reference field="37" count="1">
            <x v="8"/>
          </reference>
        </references>
      </pivotArea>
    </format>
    <format dxfId="191">
      <pivotArea dataOnly="0" labelOnly="1" outline="0" fieldPosition="0">
        <references count="2">
          <reference field="2" count="1" selected="0">
            <x v="5"/>
          </reference>
          <reference field="37" count="1">
            <x v="4"/>
          </reference>
        </references>
      </pivotArea>
    </format>
    <format dxfId="190">
      <pivotArea dataOnly="0" labelOnly="1" outline="0" fieldPosition="0">
        <references count="2">
          <reference field="2" count="1" selected="0">
            <x v="6"/>
          </reference>
          <reference field="37" count="1">
            <x v="14"/>
          </reference>
        </references>
      </pivotArea>
    </format>
    <format dxfId="189">
      <pivotArea dataOnly="0" labelOnly="1" outline="0" fieldPosition="0">
        <references count="2">
          <reference field="2" count="1" selected="0">
            <x v="7"/>
          </reference>
          <reference field="37" count="1">
            <x v="2"/>
          </reference>
        </references>
      </pivotArea>
    </format>
    <format dxfId="188">
      <pivotArea dataOnly="0" labelOnly="1" outline="0" fieldPosition="0">
        <references count="2">
          <reference field="2" count="1" selected="0">
            <x v="8"/>
          </reference>
          <reference field="37" count="1">
            <x v="13"/>
          </reference>
        </references>
      </pivotArea>
    </format>
    <format dxfId="187">
      <pivotArea dataOnly="0" labelOnly="1" outline="0" fieldPosition="0">
        <references count="2">
          <reference field="2" count="1" selected="0">
            <x v="9"/>
          </reference>
          <reference field="37" count="1">
            <x v="5"/>
          </reference>
        </references>
      </pivotArea>
    </format>
    <format dxfId="186">
      <pivotArea dataOnly="0" labelOnly="1" outline="0" fieldPosition="0">
        <references count="2">
          <reference field="2" count="1" selected="0">
            <x v="10"/>
          </reference>
          <reference field="37" count="1">
            <x v="3"/>
          </reference>
        </references>
      </pivotArea>
    </format>
    <format dxfId="185">
      <pivotArea dataOnly="0" labelOnly="1" outline="0" fieldPosition="0">
        <references count="2">
          <reference field="2" count="1" selected="0">
            <x v="11"/>
          </reference>
          <reference field="37" count="1">
            <x v="7"/>
          </reference>
        </references>
      </pivotArea>
    </format>
    <format dxfId="184">
      <pivotArea dataOnly="0" labelOnly="1" outline="0" fieldPosition="0">
        <references count="2">
          <reference field="2" count="1" selected="0">
            <x v="12"/>
          </reference>
          <reference field="37" count="1">
            <x v="11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13"/>
          </reference>
          <reference field="37" count="1">
            <x v="10"/>
          </reference>
        </references>
      </pivotArea>
    </format>
    <format dxfId="182">
      <pivotArea dataOnly="0" labelOnly="1" outline="0" fieldPosition="0">
        <references count="3">
          <reference field="2" count="1" selected="0">
            <x v="2"/>
          </reference>
          <reference field="34" count="1">
            <x v="13"/>
          </reference>
          <reference field="37" count="1" selected="0">
            <x v="9"/>
          </reference>
        </references>
      </pivotArea>
    </format>
    <format dxfId="181">
      <pivotArea dataOnly="0" labelOnly="1" outline="0" fieldPosition="0">
        <references count="3">
          <reference field="2" count="1" selected="0">
            <x v="3"/>
          </reference>
          <reference field="34" count="1">
            <x v="2"/>
          </reference>
          <reference field="37" count="1" selected="0">
            <x v="12"/>
          </reference>
        </references>
      </pivotArea>
    </format>
    <format dxfId="180">
      <pivotArea dataOnly="0" labelOnly="1" outline="0" fieldPosition="0">
        <references count="3">
          <reference field="2" count="1" selected="0">
            <x v="4"/>
          </reference>
          <reference field="34" count="1">
            <x v="9"/>
          </reference>
          <reference field="37" count="1" selected="0">
            <x v="8"/>
          </reference>
        </references>
      </pivotArea>
    </format>
    <format dxfId="179">
      <pivotArea dataOnly="0" labelOnly="1" outline="0" fieldPosition="0">
        <references count="3">
          <reference field="2" count="1" selected="0">
            <x v="5"/>
          </reference>
          <reference field="34" count="1">
            <x v="8"/>
          </reference>
          <reference field="37" count="1" selected="0">
            <x v="4"/>
          </reference>
        </references>
      </pivotArea>
    </format>
    <format dxfId="178">
      <pivotArea dataOnly="0" labelOnly="1" outline="0" fieldPosition="0">
        <references count="3">
          <reference field="2" count="1" selected="0">
            <x v="6"/>
          </reference>
          <reference field="34" count="1">
            <x v="0"/>
          </reference>
          <reference field="37" count="1" selected="0">
            <x v="14"/>
          </reference>
        </references>
      </pivotArea>
    </format>
    <format dxfId="177">
      <pivotArea dataOnly="0" labelOnly="1" outline="0" fieldPosition="0">
        <references count="3">
          <reference field="2" count="1" selected="0">
            <x v="7"/>
          </reference>
          <reference field="34" count="1">
            <x v="1"/>
          </reference>
          <reference field="37" count="1" selected="0">
            <x v="2"/>
          </reference>
        </references>
      </pivotArea>
    </format>
    <format dxfId="176">
      <pivotArea dataOnly="0" labelOnly="1" outline="0" fieldPosition="0">
        <references count="3">
          <reference field="2" count="1" selected="0">
            <x v="8"/>
          </reference>
          <reference field="34" count="1">
            <x v="7"/>
          </reference>
          <reference field="37" count="1" selected="0">
            <x v="13"/>
          </reference>
        </references>
      </pivotArea>
    </format>
    <format dxfId="175">
      <pivotArea dataOnly="0" labelOnly="1" outline="0" fieldPosition="0">
        <references count="3">
          <reference field="2" count="1" selected="0">
            <x v="9"/>
          </reference>
          <reference field="34" count="1">
            <x v="4"/>
          </reference>
          <reference field="37" count="1" selected="0">
            <x v="5"/>
          </reference>
        </references>
      </pivotArea>
    </format>
    <format dxfId="174">
      <pivotArea dataOnly="0" labelOnly="1" outline="0" fieldPosition="0">
        <references count="3">
          <reference field="2" count="1" selected="0">
            <x v="10"/>
          </reference>
          <reference field="34" count="1">
            <x v="4"/>
          </reference>
          <reference field="37" count="1" selected="0">
            <x v="3"/>
          </reference>
        </references>
      </pivotArea>
    </format>
    <format dxfId="173">
      <pivotArea dataOnly="0" labelOnly="1" outline="0" fieldPosition="0">
        <references count="3">
          <reference field="2" count="1" selected="0">
            <x v="11"/>
          </reference>
          <reference field="34" count="1">
            <x v="5"/>
          </reference>
          <reference field="37" count="1" selected="0">
            <x v="7"/>
          </reference>
        </references>
      </pivotArea>
    </format>
    <format dxfId="172">
      <pivotArea dataOnly="0" labelOnly="1" outline="0" fieldPosition="0">
        <references count="3">
          <reference field="2" count="1" selected="0">
            <x v="12"/>
          </reference>
          <reference field="34" count="1">
            <x v="6"/>
          </reference>
          <reference field="37" count="1" selected="0">
            <x v="11"/>
          </reference>
        </references>
      </pivotArea>
    </format>
    <format dxfId="171">
      <pivotArea dataOnly="0" labelOnly="1" outline="0" fieldPosition="0">
        <references count="3">
          <reference field="2" count="1" selected="0">
            <x v="13"/>
          </reference>
          <reference field="34" count="1">
            <x v="3"/>
          </reference>
          <reference field="37" count="1" selected="0">
            <x v="10"/>
          </reference>
        </references>
      </pivotArea>
    </format>
    <format dxfId="170">
      <pivotArea dataOnly="0" labelOnly="1" outline="0" axis="axisValues" fieldPosition="0"/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field="2" type="button" dataOnly="0" labelOnly="1" outline="0" axis="axisRow" fieldPosition="0"/>
    </format>
    <format dxfId="166">
      <pivotArea field="37" type="button" dataOnly="0" labelOnly="1" outline="0" axis="axisRow" fieldPosition="1"/>
    </format>
    <format dxfId="165">
      <pivotArea field="34" type="button" dataOnly="0" labelOnly="1" outline="0" axis="axisRow" fieldPosition="2"/>
    </format>
    <format dxfId="164">
      <pivotArea dataOnly="0" labelOnly="1" outline="0" fieldPosition="0">
        <references count="1">
          <reference field="2" count="12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63">
      <pivotArea dataOnly="0" labelOnly="1" grandRow="1" outline="0" fieldPosition="0"/>
    </format>
    <format dxfId="162">
      <pivotArea dataOnly="0" labelOnly="1" outline="0" fieldPosition="0">
        <references count="2">
          <reference field="2" count="1" selected="0">
            <x v="2"/>
          </reference>
          <reference field="37" count="1">
            <x v="9"/>
          </reference>
        </references>
      </pivotArea>
    </format>
    <format dxfId="161">
      <pivotArea dataOnly="0" labelOnly="1" outline="0" fieldPosition="0">
        <references count="2">
          <reference field="2" count="1" selected="0">
            <x v="3"/>
          </reference>
          <reference field="37" count="1">
            <x v="12"/>
          </reference>
        </references>
      </pivotArea>
    </format>
    <format dxfId="160">
      <pivotArea dataOnly="0" labelOnly="1" outline="0" fieldPosition="0">
        <references count="2">
          <reference field="2" count="1" selected="0">
            <x v="4"/>
          </reference>
          <reference field="37" count="1">
            <x v="8"/>
          </reference>
        </references>
      </pivotArea>
    </format>
    <format dxfId="159">
      <pivotArea dataOnly="0" labelOnly="1" outline="0" fieldPosition="0">
        <references count="2">
          <reference field="2" count="1" selected="0">
            <x v="5"/>
          </reference>
          <reference field="37" count="1">
            <x v="4"/>
          </reference>
        </references>
      </pivotArea>
    </format>
    <format dxfId="158">
      <pivotArea dataOnly="0" labelOnly="1" outline="0" fieldPosition="0">
        <references count="2">
          <reference field="2" count="1" selected="0">
            <x v="6"/>
          </reference>
          <reference field="37" count="1">
            <x v="14"/>
          </reference>
        </references>
      </pivotArea>
    </format>
    <format dxfId="157">
      <pivotArea dataOnly="0" labelOnly="1" outline="0" fieldPosition="0">
        <references count="2">
          <reference field="2" count="1" selected="0">
            <x v="7"/>
          </reference>
          <reference field="37" count="1">
            <x v="2"/>
          </reference>
        </references>
      </pivotArea>
    </format>
    <format dxfId="156">
      <pivotArea dataOnly="0" labelOnly="1" outline="0" fieldPosition="0">
        <references count="2">
          <reference field="2" count="1" selected="0">
            <x v="8"/>
          </reference>
          <reference field="37" count="1">
            <x v="13"/>
          </reference>
        </references>
      </pivotArea>
    </format>
    <format dxfId="155">
      <pivotArea dataOnly="0" labelOnly="1" outline="0" fieldPosition="0">
        <references count="2">
          <reference field="2" count="1" selected="0">
            <x v="9"/>
          </reference>
          <reference field="37" count="1">
            <x v="5"/>
          </reference>
        </references>
      </pivotArea>
    </format>
    <format dxfId="154">
      <pivotArea dataOnly="0" labelOnly="1" outline="0" fieldPosition="0">
        <references count="2">
          <reference field="2" count="1" selected="0">
            <x v="10"/>
          </reference>
          <reference field="37" count="1">
            <x v="3"/>
          </reference>
        </references>
      </pivotArea>
    </format>
    <format dxfId="153">
      <pivotArea dataOnly="0" labelOnly="1" outline="0" fieldPosition="0">
        <references count="2">
          <reference field="2" count="1" selected="0">
            <x v="11"/>
          </reference>
          <reference field="37" count="1">
            <x v="7"/>
          </reference>
        </references>
      </pivotArea>
    </format>
    <format dxfId="152">
      <pivotArea dataOnly="0" labelOnly="1" outline="0" fieldPosition="0">
        <references count="2">
          <reference field="2" count="1" selected="0">
            <x v="12"/>
          </reference>
          <reference field="37" count="1">
            <x v="11"/>
          </reference>
        </references>
      </pivotArea>
    </format>
    <format dxfId="151">
      <pivotArea dataOnly="0" labelOnly="1" outline="0" fieldPosition="0">
        <references count="2">
          <reference field="2" count="1" selected="0">
            <x v="13"/>
          </reference>
          <reference field="37" count="1">
            <x v="10"/>
          </reference>
        </references>
      </pivotArea>
    </format>
    <format dxfId="150">
      <pivotArea dataOnly="0" labelOnly="1" outline="0" fieldPosition="0">
        <references count="3">
          <reference field="2" count="1" selected="0">
            <x v="2"/>
          </reference>
          <reference field="34" count="1">
            <x v="13"/>
          </reference>
          <reference field="37" count="1" selected="0">
            <x v="9"/>
          </reference>
        </references>
      </pivotArea>
    </format>
    <format dxfId="149">
      <pivotArea dataOnly="0" labelOnly="1" outline="0" fieldPosition="0">
        <references count="3">
          <reference field="2" count="1" selected="0">
            <x v="3"/>
          </reference>
          <reference field="34" count="1">
            <x v="2"/>
          </reference>
          <reference field="37" count="1" selected="0">
            <x v="12"/>
          </reference>
        </references>
      </pivotArea>
    </format>
    <format dxfId="148">
      <pivotArea dataOnly="0" labelOnly="1" outline="0" fieldPosition="0">
        <references count="3">
          <reference field="2" count="1" selected="0">
            <x v="4"/>
          </reference>
          <reference field="34" count="1">
            <x v="9"/>
          </reference>
          <reference field="37" count="1" selected="0">
            <x v="8"/>
          </reference>
        </references>
      </pivotArea>
    </format>
    <format dxfId="147">
      <pivotArea dataOnly="0" labelOnly="1" outline="0" fieldPosition="0">
        <references count="3">
          <reference field="2" count="1" selected="0">
            <x v="5"/>
          </reference>
          <reference field="34" count="1">
            <x v="8"/>
          </reference>
          <reference field="37" count="1" selected="0">
            <x v="4"/>
          </reference>
        </references>
      </pivotArea>
    </format>
    <format dxfId="146">
      <pivotArea dataOnly="0" labelOnly="1" outline="0" fieldPosition="0">
        <references count="3">
          <reference field="2" count="1" selected="0">
            <x v="6"/>
          </reference>
          <reference field="34" count="1">
            <x v="0"/>
          </reference>
          <reference field="37" count="1" selected="0">
            <x v="14"/>
          </reference>
        </references>
      </pivotArea>
    </format>
    <format dxfId="145">
      <pivotArea dataOnly="0" labelOnly="1" outline="0" fieldPosition="0">
        <references count="3">
          <reference field="2" count="1" selected="0">
            <x v="7"/>
          </reference>
          <reference field="34" count="1">
            <x v="1"/>
          </reference>
          <reference field="37" count="1" selected="0">
            <x v="2"/>
          </reference>
        </references>
      </pivotArea>
    </format>
    <format dxfId="144">
      <pivotArea dataOnly="0" labelOnly="1" outline="0" fieldPosition="0">
        <references count="3">
          <reference field="2" count="1" selected="0">
            <x v="8"/>
          </reference>
          <reference field="34" count="1">
            <x v="7"/>
          </reference>
          <reference field="37" count="1" selected="0">
            <x v="13"/>
          </reference>
        </references>
      </pivotArea>
    </format>
    <format dxfId="143">
      <pivotArea dataOnly="0" labelOnly="1" outline="0" fieldPosition="0">
        <references count="3">
          <reference field="2" count="1" selected="0">
            <x v="9"/>
          </reference>
          <reference field="34" count="1">
            <x v="4"/>
          </reference>
          <reference field="37" count="1" selected="0">
            <x v="5"/>
          </reference>
        </references>
      </pivotArea>
    </format>
    <format dxfId="142">
      <pivotArea dataOnly="0" labelOnly="1" outline="0" fieldPosition="0">
        <references count="3">
          <reference field="2" count="1" selected="0">
            <x v="10"/>
          </reference>
          <reference field="34" count="1">
            <x v="4"/>
          </reference>
          <reference field="37" count="1" selected="0">
            <x v="3"/>
          </reference>
        </references>
      </pivotArea>
    </format>
    <format dxfId="141">
      <pivotArea dataOnly="0" labelOnly="1" outline="0" fieldPosition="0">
        <references count="3">
          <reference field="2" count="1" selected="0">
            <x v="11"/>
          </reference>
          <reference field="34" count="1">
            <x v="5"/>
          </reference>
          <reference field="37" count="1" selected="0">
            <x v="7"/>
          </reference>
        </references>
      </pivotArea>
    </format>
    <format dxfId="140">
      <pivotArea dataOnly="0" labelOnly="1" outline="0" fieldPosition="0">
        <references count="3">
          <reference field="2" count="1" selected="0">
            <x v="12"/>
          </reference>
          <reference field="34" count="1">
            <x v="6"/>
          </reference>
          <reference field="37" count="1" selected="0">
            <x v="11"/>
          </reference>
        </references>
      </pivotArea>
    </format>
    <format dxfId="139">
      <pivotArea dataOnly="0" labelOnly="1" outline="0" fieldPosition="0">
        <references count="3">
          <reference field="2" count="1" selected="0">
            <x v="13"/>
          </reference>
          <reference field="34" count="1">
            <x v="3"/>
          </reference>
          <reference field="37" count="1" selected="0">
            <x v="10"/>
          </reference>
        </references>
      </pivotArea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2" type="button" dataOnly="0" labelOnly="1" outline="0" axis="axisRow" fieldPosition="0"/>
    </format>
    <format dxfId="134">
      <pivotArea field="37" type="button" dataOnly="0" labelOnly="1" outline="0" axis="axisRow" fieldPosition="1"/>
    </format>
    <format dxfId="133">
      <pivotArea field="34" type="button" dataOnly="0" labelOnly="1" outline="0" axis="axisRow" fieldPosition="2"/>
    </format>
    <format dxfId="132">
      <pivotArea dataOnly="0" labelOnly="1" outline="0" fieldPosition="0">
        <references count="1">
          <reference field="2" count="12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31">
      <pivotArea dataOnly="0" labelOnly="1" grandRow="1" outline="0" fieldPosition="0"/>
    </format>
    <format dxfId="130">
      <pivotArea dataOnly="0" labelOnly="1" outline="0" fieldPosition="0">
        <references count="2">
          <reference field="2" count="1" selected="0">
            <x v="2"/>
          </reference>
          <reference field="37" count="1">
            <x v="9"/>
          </reference>
        </references>
      </pivotArea>
    </format>
    <format dxfId="129">
      <pivotArea dataOnly="0" labelOnly="1" outline="0" fieldPosition="0">
        <references count="2">
          <reference field="2" count="1" selected="0">
            <x v="3"/>
          </reference>
          <reference field="37" count="1">
            <x v="12"/>
          </reference>
        </references>
      </pivotArea>
    </format>
    <format dxfId="128">
      <pivotArea dataOnly="0" labelOnly="1" outline="0" fieldPosition="0">
        <references count="2">
          <reference field="2" count="1" selected="0">
            <x v="4"/>
          </reference>
          <reference field="37" count="1">
            <x v="8"/>
          </reference>
        </references>
      </pivotArea>
    </format>
    <format dxfId="127">
      <pivotArea dataOnly="0" labelOnly="1" outline="0" fieldPosition="0">
        <references count="2">
          <reference field="2" count="1" selected="0">
            <x v="5"/>
          </reference>
          <reference field="37" count="1">
            <x v="4"/>
          </reference>
        </references>
      </pivotArea>
    </format>
    <format dxfId="126">
      <pivotArea dataOnly="0" labelOnly="1" outline="0" fieldPosition="0">
        <references count="2">
          <reference field="2" count="1" selected="0">
            <x v="6"/>
          </reference>
          <reference field="37" count="1">
            <x v="14"/>
          </reference>
        </references>
      </pivotArea>
    </format>
    <format dxfId="125">
      <pivotArea dataOnly="0" labelOnly="1" outline="0" fieldPosition="0">
        <references count="2">
          <reference field="2" count="1" selected="0">
            <x v="7"/>
          </reference>
          <reference field="37" count="1">
            <x v="2"/>
          </reference>
        </references>
      </pivotArea>
    </format>
    <format dxfId="124">
      <pivotArea dataOnly="0" labelOnly="1" outline="0" fieldPosition="0">
        <references count="2">
          <reference field="2" count="1" selected="0">
            <x v="8"/>
          </reference>
          <reference field="37" count="1">
            <x v="13"/>
          </reference>
        </references>
      </pivotArea>
    </format>
    <format dxfId="123">
      <pivotArea dataOnly="0" labelOnly="1" outline="0" fieldPosition="0">
        <references count="2">
          <reference field="2" count="1" selected="0">
            <x v="9"/>
          </reference>
          <reference field="37" count="1">
            <x v="5"/>
          </reference>
        </references>
      </pivotArea>
    </format>
    <format dxfId="122">
      <pivotArea dataOnly="0" labelOnly="1" outline="0" fieldPosition="0">
        <references count="2">
          <reference field="2" count="1" selected="0">
            <x v="10"/>
          </reference>
          <reference field="37" count="1">
            <x v="3"/>
          </reference>
        </references>
      </pivotArea>
    </format>
    <format dxfId="121">
      <pivotArea dataOnly="0" labelOnly="1" outline="0" fieldPosition="0">
        <references count="2">
          <reference field="2" count="1" selected="0">
            <x v="11"/>
          </reference>
          <reference field="37" count="1">
            <x v="7"/>
          </reference>
        </references>
      </pivotArea>
    </format>
    <format dxfId="120">
      <pivotArea dataOnly="0" labelOnly="1" outline="0" fieldPosition="0">
        <references count="2">
          <reference field="2" count="1" selected="0">
            <x v="12"/>
          </reference>
          <reference field="37" count="1">
            <x v="11"/>
          </reference>
        </references>
      </pivotArea>
    </format>
    <format dxfId="119">
      <pivotArea dataOnly="0" labelOnly="1" outline="0" fieldPosition="0">
        <references count="2">
          <reference field="2" count="1" selected="0">
            <x v="13"/>
          </reference>
          <reference field="37" count="1">
            <x v="10"/>
          </reference>
        </references>
      </pivotArea>
    </format>
    <format dxfId="118">
      <pivotArea dataOnly="0" labelOnly="1" outline="0" fieldPosition="0">
        <references count="3">
          <reference field="2" count="1" selected="0">
            <x v="2"/>
          </reference>
          <reference field="34" count="1">
            <x v="13"/>
          </reference>
          <reference field="37" count="1" selected="0">
            <x v="9"/>
          </reference>
        </references>
      </pivotArea>
    </format>
    <format dxfId="117">
      <pivotArea dataOnly="0" labelOnly="1" outline="0" fieldPosition="0">
        <references count="3">
          <reference field="2" count="1" selected="0">
            <x v="3"/>
          </reference>
          <reference field="34" count="1">
            <x v="2"/>
          </reference>
          <reference field="37" count="1" selected="0">
            <x v="12"/>
          </reference>
        </references>
      </pivotArea>
    </format>
    <format dxfId="116">
      <pivotArea dataOnly="0" labelOnly="1" outline="0" fieldPosition="0">
        <references count="3">
          <reference field="2" count="1" selected="0">
            <x v="4"/>
          </reference>
          <reference field="34" count="1">
            <x v="9"/>
          </reference>
          <reference field="37" count="1" selected="0">
            <x v="8"/>
          </reference>
        </references>
      </pivotArea>
    </format>
    <format dxfId="115">
      <pivotArea dataOnly="0" labelOnly="1" outline="0" fieldPosition="0">
        <references count="3">
          <reference field="2" count="1" selected="0">
            <x v="5"/>
          </reference>
          <reference field="34" count="1">
            <x v="8"/>
          </reference>
          <reference field="37" count="1" selected="0">
            <x v="4"/>
          </reference>
        </references>
      </pivotArea>
    </format>
    <format dxfId="114">
      <pivotArea dataOnly="0" labelOnly="1" outline="0" fieldPosition="0">
        <references count="3">
          <reference field="2" count="1" selected="0">
            <x v="6"/>
          </reference>
          <reference field="34" count="1">
            <x v="0"/>
          </reference>
          <reference field="37" count="1" selected="0">
            <x v="14"/>
          </reference>
        </references>
      </pivotArea>
    </format>
    <format dxfId="113">
      <pivotArea dataOnly="0" labelOnly="1" outline="0" fieldPosition="0">
        <references count="3">
          <reference field="2" count="1" selected="0">
            <x v="7"/>
          </reference>
          <reference field="34" count="1">
            <x v="1"/>
          </reference>
          <reference field="37" count="1" selected="0">
            <x v="2"/>
          </reference>
        </references>
      </pivotArea>
    </format>
    <format dxfId="112">
      <pivotArea dataOnly="0" labelOnly="1" outline="0" fieldPosition="0">
        <references count="3">
          <reference field="2" count="1" selected="0">
            <x v="8"/>
          </reference>
          <reference field="34" count="1">
            <x v="7"/>
          </reference>
          <reference field="37" count="1" selected="0">
            <x v="13"/>
          </reference>
        </references>
      </pivotArea>
    </format>
    <format dxfId="111">
      <pivotArea dataOnly="0" labelOnly="1" outline="0" fieldPosition="0">
        <references count="3">
          <reference field="2" count="1" selected="0">
            <x v="9"/>
          </reference>
          <reference field="34" count="1">
            <x v="4"/>
          </reference>
          <reference field="37" count="1" selected="0">
            <x v="5"/>
          </reference>
        </references>
      </pivotArea>
    </format>
    <format dxfId="110">
      <pivotArea dataOnly="0" labelOnly="1" outline="0" fieldPosition="0">
        <references count="3">
          <reference field="2" count="1" selected="0">
            <x v="10"/>
          </reference>
          <reference field="34" count="1">
            <x v="4"/>
          </reference>
          <reference field="37" count="1" selected="0">
            <x v="3"/>
          </reference>
        </references>
      </pivotArea>
    </format>
    <format dxfId="109">
      <pivotArea dataOnly="0" labelOnly="1" outline="0" fieldPosition="0">
        <references count="3">
          <reference field="2" count="1" selected="0">
            <x v="11"/>
          </reference>
          <reference field="34" count="1">
            <x v="5"/>
          </reference>
          <reference field="37" count="1" selected="0">
            <x v="7"/>
          </reference>
        </references>
      </pivotArea>
    </format>
    <format dxfId="108">
      <pivotArea dataOnly="0" labelOnly="1" outline="0" fieldPosition="0">
        <references count="3">
          <reference field="2" count="1" selected="0">
            <x v="12"/>
          </reference>
          <reference field="34" count="1">
            <x v="6"/>
          </reference>
          <reference field="37" count="1" selected="0">
            <x v="11"/>
          </reference>
        </references>
      </pivotArea>
    </format>
    <format dxfId="107">
      <pivotArea dataOnly="0" labelOnly="1" outline="0" fieldPosition="0">
        <references count="3">
          <reference field="2" count="1" selected="0">
            <x v="13"/>
          </reference>
          <reference field="34" count="1">
            <x v="3"/>
          </reference>
          <reference field="37" count="1" selected="0">
            <x v="10"/>
          </reference>
        </references>
      </pivotArea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2" type="button" dataOnly="0" labelOnly="1" outline="0" axis="axisRow" fieldPosition="0"/>
    </format>
    <format dxfId="102">
      <pivotArea field="37" type="button" dataOnly="0" labelOnly="1" outline="0" axis="axisRow" fieldPosition="1"/>
    </format>
    <format dxfId="101">
      <pivotArea field="34" type="button" dataOnly="0" labelOnly="1" outline="0" axis="axisRow" fieldPosition="2"/>
    </format>
    <format dxfId="100">
      <pivotArea dataOnly="0" labelOnly="1" outline="0" fieldPosition="0">
        <references count="1">
          <reference field="2" count="12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99">
      <pivotArea dataOnly="0" labelOnly="1" grandRow="1" outline="0" fieldPosition="0"/>
    </format>
    <format dxfId="98">
      <pivotArea dataOnly="0" labelOnly="1" outline="0" fieldPosition="0">
        <references count="2">
          <reference field="2" count="1" selected="0">
            <x v="2"/>
          </reference>
          <reference field="37" count="1">
            <x v="9"/>
          </reference>
        </references>
      </pivotArea>
    </format>
    <format dxfId="97">
      <pivotArea dataOnly="0" labelOnly="1" outline="0" fieldPosition="0">
        <references count="2">
          <reference field="2" count="1" selected="0">
            <x v="3"/>
          </reference>
          <reference field="37" count="1">
            <x v="12"/>
          </reference>
        </references>
      </pivotArea>
    </format>
    <format dxfId="96">
      <pivotArea dataOnly="0" labelOnly="1" outline="0" fieldPosition="0">
        <references count="2">
          <reference field="2" count="1" selected="0">
            <x v="4"/>
          </reference>
          <reference field="37" count="1">
            <x v="8"/>
          </reference>
        </references>
      </pivotArea>
    </format>
    <format dxfId="95">
      <pivotArea dataOnly="0" labelOnly="1" outline="0" fieldPosition="0">
        <references count="2">
          <reference field="2" count="1" selected="0">
            <x v="5"/>
          </reference>
          <reference field="37" count="1">
            <x v="4"/>
          </reference>
        </references>
      </pivotArea>
    </format>
    <format dxfId="94">
      <pivotArea dataOnly="0" labelOnly="1" outline="0" fieldPosition="0">
        <references count="2">
          <reference field="2" count="1" selected="0">
            <x v="6"/>
          </reference>
          <reference field="37" count="1">
            <x v="14"/>
          </reference>
        </references>
      </pivotArea>
    </format>
    <format dxfId="93">
      <pivotArea dataOnly="0" labelOnly="1" outline="0" fieldPosition="0">
        <references count="2">
          <reference field="2" count="1" selected="0">
            <x v="7"/>
          </reference>
          <reference field="37" count="1">
            <x v="2"/>
          </reference>
        </references>
      </pivotArea>
    </format>
    <format dxfId="92">
      <pivotArea dataOnly="0" labelOnly="1" outline="0" fieldPosition="0">
        <references count="2">
          <reference field="2" count="1" selected="0">
            <x v="8"/>
          </reference>
          <reference field="37" count="1">
            <x v="13"/>
          </reference>
        </references>
      </pivotArea>
    </format>
    <format dxfId="91">
      <pivotArea dataOnly="0" labelOnly="1" outline="0" fieldPosition="0">
        <references count="2">
          <reference field="2" count="1" selected="0">
            <x v="9"/>
          </reference>
          <reference field="37" count="1">
            <x v="5"/>
          </reference>
        </references>
      </pivotArea>
    </format>
    <format dxfId="90">
      <pivotArea dataOnly="0" labelOnly="1" outline="0" fieldPosition="0">
        <references count="2">
          <reference field="2" count="1" selected="0">
            <x v="10"/>
          </reference>
          <reference field="37" count="1">
            <x v="3"/>
          </reference>
        </references>
      </pivotArea>
    </format>
    <format dxfId="89">
      <pivotArea dataOnly="0" labelOnly="1" outline="0" fieldPosition="0">
        <references count="2">
          <reference field="2" count="1" selected="0">
            <x v="11"/>
          </reference>
          <reference field="37" count="1">
            <x v="7"/>
          </reference>
        </references>
      </pivotArea>
    </format>
    <format dxfId="88">
      <pivotArea dataOnly="0" labelOnly="1" outline="0" fieldPosition="0">
        <references count="2">
          <reference field="2" count="1" selected="0">
            <x v="12"/>
          </reference>
          <reference field="37" count="1">
            <x v="11"/>
          </reference>
        </references>
      </pivotArea>
    </format>
    <format dxfId="87">
      <pivotArea dataOnly="0" labelOnly="1" outline="0" fieldPosition="0">
        <references count="2">
          <reference field="2" count="1" selected="0">
            <x v="13"/>
          </reference>
          <reference field="37" count="1">
            <x v="10"/>
          </reference>
        </references>
      </pivotArea>
    </format>
    <format dxfId="86">
      <pivotArea dataOnly="0" labelOnly="1" outline="0" fieldPosition="0">
        <references count="3">
          <reference field="2" count="1" selected="0">
            <x v="2"/>
          </reference>
          <reference field="34" count="1">
            <x v="13"/>
          </reference>
          <reference field="37" count="1" selected="0">
            <x v="9"/>
          </reference>
        </references>
      </pivotArea>
    </format>
    <format dxfId="85">
      <pivotArea dataOnly="0" labelOnly="1" outline="0" fieldPosition="0">
        <references count="3">
          <reference field="2" count="1" selected="0">
            <x v="3"/>
          </reference>
          <reference field="34" count="1">
            <x v="2"/>
          </reference>
          <reference field="37" count="1" selected="0">
            <x v="12"/>
          </reference>
        </references>
      </pivotArea>
    </format>
    <format dxfId="84">
      <pivotArea dataOnly="0" labelOnly="1" outline="0" fieldPosition="0">
        <references count="3">
          <reference field="2" count="1" selected="0">
            <x v="4"/>
          </reference>
          <reference field="34" count="1">
            <x v="9"/>
          </reference>
          <reference field="37" count="1" selected="0">
            <x v="8"/>
          </reference>
        </references>
      </pivotArea>
    </format>
    <format dxfId="83">
      <pivotArea dataOnly="0" labelOnly="1" outline="0" fieldPosition="0">
        <references count="3">
          <reference field="2" count="1" selected="0">
            <x v="5"/>
          </reference>
          <reference field="34" count="1">
            <x v="8"/>
          </reference>
          <reference field="37" count="1" selected="0">
            <x v="4"/>
          </reference>
        </references>
      </pivotArea>
    </format>
    <format dxfId="82">
      <pivotArea dataOnly="0" labelOnly="1" outline="0" fieldPosition="0">
        <references count="3">
          <reference field="2" count="1" selected="0">
            <x v="6"/>
          </reference>
          <reference field="34" count="1">
            <x v="0"/>
          </reference>
          <reference field="37" count="1" selected="0">
            <x v="14"/>
          </reference>
        </references>
      </pivotArea>
    </format>
    <format dxfId="81">
      <pivotArea dataOnly="0" labelOnly="1" outline="0" fieldPosition="0">
        <references count="3">
          <reference field="2" count="1" selected="0">
            <x v="7"/>
          </reference>
          <reference field="34" count="1">
            <x v="1"/>
          </reference>
          <reference field="37" count="1" selected="0">
            <x v="2"/>
          </reference>
        </references>
      </pivotArea>
    </format>
    <format dxfId="80">
      <pivotArea dataOnly="0" labelOnly="1" outline="0" fieldPosition="0">
        <references count="3">
          <reference field="2" count="1" selected="0">
            <x v="8"/>
          </reference>
          <reference field="34" count="1">
            <x v="7"/>
          </reference>
          <reference field="37" count="1" selected="0">
            <x v="13"/>
          </reference>
        </references>
      </pivotArea>
    </format>
    <format dxfId="79">
      <pivotArea dataOnly="0" labelOnly="1" outline="0" fieldPosition="0">
        <references count="3">
          <reference field="2" count="1" selected="0">
            <x v="9"/>
          </reference>
          <reference field="34" count="1">
            <x v="4"/>
          </reference>
          <reference field="37" count="1" selected="0">
            <x v="5"/>
          </reference>
        </references>
      </pivotArea>
    </format>
    <format dxfId="78">
      <pivotArea dataOnly="0" labelOnly="1" outline="0" fieldPosition="0">
        <references count="3">
          <reference field="2" count="1" selected="0">
            <x v="10"/>
          </reference>
          <reference field="34" count="1">
            <x v="4"/>
          </reference>
          <reference field="37" count="1" selected="0">
            <x v="3"/>
          </reference>
        </references>
      </pivotArea>
    </format>
    <format dxfId="77">
      <pivotArea dataOnly="0" labelOnly="1" outline="0" fieldPosition="0">
        <references count="3">
          <reference field="2" count="1" selected="0">
            <x v="11"/>
          </reference>
          <reference field="34" count="1">
            <x v="5"/>
          </reference>
          <reference field="37" count="1" selected="0">
            <x v="7"/>
          </reference>
        </references>
      </pivotArea>
    </format>
    <format dxfId="76">
      <pivotArea dataOnly="0" labelOnly="1" outline="0" fieldPosition="0">
        <references count="3">
          <reference field="2" count="1" selected="0">
            <x v="12"/>
          </reference>
          <reference field="34" count="1">
            <x v="6"/>
          </reference>
          <reference field="37" count="1" selected="0">
            <x v="11"/>
          </reference>
        </references>
      </pivotArea>
    </format>
    <format dxfId="75">
      <pivotArea dataOnly="0" labelOnly="1" outline="0" fieldPosition="0">
        <references count="3">
          <reference field="2" count="1" selected="0">
            <x v="13"/>
          </reference>
          <reference field="34" count="1">
            <x v="3"/>
          </reference>
          <reference field="37" count="1" selected="0">
            <x v="10"/>
          </reference>
        </references>
      </pivotArea>
    </format>
    <format dxfId="74">
      <pivotArea dataOnly="0" labelOnly="1" outline="0" axis="axisValues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2" type="button" dataOnly="0" labelOnly="1" outline="0" axis="axisRow" fieldPosition="0"/>
    </format>
    <format dxfId="70">
      <pivotArea field="37" type="button" dataOnly="0" labelOnly="1" outline="0" axis="axisRow" fieldPosition="1"/>
    </format>
    <format dxfId="69">
      <pivotArea field="34" type="button" dataOnly="0" labelOnly="1" outline="0" axis="axisRow" fieldPosition="2"/>
    </format>
    <format dxfId="68">
      <pivotArea dataOnly="0" labelOnly="1" outline="0" fieldPosition="0">
        <references count="1">
          <reference field="2" count="9">
            <x v="36"/>
            <x v="39"/>
            <x v="40"/>
            <x v="41"/>
            <x v="42"/>
            <x v="43"/>
            <x v="44"/>
            <x v="45"/>
            <x v="46"/>
          </reference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2">
          <reference field="2" count="1" selected="0">
            <x v="36"/>
          </reference>
          <reference field="37" count="1">
            <x v="33"/>
          </reference>
        </references>
      </pivotArea>
    </format>
    <format dxfId="65">
      <pivotArea dataOnly="0" labelOnly="1" outline="0" fieldPosition="0">
        <references count="2">
          <reference field="2" count="1" selected="0">
            <x v="39"/>
          </reference>
          <reference field="37" count="1">
            <x v="36"/>
          </reference>
        </references>
      </pivotArea>
    </format>
    <format dxfId="64">
      <pivotArea dataOnly="0" labelOnly="1" outline="0" fieldPosition="0">
        <references count="2">
          <reference field="2" count="1" selected="0">
            <x v="40"/>
          </reference>
          <reference field="37" count="1">
            <x v="37"/>
          </reference>
        </references>
      </pivotArea>
    </format>
    <format dxfId="63">
      <pivotArea dataOnly="0" labelOnly="1" outline="0" fieldPosition="0">
        <references count="2">
          <reference field="2" count="1" selected="0">
            <x v="41"/>
          </reference>
          <reference field="37" count="1">
            <x v="38"/>
          </reference>
        </references>
      </pivotArea>
    </format>
    <format dxfId="62">
      <pivotArea dataOnly="0" labelOnly="1" outline="0" fieldPosition="0">
        <references count="2">
          <reference field="2" count="1" selected="0">
            <x v="42"/>
          </reference>
          <reference field="37" count="1">
            <x v="39"/>
          </reference>
        </references>
      </pivotArea>
    </format>
    <format dxfId="61">
      <pivotArea dataOnly="0" labelOnly="1" outline="0" fieldPosition="0">
        <references count="2">
          <reference field="2" count="1" selected="0">
            <x v="43"/>
          </reference>
          <reference field="37" count="1">
            <x v="40"/>
          </reference>
        </references>
      </pivotArea>
    </format>
    <format dxfId="60">
      <pivotArea dataOnly="0" labelOnly="1" outline="0" fieldPosition="0">
        <references count="2">
          <reference field="2" count="1" selected="0">
            <x v="44"/>
          </reference>
          <reference field="37" count="1">
            <x v="41"/>
          </reference>
        </references>
      </pivotArea>
    </format>
    <format dxfId="59">
      <pivotArea dataOnly="0" labelOnly="1" outline="0" fieldPosition="0">
        <references count="2">
          <reference field="2" count="1" selected="0">
            <x v="45"/>
          </reference>
          <reference field="37" count="1">
            <x v="42"/>
          </reference>
        </references>
      </pivotArea>
    </format>
    <format dxfId="58">
      <pivotArea dataOnly="0" labelOnly="1" outline="0" fieldPosition="0">
        <references count="2">
          <reference field="2" count="1" selected="0">
            <x v="46"/>
          </reference>
          <reference field="37" count="1">
            <x v="43"/>
          </reference>
        </references>
      </pivotArea>
    </format>
    <format dxfId="57">
      <pivotArea dataOnly="0" labelOnly="1" outline="0" fieldPosition="0">
        <references count="3">
          <reference field="2" count="1" selected="0">
            <x v="36"/>
          </reference>
          <reference field="34" count="1">
            <x v="35"/>
          </reference>
          <reference field="37" count="1" selected="0">
            <x v="33"/>
          </reference>
        </references>
      </pivotArea>
    </format>
    <format dxfId="56">
      <pivotArea dataOnly="0" labelOnly="1" outline="0" fieldPosition="0">
        <references count="3">
          <reference field="2" count="1" selected="0">
            <x v="39"/>
          </reference>
          <reference field="34" count="1">
            <x v="38"/>
          </reference>
          <reference field="37" count="1" selected="0">
            <x v="36"/>
          </reference>
        </references>
      </pivotArea>
    </format>
    <format dxfId="55">
      <pivotArea dataOnly="0" labelOnly="1" outline="0" fieldPosition="0">
        <references count="3">
          <reference field="2" count="1" selected="0">
            <x v="40"/>
          </reference>
          <reference field="34" count="1">
            <x v="39"/>
          </reference>
          <reference field="37" count="1" selected="0">
            <x v="37"/>
          </reference>
        </references>
      </pivotArea>
    </format>
    <format dxfId="54">
      <pivotArea dataOnly="0" labelOnly="1" outline="0" fieldPosition="0">
        <references count="3">
          <reference field="2" count="1" selected="0">
            <x v="41"/>
          </reference>
          <reference field="34" count="1">
            <x v="40"/>
          </reference>
          <reference field="37" count="1" selected="0">
            <x v="38"/>
          </reference>
        </references>
      </pivotArea>
    </format>
    <format dxfId="53">
      <pivotArea dataOnly="0" labelOnly="1" outline="0" fieldPosition="0">
        <references count="3">
          <reference field="2" count="1" selected="0">
            <x v="42"/>
          </reference>
          <reference field="34" count="1">
            <x v="41"/>
          </reference>
          <reference field="37" count="1" selected="0">
            <x v="39"/>
          </reference>
        </references>
      </pivotArea>
    </format>
    <format dxfId="52">
      <pivotArea dataOnly="0" labelOnly="1" outline="0" fieldPosition="0">
        <references count="3">
          <reference field="2" count="1" selected="0">
            <x v="43"/>
          </reference>
          <reference field="34" count="1">
            <x v="42"/>
          </reference>
          <reference field="37" count="1" selected="0">
            <x v="40"/>
          </reference>
        </references>
      </pivotArea>
    </format>
    <format dxfId="51">
      <pivotArea dataOnly="0" labelOnly="1" outline="0" fieldPosition="0">
        <references count="3">
          <reference field="2" count="1" selected="0">
            <x v="44"/>
          </reference>
          <reference field="34" count="1">
            <x v="43"/>
          </reference>
          <reference field="37" count="1" selected="0">
            <x v="41"/>
          </reference>
        </references>
      </pivotArea>
    </format>
    <format dxfId="50">
      <pivotArea dataOnly="0" labelOnly="1" outline="0" fieldPosition="0">
        <references count="3">
          <reference field="2" count="1" selected="0">
            <x v="45"/>
          </reference>
          <reference field="34" count="1">
            <x v="44"/>
          </reference>
          <reference field="37" count="1" selected="0">
            <x v="42"/>
          </reference>
        </references>
      </pivotArea>
    </format>
    <format dxfId="49">
      <pivotArea dataOnly="0" labelOnly="1" outline="0" fieldPosition="0">
        <references count="3">
          <reference field="2" count="1" selected="0">
            <x v="46"/>
          </reference>
          <reference field="34" count="1">
            <x v="45"/>
          </reference>
          <reference field="37" count="1" selected="0">
            <x v="43"/>
          </reference>
        </references>
      </pivotArea>
    </format>
    <format dxfId="48">
      <pivotArea dataOnly="0" labelOnly="1" outline="0" axis="axisValues" fieldPosition="0"/>
    </format>
    <format dxfId="47">
      <pivotArea field="34" type="button" dataOnly="0" labelOnly="1" outline="0" axis="axisRow" fieldPosition="2"/>
    </format>
    <format dxfId="46">
      <pivotArea dataOnly="0" labelOnly="1" outline="0" fieldPosition="0">
        <references count="3">
          <reference field="2" count="1" selected="0">
            <x v="76"/>
          </reference>
          <reference field="34" count="1">
            <x v="75"/>
          </reference>
          <reference field="37" count="1" selected="0">
            <x v="72"/>
          </reference>
        </references>
      </pivotArea>
    </format>
    <format dxfId="45">
      <pivotArea dataOnly="0" labelOnly="1" outline="0" fieldPosition="0">
        <references count="3">
          <reference field="2" count="1" selected="0">
            <x v="83"/>
          </reference>
          <reference field="34" count="1">
            <x v="82"/>
          </reference>
          <reference field="37" count="1" selected="0">
            <x v="79"/>
          </reference>
        </references>
      </pivotArea>
    </format>
    <format dxfId="44">
      <pivotArea dataOnly="0" labelOnly="1" outline="0" fieldPosition="0">
        <references count="3">
          <reference field="2" count="1" selected="0">
            <x v="84"/>
          </reference>
          <reference field="34" count="1">
            <x v="82"/>
          </reference>
          <reference field="37" count="1" selected="0">
            <x v="80"/>
          </reference>
        </references>
      </pivotArea>
    </format>
    <format dxfId="43">
      <pivotArea dataOnly="0" labelOnly="1" outline="0" fieldPosition="0">
        <references count="3">
          <reference field="2" count="1" selected="0">
            <x v="88"/>
          </reference>
          <reference field="34" count="1">
            <x v="86"/>
          </reference>
          <reference field="37" count="1" selected="0">
            <x v="84"/>
          </reference>
        </references>
      </pivotArea>
    </format>
    <format dxfId="42">
      <pivotArea dataOnly="0" labelOnly="1" outline="0" fieldPosition="0">
        <references count="3">
          <reference field="2" count="1" selected="0">
            <x v="89"/>
          </reference>
          <reference field="34" count="1">
            <x v="87"/>
          </reference>
          <reference field="37" count="1" selected="0">
            <x v="85"/>
          </reference>
        </references>
      </pivotArea>
    </format>
    <format dxfId="41">
      <pivotArea dataOnly="0" labelOnly="1" outline="0" fieldPosition="0">
        <references count="3">
          <reference field="2" count="1" selected="0">
            <x v="90"/>
          </reference>
          <reference field="34" count="1">
            <x v="88"/>
          </reference>
          <reference field="37" count="1" selected="0">
            <x v="86"/>
          </reference>
        </references>
      </pivotArea>
    </format>
    <format dxfId="40">
      <pivotArea dataOnly="0" labelOnly="1" outline="0" fieldPosition="0">
        <references count="3">
          <reference field="2" count="1" selected="0">
            <x v="91"/>
          </reference>
          <reference field="34" count="1">
            <x v="89"/>
          </reference>
          <reference field="37" count="1" selected="0">
            <x v="87"/>
          </reference>
        </references>
      </pivotArea>
    </format>
    <format dxfId="39">
      <pivotArea dataOnly="0" labelOnly="1" outline="0" fieldPosition="0">
        <references count="3">
          <reference field="2" count="1" selected="0">
            <x v="93"/>
          </reference>
          <reference field="34" count="1">
            <x v="91"/>
          </reference>
          <reference field="37" count="1" selected="0">
            <x v="89"/>
          </reference>
        </references>
      </pivotArea>
    </format>
    <format dxfId="38">
      <pivotArea dataOnly="0" labelOnly="1" outline="0" fieldPosition="0">
        <references count="3">
          <reference field="2" count="1" selected="0">
            <x v="94"/>
          </reference>
          <reference field="34" count="1">
            <x v="92"/>
          </reference>
          <reference field="37" count="1" selected="0">
            <x v="90"/>
          </reference>
        </references>
      </pivotArea>
    </format>
    <format dxfId="37">
      <pivotArea dataOnly="0" labelOnly="1" outline="0" fieldPosition="0">
        <references count="3">
          <reference field="2" count="1" selected="0">
            <x v="95"/>
          </reference>
          <reference field="34" count="1">
            <x v="93"/>
          </reference>
          <reference field="37" count="1" selected="0">
            <x v="91"/>
          </reference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3">
          <reference field="2" count="1" selected="0">
            <x v="92"/>
          </reference>
          <reference field="34" count="1">
            <x v="90"/>
          </reference>
          <reference field="37" count="1" selected="0">
            <x v="88"/>
          </reference>
        </references>
      </pivotArea>
    </format>
    <format dxfId="34">
      <pivotArea dataOnly="0" labelOnly="1" outline="0" fieldPosition="0">
        <references count="3">
          <reference field="2" count="1" selected="0">
            <x v="96"/>
          </reference>
          <reference field="34" count="1">
            <x v="94"/>
          </reference>
          <reference field="37" count="1" selected="0">
            <x v="0"/>
          </reference>
        </references>
      </pivotArea>
    </format>
    <format dxfId="33">
      <pivotArea dataOnly="0" labelOnly="1" outline="0" fieldPosition="0">
        <references count="3">
          <reference field="2" count="1" selected="0">
            <x v="97"/>
          </reference>
          <reference field="34" count="1">
            <x v="95"/>
          </reference>
          <reference field="37" count="1" selected="0">
            <x v="0"/>
          </reference>
        </references>
      </pivotArea>
    </format>
    <format dxfId="32">
      <pivotArea dataOnly="0" labelOnly="1" outline="0" fieldPosition="0">
        <references count="3">
          <reference field="2" count="1" selected="0">
            <x v="98"/>
          </reference>
          <reference field="34" count="1">
            <x v="96"/>
          </reference>
          <reference field="37" count="1" selected="0">
            <x v="92"/>
          </reference>
        </references>
      </pivotArea>
    </format>
    <format dxfId="31">
      <pivotArea dataOnly="0" labelOnly="1" outline="0" fieldPosition="0">
        <references count="3">
          <reference field="2" count="1" selected="0">
            <x v="99"/>
          </reference>
          <reference field="34" count="1">
            <x v="97"/>
          </reference>
          <reference field="37" count="1" selected="0">
            <x v="93"/>
          </reference>
        </references>
      </pivotArea>
    </format>
    <format dxfId="30">
      <pivotArea dataOnly="0" labelOnly="1" outline="0" fieldPosition="0">
        <references count="3">
          <reference field="2" count="1" selected="0">
            <x v="100"/>
          </reference>
          <reference field="34" count="1">
            <x v="98"/>
          </reference>
          <reference field="37" count="1" selected="0">
            <x v="94"/>
          </reference>
        </references>
      </pivotArea>
    </format>
    <format dxfId="29">
      <pivotArea dataOnly="0" labelOnly="1" outline="0" fieldPosition="0">
        <references count="3">
          <reference field="2" count="1" selected="0">
            <x v="101"/>
          </reference>
          <reference field="34" count="1">
            <x v="99"/>
          </reference>
          <reference field="37" count="1" selected="0">
            <x v="95"/>
          </reference>
        </references>
      </pivotArea>
    </format>
    <format dxfId="28">
      <pivotArea dataOnly="0" labelOnly="1" outline="0" fieldPosition="0">
        <references count="3">
          <reference field="2" count="1" selected="0">
            <x v="102"/>
          </reference>
          <reference field="34" count="1">
            <x v="100"/>
          </reference>
          <reference field="37" count="1" selected="0">
            <x v="96"/>
          </reference>
        </references>
      </pivotArea>
    </format>
    <format dxfId="27">
      <pivotArea dataOnly="0" labelOnly="1" outline="0" fieldPosition="0">
        <references count="3">
          <reference field="2" count="1" selected="0">
            <x v="103"/>
          </reference>
          <reference field="34" count="1">
            <x v="101"/>
          </reference>
          <reference field="37" count="1" selected="0">
            <x v="97"/>
          </reference>
        </references>
      </pivotArea>
    </format>
    <format dxfId="26">
      <pivotArea dataOnly="0" labelOnly="1" outline="0" fieldPosition="0">
        <references count="3">
          <reference field="2" count="1" selected="0">
            <x v="104"/>
          </reference>
          <reference field="34" count="1">
            <x v="102"/>
          </reference>
          <reference field="37" count="1" selected="0">
            <x v="0"/>
          </reference>
        </references>
      </pivotArea>
    </format>
    <format dxfId="25">
      <pivotArea dataOnly="0" labelOnly="1" outline="0" fieldPosition="0">
        <references count="3">
          <reference field="2" count="1" selected="0">
            <x v="105"/>
          </reference>
          <reference field="34" count="1">
            <x v="103"/>
          </reference>
          <reference field="37" count="1" selected="0">
            <x v="98"/>
          </reference>
        </references>
      </pivotArea>
    </format>
    <format dxfId="24">
      <pivotArea dataOnly="0" labelOnly="1" outline="0" fieldPosition="0">
        <references count="3">
          <reference field="2" count="1" selected="0">
            <x v="106"/>
          </reference>
          <reference field="34" count="1">
            <x v="104"/>
          </reference>
          <reference field="37" count="1" selected="0">
            <x v="99"/>
          </reference>
        </references>
      </pivotArea>
    </format>
    <format dxfId="23">
      <pivotArea dataOnly="0" labelOnly="1" outline="0" fieldPosition="0">
        <references count="3">
          <reference field="2" count="1" selected="0">
            <x v="107"/>
          </reference>
          <reference field="34" count="1">
            <x v="105"/>
          </reference>
          <reference field="37" count="1" selected="0">
            <x v="100"/>
          </reference>
        </references>
      </pivotArea>
    </format>
    <format dxfId="22">
      <pivotArea field="37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2" type="captionBeginsWith" evalOrder="-1" id="1" stringValue1="000">
      <autoFilter ref="A1">
        <filterColumn colId="0">
          <customFilters>
            <customFilter val="000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B37C3-D787-4869-8DE6-94CAA26F904E}">
  <sheetPr codeName="Sheet2"/>
  <dimension ref="A1:W6"/>
  <sheetViews>
    <sheetView topLeftCell="A31" zoomScaleNormal="100" workbookViewId="0">
      <selection activeCell="C22" sqref="C22"/>
    </sheetView>
  </sheetViews>
  <sheetFormatPr defaultRowHeight="15" x14ac:dyDescent="0.25"/>
  <cols>
    <col min="1" max="1" width="11" bestFit="1" customWidth="1"/>
    <col min="2" max="2" width="6.5703125" bestFit="1" customWidth="1"/>
    <col min="3" max="3" width="21" bestFit="1" customWidth="1"/>
    <col min="4" max="4" width="10.42578125" bestFit="1" customWidth="1"/>
    <col min="5" max="5" width="14.140625" bestFit="1" customWidth="1"/>
    <col min="6" max="6" width="8.85546875" bestFit="1" customWidth="1"/>
    <col min="7" max="7" width="14.85546875" bestFit="1" customWidth="1"/>
    <col min="8" max="9" width="11.140625" bestFit="1" customWidth="1"/>
    <col min="10" max="10" width="11.42578125" bestFit="1" customWidth="1"/>
    <col min="11" max="11" width="14.7109375" bestFit="1" customWidth="1"/>
    <col min="12" max="13" width="10.42578125" bestFit="1" customWidth="1"/>
    <col min="14" max="14" width="11" bestFit="1" customWidth="1"/>
    <col min="15" max="15" width="5.85546875" bestFit="1" customWidth="1"/>
    <col min="16" max="16" width="6" bestFit="1" customWidth="1"/>
    <col min="17" max="18" width="7.42578125" bestFit="1" customWidth="1"/>
    <col min="19" max="19" width="8" bestFit="1" customWidth="1"/>
    <col min="20" max="21" width="15.28515625" bestFit="1" customWidth="1"/>
    <col min="22" max="22" width="16.85546875" bestFit="1" customWidth="1"/>
    <col min="23" max="23" width="6" bestFit="1" customWidth="1"/>
    <col min="24" max="24" width="5" bestFit="1" customWidth="1"/>
    <col min="25" max="25" width="17.28515625" bestFit="1" customWidth="1"/>
    <col min="26" max="26" width="5" bestFit="1" customWidth="1"/>
  </cols>
  <sheetData>
    <row r="1" spans="1:23" ht="78" thickBot="1" x14ac:dyDescent="0.3">
      <c r="A1" s="77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7" t="s">
        <v>3170</v>
      </c>
      <c r="H1" s="77" t="s">
        <v>6</v>
      </c>
      <c r="I1" s="77" t="s">
        <v>7</v>
      </c>
      <c r="J1" s="77" t="s">
        <v>8</v>
      </c>
      <c r="K1" s="77" t="s">
        <v>9</v>
      </c>
      <c r="L1" s="77" t="s">
        <v>10</v>
      </c>
      <c r="M1" s="77" t="s">
        <v>11</v>
      </c>
      <c r="N1" s="77" t="s">
        <v>12</v>
      </c>
      <c r="O1" s="77" t="s">
        <v>13</v>
      </c>
      <c r="P1" s="77" t="s">
        <v>14</v>
      </c>
      <c r="Q1" s="77" t="s">
        <v>15</v>
      </c>
      <c r="R1" s="77" t="s">
        <v>16</v>
      </c>
      <c r="S1" s="77" t="s">
        <v>17</v>
      </c>
      <c r="T1" s="77" t="s">
        <v>3171</v>
      </c>
      <c r="U1" s="77" t="s">
        <v>18</v>
      </c>
      <c r="V1" s="77" t="s">
        <v>3165</v>
      </c>
      <c r="W1" s="77" t="s">
        <v>19</v>
      </c>
    </row>
    <row r="2" spans="1:23" x14ac:dyDescent="0.25">
      <c r="A2" t="s">
        <v>4320</v>
      </c>
      <c r="B2" t="s">
        <v>20</v>
      </c>
      <c r="C2" t="s">
        <v>3433</v>
      </c>
      <c r="D2" t="s">
        <v>23</v>
      </c>
      <c r="E2" t="s">
        <v>24</v>
      </c>
      <c r="F2" t="s">
        <v>25</v>
      </c>
      <c r="G2" t="s">
        <v>3648</v>
      </c>
      <c r="H2">
        <v>200000</v>
      </c>
      <c r="I2" t="s">
        <v>4017</v>
      </c>
      <c r="J2" t="s">
        <v>24</v>
      </c>
      <c r="K2" t="s">
        <v>4321</v>
      </c>
      <c r="L2" t="s">
        <v>24</v>
      </c>
      <c r="M2" t="s">
        <v>4154</v>
      </c>
      <c r="N2" t="s">
        <v>4322</v>
      </c>
      <c r="O2" t="s">
        <v>24</v>
      </c>
      <c r="P2" t="s">
        <v>26</v>
      </c>
      <c r="Q2" t="s">
        <v>26</v>
      </c>
      <c r="R2" t="s">
        <v>26</v>
      </c>
      <c r="S2" t="s">
        <v>24</v>
      </c>
      <c r="T2" t="s">
        <v>4323</v>
      </c>
      <c r="U2" t="s">
        <v>4323</v>
      </c>
      <c r="V2" t="s">
        <v>3517</v>
      </c>
      <c r="W2" t="s">
        <v>24</v>
      </c>
    </row>
    <row r="3" spans="1:23" x14ac:dyDescent="0.25">
      <c r="A3" t="s">
        <v>4320</v>
      </c>
      <c r="B3" t="s">
        <v>3180</v>
      </c>
      <c r="C3" t="s">
        <v>3434</v>
      </c>
      <c r="D3" t="s">
        <v>23</v>
      </c>
      <c r="E3" t="s">
        <v>24</v>
      </c>
      <c r="F3" t="s">
        <v>25</v>
      </c>
      <c r="G3" t="s">
        <v>3648</v>
      </c>
      <c r="H3">
        <v>10000</v>
      </c>
      <c r="I3" t="s">
        <v>4017</v>
      </c>
      <c r="J3" t="s">
        <v>24</v>
      </c>
      <c r="K3" t="s">
        <v>4321</v>
      </c>
      <c r="L3" t="s">
        <v>24</v>
      </c>
      <c r="M3" t="s">
        <v>4154</v>
      </c>
      <c r="N3" t="s">
        <v>4322</v>
      </c>
      <c r="O3" t="s">
        <v>24</v>
      </c>
      <c r="P3" t="s">
        <v>26</v>
      </c>
      <c r="Q3" t="s">
        <v>26</v>
      </c>
      <c r="R3" t="s">
        <v>26</v>
      </c>
      <c r="S3" t="s">
        <v>24</v>
      </c>
      <c r="T3" t="s">
        <v>4323</v>
      </c>
      <c r="U3" t="s">
        <v>4323</v>
      </c>
      <c r="V3" t="s">
        <v>3517</v>
      </c>
      <c r="W3" t="s">
        <v>24</v>
      </c>
    </row>
    <row r="4" spans="1:23" x14ac:dyDescent="0.25">
      <c r="A4" t="s">
        <v>4320</v>
      </c>
      <c r="B4" t="s">
        <v>3181</v>
      </c>
      <c r="C4" t="s">
        <v>3435</v>
      </c>
      <c r="D4" t="s">
        <v>23</v>
      </c>
      <c r="E4" t="s">
        <v>24</v>
      </c>
      <c r="F4" t="s">
        <v>25</v>
      </c>
      <c r="G4" t="s">
        <v>3648</v>
      </c>
      <c r="H4">
        <v>11000</v>
      </c>
      <c r="I4" t="s">
        <v>4017</v>
      </c>
      <c r="J4" t="s">
        <v>24</v>
      </c>
      <c r="K4" t="s">
        <v>4321</v>
      </c>
      <c r="L4" t="s">
        <v>24</v>
      </c>
      <c r="M4" t="s">
        <v>4154</v>
      </c>
      <c r="N4" t="s">
        <v>4322</v>
      </c>
      <c r="O4" t="s">
        <v>24</v>
      </c>
      <c r="P4" t="s">
        <v>26</v>
      </c>
      <c r="Q4" t="s">
        <v>26</v>
      </c>
      <c r="R4" t="s">
        <v>26</v>
      </c>
      <c r="S4" t="s">
        <v>24</v>
      </c>
      <c r="T4" t="s">
        <v>4323</v>
      </c>
      <c r="U4" t="s">
        <v>4323</v>
      </c>
      <c r="V4" t="s">
        <v>3517</v>
      </c>
      <c r="W4" t="s">
        <v>24</v>
      </c>
    </row>
    <row r="5" spans="1:23" x14ac:dyDescent="0.25">
      <c r="A5" t="s">
        <v>4320</v>
      </c>
      <c r="B5" t="s">
        <v>3628</v>
      </c>
      <c r="C5" t="s">
        <v>3436</v>
      </c>
      <c r="D5" t="s">
        <v>23</v>
      </c>
      <c r="E5" t="s">
        <v>24</v>
      </c>
      <c r="F5" t="s">
        <v>25</v>
      </c>
      <c r="G5" t="s">
        <v>3648</v>
      </c>
      <c r="H5">
        <v>7000</v>
      </c>
      <c r="I5" t="s">
        <v>4017</v>
      </c>
      <c r="J5" t="s">
        <v>24</v>
      </c>
      <c r="K5" t="s">
        <v>4321</v>
      </c>
      <c r="L5" t="s">
        <v>24</v>
      </c>
      <c r="M5" t="s">
        <v>4154</v>
      </c>
      <c r="N5" t="s">
        <v>4322</v>
      </c>
      <c r="O5" t="s">
        <v>24</v>
      </c>
      <c r="P5" t="s">
        <v>26</v>
      </c>
      <c r="Q5" t="s">
        <v>26</v>
      </c>
      <c r="R5" t="s">
        <v>26</v>
      </c>
      <c r="S5" t="s">
        <v>24</v>
      </c>
      <c r="T5" t="s">
        <v>4323</v>
      </c>
      <c r="U5" t="s">
        <v>4323</v>
      </c>
      <c r="V5" t="s">
        <v>3517</v>
      </c>
      <c r="W5" t="s">
        <v>24</v>
      </c>
    </row>
    <row r="6" spans="1:23" x14ac:dyDescent="0.25">
      <c r="A6" t="s">
        <v>4320</v>
      </c>
      <c r="B6" t="s">
        <v>3646</v>
      </c>
      <c r="C6" t="s">
        <v>3437</v>
      </c>
      <c r="D6" t="s">
        <v>23</v>
      </c>
      <c r="E6" t="s">
        <v>24</v>
      </c>
      <c r="F6" t="s">
        <v>25</v>
      </c>
      <c r="G6" t="s">
        <v>3648</v>
      </c>
      <c r="H6">
        <v>14000</v>
      </c>
      <c r="I6" t="s">
        <v>4017</v>
      </c>
      <c r="J6" t="s">
        <v>24</v>
      </c>
      <c r="K6" t="s">
        <v>4321</v>
      </c>
      <c r="L6" t="s">
        <v>24</v>
      </c>
      <c r="M6" t="s">
        <v>4154</v>
      </c>
      <c r="N6" t="s">
        <v>4322</v>
      </c>
      <c r="O6" t="s">
        <v>24</v>
      </c>
      <c r="P6" t="s">
        <v>26</v>
      </c>
      <c r="Q6" t="s">
        <v>26</v>
      </c>
      <c r="R6" t="s">
        <v>26</v>
      </c>
      <c r="S6" t="s">
        <v>24</v>
      </c>
      <c r="T6" t="s">
        <v>4323</v>
      </c>
      <c r="U6" t="s">
        <v>4323</v>
      </c>
      <c r="V6" t="s">
        <v>3517</v>
      </c>
      <c r="W6" t="s">
        <v>24</v>
      </c>
    </row>
  </sheetData>
  <pageMargins left="0.7" right="0.7" top="0.75" bottom="0.75" header="0.3" footer="0.3"/>
  <pageSetup paperSize="1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E71C8-4637-4960-8DDB-F1C356E07BD1}">
  <sheetPr codeName="Sheet4"/>
  <dimension ref="A3:G9"/>
  <sheetViews>
    <sheetView workbookViewId="0">
      <selection activeCell="F2" sqref="F2:H11"/>
    </sheetView>
  </sheetViews>
  <sheetFormatPr defaultRowHeight="15" x14ac:dyDescent="0.25"/>
  <cols>
    <col min="1" max="1" width="15.5703125" bestFit="1" customWidth="1"/>
    <col min="2" max="3" width="12.28515625" bestFit="1" customWidth="1"/>
    <col min="6" max="6" width="15.7109375" bestFit="1" customWidth="1"/>
  </cols>
  <sheetData>
    <row r="3" spans="1:7" x14ac:dyDescent="0.25">
      <c r="A3" s="1" t="s">
        <v>2</v>
      </c>
      <c r="B3" t="s">
        <v>3173</v>
      </c>
    </row>
    <row r="4" spans="1:7" x14ac:dyDescent="0.25">
      <c r="A4" t="s">
        <v>3041</v>
      </c>
      <c r="B4" s="2">
        <v>10</v>
      </c>
      <c r="F4" s="3" t="s">
        <v>1071</v>
      </c>
      <c r="G4">
        <v>9</v>
      </c>
    </row>
    <row r="5" spans="1:7" x14ac:dyDescent="0.25">
      <c r="A5" t="s">
        <v>3048</v>
      </c>
      <c r="B5" s="2">
        <v>12</v>
      </c>
      <c r="F5" s="3" t="s">
        <v>773</v>
      </c>
      <c r="G5">
        <v>25</v>
      </c>
    </row>
    <row r="6" spans="1:7" x14ac:dyDescent="0.25">
      <c r="A6" t="s">
        <v>3034</v>
      </c>
      <c r="B6" s="2">
        <v>20</v>
      </c>
      <c r="F6" s="3" t="s">
        <v>830</v>
      </c>
      <c r="G6">
        <v>23</v>
      </c>
    </row>
    <row r="7" spans="1:7" x14ac:dyDescent="0.25">
      <c r="A7" t="s">
        <v>3021</v>
      </c>
      <c r="B7" s="2">
        <v>60</v>
      </c>
    </row>
    <row r="8" spans="1:7" x14ac:dyDescent="0.25">
      <c r="A8" t="s">
        <v>3022</v>
      </c>
      <c r="B8" s="2">
        <v>60</v>
      </c>
    </row>
    <row r="9" spans="1:7" x14ac:dyDescent="0.25">
      <c r="A9" t="s">
        <v>3172</v>
      </c>
      <c r="B9" s="2">
        <v>162</v>
      </c>
    </row>
  </sheetData>
  <pageMargins left="0.7" right="0.7" top="0.75" bottom="0.75" header="0.3" footer="0.3"/>
  <pageSetup paperSize="11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526D9-17E7-48B9-AE38-8D7C5B384A88}">
  <sheetPr codeName="Sheet5">
    <tabColor rgb="FF002060"/>
    <pageSetUpPr fitToPage="1"/>
  </sheetPr>
  <dimension ref="A1:J144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RowHeight="15" x14ac:dyDescent="0.25"/>
  <cols>
    <col min="1" max="1" width="16" style="31" bestFit="1" customWidth="1"/>
    <col min="2" max="2" width="20.28515625" style="10" bestFit="1" customWidth="1"/>
    <col min="3" max="3" width="10.7109375" style="11" bestFit="1" customWidth="1"/>
    <col min="4" max="4" width="7" style="11" customWidth="1"/>
    <col min="5" max="5" width="5.42578125" customWidth="1"/>
    <col min="6" max="6" width="12" style="32" customWidth="1"/>
    <col min="7" max="7" width="9.42578125" style="10" bestFit="1" customWidth="1"/>
    <col min="8" max="8" width="24.85546875" style="17" customWidth="1"/>
    <col min="9" max="9" width="9.140625" style="10"/>
  </cols>
  <sheetData>
    <row r="1" spans="1:10" x14ac:dyDescent="0.25">
      <c r="D1" s="19"/>
      <c r="E1" s="18"/>
      <c r="G1" s="31">
        <f>SUBTOTAL(9,F4:G1000)-1</f>
        <v>0</v>
      </c>
      <c r="H1" s="31">
        <f>COUNTIF(H3:H1000,"SM_*")</f>
        <v>1</v>
      </c>
      <c r="I1" s="31">
        <f>SUBTOTAL(9,I4:I1000)</f>
        <v>200</v>
      </c>
    </row>
    <row r="2" spans="1:10" x14ac:dyDescent="0.25">
      <c r="A2" s="153" t="s">
        <v>3177</v>
      </c>
      <c r="B2" s="154"/>
      <c r="C2" s="155"/>
      <c r="D2" s="20"/>
      <c r="E2" s="18"/>
      <c r="F2" s="33" t="s">
        <v>3213</v>
      </c>
      <c r="G2" s="25" t="s">
        <v>3211</v>
      </c>
      <c r="H2" s="28" t="s">
        <v>3212</v>
      </c>
      <c r="I2" s="26" t="s">
        <v>22</v>
      </c>
    </row>
    <row r="3" spans="1:10" s="15" customFormat="1" ht="23.25" x14ac:dyDescent="0.25">
      <c r="A3" s="111" t="s">
        <v>2</v>
      </c>
      <c r="B3"/>
      <c r="C3"/>
      <c r="D3" s="23" t="s">
        <v>3161</v>
      </c>
      <c r="E3" s="24"/>
      <c r="F3" s="34"/>
      <c r="G3" s="25" t="s">
        <v>3210</v>
      </c>
      <c r="H3" s="28" t="s">
        <v>3210</v>
      </c>
      <c r="I3" s="25" t="s">
        <v>3210</v>
      </c>
      <c r="J3" s="15" t="s">
        <v>3214</v>
      </c>
    </row>
    <row r="4" spans="1:10" x14ac:dyDescent="0.25">
      <c r="A4" s="70" t="s">
        <v>3433</v>
      </c>
      <c r="B4"/>
      <c r="C4"/>
      <c r="D4" s="18">
        <f>IFERROR(_xlfn.XLOOKUP(A4,PACK!$A:$A,PACK!$C:$C,),"")</f>
        <v>200</v>
      </c>
      <c r="E4" s="18"/>
      <c r="F4" s="35">
        <v>1</v>
      </c>
      <c r="G4" s="22">
        <f>IF(B4&gt;=5,1,0)</f>
        <v>0</v>
      </c>
      <c r="H4" s="29" t="str">
        <f t="shared" ref="H4:H22" si="0">IF(OR(ISBLANK(A4),SUM(F4,G4)=0),"",+A4)</f>
        <v>SM_BKD-20_004</v>
      </c>
      <c r="I4" s="27">
        <f t="shared" ref="I4:I23" si="1">IFERROR(+D4*SUM(F4,G4),"")</f>
        <v>200</v>
      </c>
      <c r="J4" t="b">
        <f>AND(_xlfn.ISFORMULA(G4),NOT(ISNUMBER(F4)))</f>
        <v>0</v>
      </c>
    </row>
    <row r="5" spans="1:10" x14ac:dyDescent="0.25">
      <c r="A5" s="70" t="s">
        <v>3434</v>
      </c>
      <c r="B5"/>
      <c r="C5"/>
      <c r="D5" s="18">
        <f>IFERROR(_xlfn.XLOOKUP(A5,PACK!$A:$A,PACK!$C:$C,),"")</f>
        <v>200</v>
      </c>
      <c r="E5" s="18"/>
      <c r="F5" s="35"/>
      <c r="G5" s="22">
        <f t="shared" ref="G5:G68" si="2">IF(B5&gt;=5,1,0)</f>
        <v>0</v>
      </c>
      <c r="H5" s="29" t="str">
        <f t="shared" si="0"/>
        <v/>
      </c>
      <c r="I5" s="27">
        <f t="shared" si="1"/>
        <v>0</v>
      </c>
      <c r="J5" t="b">
        <f t="shared" ref="J5:J68" si="3">AND(_xlfn.ISFORMULA(G5),NOT(ISNUMBER(F5)))</f>
        <v>1</v>
      </c>
    </row>
    <row r="6" spans="1:10" x14ac:dyDescent="0.25">
      <c r="A6" s="70" t="s">
        <v>3435</v>
      </c>
      <c r="B6"/>
      <c r="C6"/>
      <c r="D6" s="18">
        <f>IFERROR(_xlfn.XLOOKUP(A6,PACK!$A:$A,PACK!$C:$C,),"")</f>
        <v>200</v>
      </c>
      <c r="E6" s="18"/>
      <c r="F6" s="35"/>
      <c r="G6" s="22">
        <f t="shared" si="2"/>
        <v>0</v>
      </c>
      <c r="H6" s="29" t="str">
        <f t="shared" si="0"/>
        <v/>
      </c>
      <c r="I6" s="27">
        <f t="shared" si="1"/>
        <v>0</v>
      </c>
      <c r="J6" t="b">
        <f t="shared" si="3"/>
        <v>1</v>
      </c>
    </row>
    <row r="7" spans="1:10" x14ac:dyDescent="0.25">
      <c r="A7" s="70" t="s">
        <v>3437</v>
      </c>
      <c r="B7"/>
      <c r="C7"/>
      <c r="D7" s="18">
        <f>IFERROR(_xlfn.XLOOKUP(A7,PACK!$A:$A,PACK!$C:$C,),"")</f>
        <v>200</v>
      </c>
      <c r="E7" s="18"/>
      <c r="F7" s="35"/>
      <c r="G7" s="22">
        <f t="shared" si="2"/>
        <v>0</v>
      </c>
      <c r="H7" s="29" t="str">
        <f t="shared" si="0"/>
        <v/>
      </c>
      <c r="I7" s="27">
        <f t="shared" si="1"/>
        <v>0</v>
      </c>
      <c r="J7" t="b">
        <f t="shared" si="3"/>
        <v>1</v>
      </c>
    </row>
    <row r="8" spans="1:10" x14ac:dyDescent="0.25">
      <c r="A8" s="70" t="s">
        <v>3436</v>
      </c>
      <c r="B8"/>
      <c r="C8"/>
      <c r="D8" s="18">
        <f>IFERROR(_xlfn.XLOOKUP(A8,PACK!$A:$A,PACK!$C:$C,),"")</f>
        <v>200</v>
      </c>
      <c r="E8" s="18"/>
      <c r="F8" s="35"/>
      <c r="G8" s="22">
        <f t="shared" si="2"/>
        <v>0</v>
      </c>
      <c r="H8" s="29" t="str">
        <f t="shared" si="0"/>
        <v/>
      </c>
      <c r="I8" s="27">
        <f t="shared" si="1"/>
        <v>0</v>
      </c>
      <c r="J8" t="b">
        <f t="shared" si="3"/>
        <v>1</v>
      </c>
    </row>
    <row r="9" spans="1:10" x14ac:dyDescent="0.25">
      <c r="A9" s="71" t="s">
        <v>3178</v>
      </c>
      <c r="B9"/>
      <c r="C9"/>
      <c r="D9" s="18" t="str">
        <f>IFERROR(_xlfn.XLOOKUP(A9,PACK!$A:$A,PACK!$C:$C,),"")</f>
        <v/>
      </c>
      <c r="E9" s="18"/>
      <c r="F9" s="35"/>
      <c r="G9" s="22">
        <f t="shared" si="2"/>
        <v>0</v>
      </c>
      <c r="H9" s="29" t="str">
        <f t="shared" si="0"/>
        <v/>
      </c>
      <c r="I9" s="27" t="str">
        <f t="shared" si="1"/>
        <v/>
      </c>
      <c r="J9" t="b">
        <f t="shared" si="3"/>
        <v>1</v>
      </c>
    </row>
    <row r="10" spans="1:10" x14ac:dyDescent="0.25">
      <c r="A10"/>
      <c r="B10"/>
      <c r="C10"/>
      <c r="D10" s="18">
        <f>IFERROR(_xlfn.XLOOKUP(A10,PACK!$A:$A,PACK!$C:$C,),"")</f>
        <v>0</v>
      </c>
      <c r="E10" s="18"/>
      <c r="F10" s="35"/>
      <c r="G10" s="22">
        <f t="shared" si="2"/>
        <v>0</v>
      </c>
      <c r="H10" s="29" t="str">
        <f t="shared" si="0"/>
        <v/>
      </c>
      <c r="I10" s="27">
        <f t="shared" si="1"/>
        <v>0</v>
      </c>
      <c r="J10" t="b">
        <f t="shared" si="3"/>
        <v>1</v>
      </c>
    </row>
    <row r="11" spans="1:10" x14ac:dyDescent="0.25">
      <c r="A11"/>
      <c r="B11"/>
      <c r="C11"/>
      <c r="D11" s="18">
        <f>IFERROR(_xlfn.XLOOKUP(A11,PACK!$A:$A,PACK!$C:$C,),"")</f>
        <v>0</v>
      </c>
      <c r="E11" s="18"/>
      <c r="F11" s="35"/>
      <c r="G11" s="22">
        <f t="shared" si="2"/>
        <v>0</v>
      </c>
      <c r="H11" s="29" t="str">
        <f t="shared" si="0"/>
        <v/>
      </c>
      <c r="I11" s="27">
        <f t="shared" si="1"/>
        <v>0</v>
      </c>
      <c r="J11" t="b">
        <f t="shared" si="3"/>
        <v>1</v>
      </c>
    </row>
    <row r="12" spans="1:10" x14ac:dyDescent="0.25">
      <c r="A12"/>
      <c r="B12"/>
      <c r="C12"/>
      <c r="D12" s="18">
        <f>IFERROR(_xlfn.XLOOKUP(A12,PACK!$A:$A,PACK!$C:$C,),"")</f>
        <v>0</v>
      </c>
      <c r="E12" s="18"/>
      <c r="F12" s="35"/>
      <c r="G12" s="22">
        <f t="shared" si="2"/>
        <v>0</v>
      </c>
      <c r="H12" s="29" t="str">
        <f t="shared" si="0"/>
        <v/>
      </c>
      <c r="I12" s="27">
        <f t="shared" si="1"/>
        <v>0</v>
      </c>
      <c r="J12" t="b">
        <f t="shared" si="3"/>
        <v>1</v>
      </c>
    </row>
    <row r="13" spans="1:10" x14ac:dyDescent="0.25">
      <c r="A13"/>
      <c r="B13"/>
      <c r="C13"/>
      <c r="D13" s="18">
        <f>IFERROR(_xlfn.XLOOKUP(A13,PACK!$A:$A,PACK!$C:$C,),"")</f>
        <v>0</v>
      </c>
      <c r="E13" s="18"/>
      <c r="F13" s="35"/>
      <c r="G13" s="22">
        <f t="shared" si="2"/>
        <v>0</v>
      </c>
      <c r="H13" s="29" t="str">
        <f t="shared" si="0"/>
        <v/>
      </c>
      <c r="I13" s="27">
        <f t="shared" si="1"/>
        <v>0</v>
      </c>
      <c r="J13" t="b">
        <f t="shared" si="3"/>
        <v>1</v>
      </c>
    </row>
    <row r="14" spans="1:10" x14ac:dyDescent="0.25">
      <c r="A14"/>
      <c r="B14"/>
      <c r="C14"/>
      <c r="D14" s="18">
        <f>IFERROR(_xlfn.XLOOKUP(A14,PACK!$A:$A,PACK!$C:$C,),"")</f>
        <v>0</v>
      </c>
      <c r="E14" s="18"/>
      <c r="F14" s="35"/>
      <c r="G14" s="22">
        <f t="shared" si="2"/>
        <v>0</v>
      </c>
      <c r="H14" s="29" t="str">
        <f t="shared" si="0"/>
        <v/>
      </c>
      <c r="I14" s="27">
        <f t="shared" si="1"/>
        <v>0</v>
      </c>
      <c r="J14" t="b">
        <f t="shared" si="3"/>
        <v>1</v>
      </c>
    </row>
    <row r="15" spans="1:10" x14ac:dyDescent="0.25">
      <c r="A15"/>
      <c r="B15"/>
      <c r="C15"/>
      <c r="D15" s="18">
        <f>IFERROR(_xlfn.XLOOKUP(A15,PACK!$A:$A,PACK!$C:$C,),"")</f>
        <v>0</v>
      </c>
      <c r="E15" s="18"/>
      <c r="F15" s="35"/>
      <c r="G15" s="22">
        <f t="shared" si="2"/>
        <v>0</v>
      </c>
      <c r="H15" s="29" t="str">
        <f t="shared" si="0"/>
        <v/>
      </c>
      <c r="I15" s="27">
        <f t="shared" si="1"/>
        <v>0</v>
      </c>
      <c r="J15" t="b">
        <f t="shared" si="3"/>
        <v>1</v>
      </c>
    </row>
    <row r="16" spans="1:10" x14ac:dyDescent="0.25">
      <c r="A16"/>
      <c r="B16"/>
      <c r="C16"/>
      <c r="D16" s="18">
        <f>IFERROR(_xlfn.XLOOKUP(A16,PACK!$A:$A,PACK!$C:$C,),"")</f>
        <v>0</v>
      </c>
      <c r="E16" s="18"/>
      <c r="F16" s="35"/>
      <c r="G16" s="22">
        <f t="shared" si="2"/>
        <v>0</v>
      </c>
      <c r="H16" s="29" t="str">
        <f t="shared" si="0"/>
        <v/>
      </c>
      <c r="I16" s="27">
        <f t="shared" si="1"/>
        <v>0</v>
      </c>
      <c r="J16" t="b">
        <f t="shared" si="3"/>
        <v>1</v>
      </c>
    </row>
    <row r="17" spans="1:10" x14ac:dyDescent="0.25">
      <c r="A17"/>
      <c r="B17"/>
      <c r="C17"/>
      <c r="D17" s="18">
        <f>IFERROR(_xlfn.XLOOKUP(A17,PACK!$A:$A,PACK!$C:$C,),"")</f>
        <v>0</v>
      </c>
      <c r="E17" s="18"/>
      <c r="F17" s="35"/>
      <c r="G17" s="22">
        <f t="shared" si="2"/>
        <v>0</v>
      </c>
      <c r="H17" s="29" t="str">
        <f t="shared" si="0"/>
        <v/>
      </c>
      <c r="I17" s="27">
        <f t="shared" si="1"/>
        <v>0</v>
      </c>
      <c r="J17" t="b">
        <f t="shared" si="3"/>
        <v>1</v>
      </c>
    </row>
    <row r="18" spans="1:10" x14ac:dyDescent="0.25">
      <c r="A18"/>
      <c r="B18"/>
      <c r="C18"/>
      <c r="D18" s="18">
        <f>IFERROR(_xlfn.XLOOKUP(A18,PACK!$A:$A,PACK!$C:$C,),"")</f>
        <v>0</v>
      </c>
      <c r="E18" s="18"/>
      <c r="F18" s="35"/>
      <c r="G18" s="22">
        <f t="shared" si="2"/>
        <v>0</v>
      </c>
      <c r="H18" s="29" t="str">
        <f t="shared" si="0"/>
        <v/>
      </c>
      <c r="I18" s="27">
        <f t="shared" si="1"/>
        <v>0</v>
      </c>
      <c r="J18" t="b">
        <f t="shared" si="3"/>
        <v>1</v>
      </c>
    </row>
    <row r="19" spans="1:10" x14ac:dyDescent="0.25">
      <c r="A19"/>
      <c r="B19"/>
      <c r="C19"/>
      <c r="D19" s="18">
        <f>IFERROR(_xlfn.XLOOKUP(A19,PACK!$A:$A,PACK!$C:$C,),"")</f>
        <v>0</v>
      </c>
      <c r="E19" s="18"/>
      <c r="F19" s="35"/>
      <c r="G19" s="22">
        <f t="shared" si="2"/>
        <v>0</v>
      </c>
      <c r="H19" s="29" t="str">
        <f t="shared" si="0"/>
        <v/>
      </c>
      <c r="I19" s="27">
        <f t="shared" si="1"/>
        <v>0</v>
      </c>
      <c r="J19" t="b">
        <f t="shared" si="3"/>
        <v>1</v>
      </c>
    </row>
    <row r="20" spans="1:10" x14ac:dyDescent="0.25">
      <c r="A20"/>
      <c r="B20"/>
      <c r="C20"/>
      <c r="D20" s="18">
        <f>IFERROR(_xlfn.XLOOKUP(A20,PACK!$A:$A,PACK!$C:$C,),"")</f>
        <v>0</v>
      </c>
      <c r="E20" s="18"/>
      <c r="F20" s="35"/>
      <c r="G20" s="22">
        <f t="shared" si="2"/>
        <v>0</v>
      </c>
      <c r="H20" s="29" t="str">
        <f t="shared" si="0"/>
        <v/>
      </c>
      <c r="I20" s="27">
        <f t="shared" si="1"/>
        <v>0</v>
      </c>
      <c r="J20" t="b">
        <f t="shared" si="3"/>
        <v>1</v>
      </c>
    </row>
    <row r="21" spans="1:10" x14ac:dyDescent="0.25">
      <c r="A21"/>
      <c r="B21"/>
      <c r="C21"/>
      <c r="D21" s="18">
        <f>IFERROR(_xlfn.XLOOKUP(A21,PACK!$A:$A,PACK!$C:$C,),"")</f>
        <v>0</v>
      </c>
      <c r="E21" s="18"/>
      <c r="F21" s="35"/>
      <c r="G21" s="22">
        <f t="shared" si="2"/>
        <v>0</v>
      </c>
      <c r="H21" s="29" t="str">
        <f t="shared" si="0"/>
        <v/>
      </c>
      <c r="I21" s="27">
        <f t="shared" si="1"/>
        <v>0</v>
      </c>
      <c r="J21" t="b">
        <f t="shared" si="3"/>
        <v>1</v>
      </c>
    </row>
    <row r="22" spans="1:10" x14ac:dyDescent="0.25">
      <c r="A22"/>
      <c r="B22"/>
      <c r="C22"/>
      <c r="D22" s="18">
        <f>IFERROR(_xlfn.XLOOKUP(A22,PACK!$A:$A,PACK!$C:$C,),"")</f>
        <v>0</v>
      </c>
      <c r="E22" s="18"/>
      <c r="F22" s="35"/>
      <c r="G22" s="22">
        <f t="shared" si="2"/>
        <v>0</v>
      </c>
      <c r="H22" s="29" t="str">
        <f t="shared" si="0"/>
        <v/>
      </c>
      <c r="I22" s="27">
        <f t="shared" si="1"/>
        <v>0</v>
      </c>
      <c r="J22" t="b">
        <f t="shared" si="3"/>
        <v>1</v>
      </c>
    </row>
    <row r="23" spans="1:10" x14ac:dyDescent="0.25">
      <c r="A23"/>
      <c r="B23"/>
      <c r="C23"/>
      <c r="D23" s="18">
        <f>IFERROR(_xlfn.XLOOKUP(A23,PACK!$A:$A,PACK!$C:$C,),"")</f>
        <v>0</v>
      </c>
      <c r="E23" s="18"/>
      <c r="F23" s="35"/>
      <c r="G23" s="22">
        <f t="shared" si="2"/>
        <v>0</v>
      </c>
      <c r="H23" s="29" t="str">
        <f>IF(OR(ISBLANK(A23),SUM(F23,G23)=0),"",+A23)</f>
        <v/>
      </c>
      <c r="I23" s="27">
        <f t="shared" si="1"/>
        <v>0</v>
      </c>
      <c r="J23" t="b">
        <f t="shared" si="3"/>
        <v>1</v>
      </c>
    </row>
    <row r="24" spans="1:10" x14ac:dyDescent="0.25">
      <c r="A24"/>
      <c r="B24"/>
      <c r="C24"/>
      <c r="D24" s="18">
        <f>IFERROR(_xlfn.XLOOKUP(A24,PACK!$A:$A,PACK!$C:$C,),"")</f>
        <v>0</v>
      </c>
      <c r="E24" s="18"/>
      <c r="F24" s="35"/>
      <c r="G24" s="22">
        <f t="shared" si="2"/>
        <v>0</v>
      </c>
      <c r="H24" s="29" t="str">
        <f t="shared" ref="H24:H33" si="4">IF(OR(ISBLANK(A24),SUM(F24,G24)=0),"",+A24)</f>
        <v/>
      </c>
      <c r="I24" s="27">
        <f>IFERROR(+D24*SUM(F24,G24),"")</f>
        <v>0</v>
      </c>
      <c r="J24" t="b">
        <f t="shared" si="3"/>
        <v>1</v>
      </c>
    </row>
    <row r="25" spans="1:10" x14ac:dyDescent="0.25">
      <c r="A25"/>
      <c r="B25"/>
      <c r="C25"/>
      <c r="D25" s="18">
        <f>IFERROR(_xlfn.XLOOKUP(A25,PACK!$A:$A,PACK!$C:$C,),"")</f>
        <v>0</v>
      </c>
      <c r="E25" s="18"/>
      <c r="F25" s="35"/>
      <c r="G25" s="22">
        <f t="shared" si="2"/>
        <v>0</v>
      </c>
      <c r="H25" s="29" t="str">
        <f t="shared" si="4"/>
        <v/>
      </c>
      <c r="I25" s="27">
        <f t="shared" ref="I25:I88" si="5">IFERROR(+D25*SUM(F25,G25),"")</f>
        <v>0</v>
      </c>
      <c r="J25" t="b">
        <f t="shared" si="3"/>
        <v>1</v>
      </c>
    </row>
    <row r="26" spans="1:10" x14ac:dyDescent="0.25">
      <c r="A26"/>
      <c r="B26"/>
      <c r="C26"/>
      <c r="D26" s="18">
        <f>IFERROR(_xlfn.XLOOKUP(A26,PACK!$A:$A,PACK!$C:$C,),"")</f>
        <v>0</v>
      </c>
      <c r="E26" s="18"/>
      <c r="F26" s="35"/>
      <c r="G26" s="22">
        <f t="shared" si="2"/>
        <v>0</v>
      </c>
      <c r="H26" s="29" t="str">
        <f t="shared" si="4"/>
        <v/>
      </c>
      <c r="I26" s="27">
        <f t="shared" si="5"/>
        <v>0</v>
      </c>
      <c r="J26" t="b">
        <f t="shared" si="3"/>
        <v>1</v>
      </c>
    </row>
    <row r="27" spans="1:10" x14ac:dyDescent="0.25">
      <c r="A27"/>
      <c r="B27"/>
      <c r="C27"/>
      <c r="D27" s="18">
        <f>IFERROR(_xlfn.XLOOKUP(A27,PACK!$A:$A,PACK!$C:$C,),"")</f>
        <v>0</v>
      </c>
      <c r="E27" s="18"/>
      <c r="F27" s="35"/>
      <c r="G27" s="22">
        <f t="shared" si="2"/>
        <v>0</v>
      </c>
      <c r="H27" s="29" t="str">
        <f t="shared" si="4"/>
        <v/>
      </c>
      <c r="I27" s="27">
        <f t="shared" si="5"/>
        <v>0</v>
      </c>
      <c r="J27" t="b">
        <f t="shared" si="3"/>
        <v>1</v>
      </c>
    </row>
    <row r="28" spans="1:10" x14ac:dyDescent="0.25">
      <c r="A28"/>
      <c r="B28"/>
      <c r="C28"/>
      <c r="D28" s="18">
        <f>IFERROR(_xlfn.XLOOKUP(A28,PACK!$A:$A,PACK!$C:$C,),"")</f>
        <v>0</v>
      </c>
      <c r="E28" s="18"/>
      <c r="F28" s="35"/>
      <c r="G28" s="22">
        <f t="shared" si="2"/>
        <v>0</v>
      </c>
      <c r="H28" s="29" t="str">
        <f t="shared" si="4"/>
        <v/>
      </c>
      <c r="I28" s="27">
        <f t="shared" si="5"/>
        <v>0</v>
      </c>
      <c r="J28" t="b">
        <f t="shared" si="3"/>
        <v>1</v>
      </c>
    </row>
    <row r="29" spans="1:10" x14ac:dyDescent="0.25">
      <c r="A29"/>
      <c r="B29"/>
      <c r="C29"/>
      <c r="D29" s="18">
        <f>IFERROR(_xlfn.XLOOKUP(A29,PACK!$A:$A,PACK!$C:$C,),"")</f>
        <v>0</v>
      </c>
      <c r="E29" s="18"/>
      <c r="F29" s="35"/>
      <c r="G29" s="22">
        <f t="shared" si="2"/>
        <v>0</v>
      </c>
      <c r="H29" s="29" t="str">
        <f t="shared" si="4"/>
        <v/>
      </c>
      <c r="I29" s="27">
        <f t="shared" si="5"/>
        <v>0</v>
      </c>
      <c r="J29" t="b">
        <f t="shared" si="3"/>
        <v>1</v>
      </c>
    </row>
    <row r="30" spans="1:10" x14ac:dyDescent="0.25">
      <c r="A30"/>
      <c r="B30"/>
      <c r="C30"/>
      <c r="D30" s="18">
        <f>IFERROR(_xlfn.XLOOKUP(A30,PACK!$A:$A,PACK!$C:$C,),"")</f>
        <v>0</v>
      </c>
      <c r="E30" s="18"/>
      <c r="F30" s="35"/>
      <c r="G30" s="22">
        <f t="shared" si="2"/>
        <v>0</v>
      </c>
      <c r="H30" s="29" t="str">
        <f t="shared" si="4"/>
        <v/>
      </c>
      <c r="I30" s="27">
        <f t="shared" si="5"/>
        <v>0</v>
      </c>
      <c r="J30" t="b">
        <f t="shared" si="3"/>
        <v>1</v>
      </c>
    </row>
    <row r="31" spans="1:10" x14ac:dyDescent="0.25">
      <c r="A31"/>
      <c r="B31"/>
      <c r="C31"/>
      <c r="D31" s="18">
        <f>IFERROR(_xlfn.XLOOKUP(A31,PACK!$A:$A,PACK!$C:$C,),"")</f>
        <v>0</v>
      </c>
      <c r="F31" s="35"/>
      <c r="G31" s="22">
        <f t="shared" si="2"/>
        <v>0</v>
      </c>
      <c r="H31" s="29" t="str">
        <f t="shared" si="4"/>
        <v/>
      </c>
      <c r="I31" s="27">
        <f t="shared" si="5"/>
        <v>0</v>
      </c>
      <c r="J31" t="b">
        <f t="shared" si="3"/>
        <v>1</v>
      </c>
    </row>
    <row r="32" spans="1:10" x14ac:dyDescent="0.25">
      <c r="A32"/>
      <c r="B32"/>
      <c r="C32"/>
      <c r="D32" s="18">
        <f>IFERROR(_xlfn.XLOOKUP(A32,PACK!$A:$A,PACK!$C:$C,),"")</f>
        <v>0</v>
      </c>
      <c r="F32" s="35"/>
      <c r="G32" s="22">
        <f t="shared" si="2"/>
        <v>0</v>
      </c>
      <c r="H32" s="29" t="str">
        <f t="shared" si="4"/>
        <v/>
      </c>
      <c r="I32" s="27">
        <f t="shared" si="5"/>
        <v>0</v>
      </c>
      <c r="J32" t="b">
        <f t="shared" si="3"/>
        <v>1</v>
      </c>
    </row>
    <row r="33" spans="1:10" x14ac:dyDescent="0.25">
      <c r="A33"/>
      <c r="B33"/>
      <c r="C33"/>
      <c r="D33" s="18">
        <f>IFERROR(_xlfn.XLOOKUP(A33,PACK!$A:$A,PACK!$C:$C,),"")</f>
        <v>0</v>
      </c>
      <c r="F33" s="35"/>
      <c r="G33" s="22">
        <f t="shared" si="2"/>
        <v>0</v>
      </c>
      <c r="H33" s="29" t="str">
        <f t="shared" si="4"/>
        <v/>
      </c>
      <c r="I33" s="27">
        <f t="shared" si="5"/>
        <v>0</v>
      </c>
      <c r="J33" t="b">
        <f t="shared" si="3"/>
        <v>1</v>
      </c>
    </row>
    <row r="34" spans="1:10" x14ac:dyDescent="0.25">
      <c r="A34"/>
      <c r="B34"/>
      <c r="C34"/>
      <c r="D34" s="18">
        <f>IFERROR(_xlfn.XLOOKUP(A34,PACK!$A:$A,PACK!$C:$C,),"")</f>
        <v>0</v>
      </c>
      <c r="F34" s="35"/>
      <c r="G34" s="22">
        <f t="shared" si="2"/>
        <v>0</v>
      </c>
      <c r="H34" s="29" t="str">
        <f t="shared" ref="H34:H44" si="6">IF(OR(ISBLANK(A34),G34=0),"",+A34)</f>
        <v/>
      </c>
      <c r="I34" s="27">
        <f t="shared" si="5"/>
        <v>0</v>
      </c>
      <c r="J34" t="b">
        <f t="shared" si="3"/>
        <v>1</v>
      </c>
    </row>
    <row r="35" spans="1:10" x14ac:dyDescent="0.25">
      <c r="A35"/>
      <c r="B35"/>
      <c r="C35"/>
      <c r="D35" s="18">
        <f>IFERROR(_xlfn.XLOOKUP(A35,PACK!$A:$A,PACK!$C:$C,),"")</f>
        <v>0</v>
      </c>
      <c r="F35" s="35"/>
      <c r="G35" s="22">
        <f t="shared" si="2"/>
        <v>0</v>
      </c>
      <c r="H35" s="29" t="str">
        <f t="shared" si="6"/>
        <v/>
      </c>
      <c r="I35" s="27">
        <f t="shared" si="5"/>
        <v>0</v>
      </c>
      <c r="J35" t="b">
        <f t="shared" si="3"/>
        <v>1</v>
      </c>
    </row>
    <row r="36" spans="1:10" x14ac:dyDescent="0.25">
      <c r="A36"/>
      <c r="B36"/>
      <c r="C36"/>
      <c r="D36" s="18">
        <f>IFERROR(_xlfn.XLOOKUP(A36,PACK!$A:$A,PACK!$C:$C,),"")</f>
        <v>0</v>
      </c>
      <c r="F36" s="35"/>
      <c r="G36" s="22">
        <f t="shared" si="2"/>
        <v>0</v>
      </c>
      <c r="H36" s="29" t="str">
        <f t="shared" si="6"/>
        <v/>
      </c>
      <c r="I36" s="27">
        <f t="shared" si="5"/>
        <v>0</v>
      </c>
      <c r="J36" t="b">
        <f t="shared" si="3"/>
        <v>1</v>
      </c>
    </row>
    <row r="37" spans="1:10" x14ac:dyDescent="0.25">
      <c r="A37"/>
      <c r="B37"/>
      <c r="C37"/>
      <c r="D37" s="18" t="str">
        <f>IFERROR(_xlfn.XLOOKUP(A37,PACK!$A:$A,PACK!$C:$C,),"")</f>
        <v/>
      </c>
      <c r="F37" s="35"/>
      <c r="G37" s="22">
        <f t="shared" si="2"/>
        <v>0</v>
      </c>
      <c r="H37" s="29" t="str">
        <f t="shared" si="6"/>
        <v/>
      </c>
      <c r="I37" s="27" t="str">
        <f t="shared" si="5"/>
        <v/>
      </c>
      <c r="J37" t="b">
        <f t="shared" si="3"/>
        <v>1</v>
      </c>
    </row>
    <row r="38" spans="1:10" x14ac:dyDescent="0.25">
      <c r="A38"/>
      <c r="B38"/>
      <c r="C38"/>
      <c r="D38" s="18" t="str">
        <f>IFERROR(_xlfn.XLOOKUP(A38,PACK!$A:$A,PACK!$C:$C,),"")</f>
        <v/>
      </c>
      <c r="F38" s="35"/>
      <c r="G38" s="22">
        <f t="shared" si="2"/>
        <v>0</v>
      </c>
      <c r="H38" s="29" t="str">
        <f t="shared" si="6"/>
        <v/>
      </c>
      <c r="I38" s="27" t="str">
        <f t="shared" si="5"/>
        <v/>
      </c>
      <c r="J38" t="b">
        <f t="shared" si="3"/>
        <v>1</v>
      </c>
    </row>
    <row r="39" spans="1:10" x14ac:dyDescent="0.25">
      <c r="A39"/>
      <c r="B39"/>
      <c r="C39"/>
      <c r="D39" s="18">
        <f>IFERROR(_xlfn.XLOOKUP(A39,PACK!$A:$A,PACK!$C:$C,),"")</f>
        <v>0</v>
      </c>
      <c r="F39" s="35"/>
      <c r="G39" s="22">
        <f t="shared" si="2"/>
        <v>0</v>
      </c>
      <c r="H39" s="29" t="str">
        <f t="shared" si="6"/>
        <v/>
      </c>
      <c r="I39" s="27">
        <f t="shared" si="5"/>
        <v>0</v>
      </c>
      <c r="J39" t="b">
        <f t="shared" si="3"/>
        <v>1</v>
      </c>
    </row>
    <row r="40" spans="1:10" x14ac:dyDescent="0.25">
      <c r="A40"/>
      <c r="B40"/>
      <c r="C40"/>
      <c r="D40" s="18" t="str">
        <f>IFERROR(_xlfn.XLOOKUP(A40,PACK!$A:$A,PACK!$C:$C,),"")</f>
        <v/>
      </c>
      <c r="F40" s="35"/>
      <c r="G40" s="22">
        <f t="shared" si="2"/>
        <v>0</v>
      </c>
      <c r="H40" s="29" t="str">
        <f t="shared" si="6"/>
        <v/>
      </c>
      <c r="I40" s="27" t="str">
        <f t="shared" si="5"/>
        <v/>
      </c>
      <c r="J40" t="b">
        <f t="shared" si="3"/>
        <v>1</v>
      </c>
    </row>
    <row r="41" spans="1:10" x14ac:dyDescent="0.25">
      <c r="A41"/>
      <c r="B41"/>
      <c r="C41"/>
      <c r="D41" s="18" t="str">
        <f>IFERROR(_xlfn.XLOOKUP(A41,PACK!$A:$A,PACK!$C:$C,),"")</f>
        <v/>
      </c>
      <c r="F41" s="35"/>
      <c r="G41" s="22">
        <f t="shared" si="2"/>
        <v>0</v>
      </c>
      <c r="H41" s="29" t="str">
        <f t="shared" si="6"/>
        <v/>
      </c>
      <c r="I41" s="27" t="str">
        <f t="shared" si="5"/>
        <v/>
      </c>
      <c r="J41" t="b">
        <f t="shared" si="3"/>
        <v>1</v>
      </c>
    </row>
    <row r="42" spans="1:10" x14ac:dyDescent="0.25">
      <c r="A42"/>
      <c r="B42"/>
      <c r="C42"/>
      <c r="D42" s="18">
        <f>IFERROR(_xlfn.XLOOKUP(A42,PACK!$A:$A,PACK!$C:$C,),"")</f>
        <v>0</v>
      </c>
      <c r="F42" s="35"/>
      <c r="G42" s="22">
        <f t="shared" si="2"/>
        <v>0</v>
      </c>
      <c r="H42" s="29" t="str">
        <f t="shared" si="6"/>
        <v/>
      </c>
      <c r="I42" s="27">
        <f t="shared" si="5"/>
        <v>0</v>
      </c>
      <c r="J42" t="b">
        <f t="shared" si="3"/>
        <v>1</v>
      </c>
    </row>
    <row r="43" spans="1:10" x14ac:dyDescent="0.25">
      <c r="A43"/>
      <c r="B43"/>
      <c r="C43"/>
      <c r="D43" s="18">
        <f>IFERROR(_xlfn.XLOOKUP(A43,PACK!$A:$A,PACK!$C:$C,),"")</f>
        <v>0</v>
      </c>
      <c r="F43" s="35"/>
      <c r="G43" s="22">
        <f t="shared" si="2"/>
        <v>0</v>
      </c>
      <c r="H43" s="29" t="str">
        <f t="shared" si="6"/>
        <v/>
      </c>
      <c r="I43" s="27">
        <f t="shared" si="5"/>
        <v>0</v>
      </c>
      <c r="J43" t="b">
        <f t="shared" si="3"/>
        <v>1</v>
      </c>
    </row>
    <row r="44" spans="1:10" x14ac:dyDescent="0.25">
      <c r="A44"/>
      <c r="B44"/>
      <c r="C44"/>
      <c r="D44" s="18" t="str">
        <f>IFERROR(_xlfn.XLOOKUP(A44,PACK!$A:$A,PACK!$C:$C,),"")</f>
        <v/>
      </c>
      <c r="F44" s="35"/>
      <c r="G44" s="22">
        <f t="shared" si="2"/>
        <v>0</v>
      </c>
      <c r="H44" s="29" t="str">
        <f t="shared" si="6"/>
        <v/>
      </c>
      <c r="I44" s="27" t="str">
        <f t="shared" si="5"/>
        <v/>
      </c>
      <c r="J44" t="b">
        <f t="shared" si="3"/>
        <v>1</v>
      </c>
    </row>
    <row r="45" spans="1:10" x14ac:dyDescent="0.25">
      <c r="A45"/>
      <c r="B45"/>
      <c r="C45"/>
      <c r="D45" s="18" t="str">
        <f>IFERROR(_xlfn.XLOOKUP(A45,PACK!$A:$A,PACK!$C:$C,),"")</f>
        <v/>
      </c>
      <c r="F45" s="35"/>
      <c r="G45" s="22">
        <f t="shared" si="2"/>
        <v>0</v>
      </c>
      <c r="H45" s="29" t="str">
        <f t="shared" ref="H45:H107" si="7">IF(ISBLANK(A45),"",+A45)</f>
        <v/>
      </c>
      <c r="I45" s="27" t="str">
        <f t="shared" si="5"/>
        <v/>
      </c>
      <c r="J45" t="b">
        <f t="shared" si="3"/>
        <v>1</v>
      </c>
    </row>
    <row r="46" spans="1:10" x14ac:dyDescent="0.25">
      <c r="A46"/>
      <c r="B46"/>
      <c r="C46"/>
      <c r="D46"/>
      <c r="F46" s="35"/>
      <c r="G46" s="22">
        <f t="shared" si="2"/>
        <v>0</v>
      </c>
      <c r="H46" s="29" t="str">
        <f t="shared" si="7"/>
        <v/>
      </c>
      <c r="I46" s="27">
        <f t="shared" si="5"/>
        <v>0</v>
      </c>
      <c r="J46" t="b">
        <f t="shared" si="3"/>
        <v>1</v>
      </c>
    </row>
    <row r="47" spans="1:10" x14ac:dyDescent="0.25">
      <c r="A47"/>
      <c r="B47"/>
      <c r="C47"/>
      <c r="D47"/>
      <c r="F47" s="35"/>
      <c r="G47" s="22">
        <f t="shared" si="2"/>
        <v>0</v>
      </c>
      <c r="H47" s="29" t="str">
        <f t="shared" si="7"/>
        <v/>
      </c>
      <c r="I47" s="27">
        <f t="shared" si="5"/>
        <v>0</v>
      </c>
      <c r="J47" t="b">
        <f t="shared" si="3"/>
        <v>1</v>
      </c>
    </row>
    <row r="48" spans="1:10" x14ac:dyDescent="0.25">
      <c r="A48"/>
      <c r="B48"/>
      <c r="C48"/>
      <c r="D48"/>
      <c r="F48" s="35"/>
      <c r="G48" s="22">
        <f t="shared" si="2"/>
        <v>0</v>
      </c>
      <c r="H48" s="29" t="str">
        <f t="shared" si="7"/>
        <v/>
      </c>
      <c r="I48" s="27">
        <f t="shared" si="5"/>
        <v>0</v>
      </c>
      <c r="J48" t="b">
        <f t="shared" si="3"/>
        <v>1</v>
      </c>
    </row>
    <row r="49" spans="1:10" x14ac:dyDescent="0.25">
      <c r="A49"/>
      <c r="F49" s="35"/>
      <c r="G49" s="22">
        <f t="shared" si="2"/>
        <v>0</v>
      </c>
      <c r="H49" s="29" t="str">
        <f t="shared" si="7"/>
        <v/>
      </c>
      <c r="I49" s="27">
        <f t="shared" si="5"/>
        <v>0</v>
      </c>
      <c r="J49" t="b">
        <f t="shared" si="3"/>
        <v>1</v>
      </c>
    </row>
    <row r="50" spans="1:10" x14ac:dyDescent="0.25">
      <c r="A50"/>
      <c r="F50" s="35"/>
      <c r="G50" s="22">
        <f t="shared" si="2"/>
        <v>0</v>
      </c>
      <c r="H50" s="29" t="str">
        <f t="shared" si="7"/>
        <v/>
      </c>
      <c r="I50" s="27">
        <f t="shared" si="5"/>
        <v>0</v>
      </c>
      <c r="J50" t="b">
        <f t="shared" si="3"/>
        <v>1</v>
      </c>
    </row>
    <row r="51" spans="1:10" x14ac:dyDescent="0.25">
      <c r="A51"/>
      <c r="F51" s="35"/>
      <c r="G51" s="22">
        <f t="shared" si="2"/>
        <v>0</v>
      </c>
      <c r="H51" s="29" t="str">
        <f t="shared" si="7"/>
        <v/>
      </c>
      <c r="I51" s="27">
        <f t="shared" si="5"/>
        <v>0</v>
      </c>
      <c r="J51" t="b">
        <f t="shared" si="3"/>
        <v>1</v>
      </c>
    </row>
    <row r="52" spans="1:10" x14ac:dyDescent="0.25">
      <c r="A52"/>
      <c r="F52" s="35"/>
      <c r="G52" s="22">
        <f t="shared" si="2"/>
        <v>0</v>
      </c>
      <c r="H52" s="29" t="str">
        <f t="shared" si="7"/>
        <v/>
      </c>
      <c r="I52" s="27">
        <f t="shared" si="5"/>
        <v>0</v>
      </c>
      <c r="J52" t="b">
        <f t="shared" si="3"/>
        <v>1</v>
      </c>
    </row>
    <row r="53" spans="1:10" x14ac:dyDescent="0.25">
      <c r="A53"/>
      <c r="F53" s="35"/>
      <c r="G53" s="22">
        <f t="shared" si="2"/>
        <v>0</v>
      </c>
      <c r="H53" s="29" t="str">
        <f t="shared" si="7"/>
        <v/>
      </c>
      <c r="I53" s="27">
        <f t="shared" si="5"/>
        <v>0</v>
      </c>
      <c r="J53" t="b">
        <f t="shared" si="3"/>
        <v>1</v>
      </c>
    </row>
    <row r="54" spans="1:10" x14ac:dyDescent="0.25">
      <c r="A54"/>
      <c r="F54" s="35"/>
      <c r="G54" s="22">
        <f t="shared" si="2"/>
        <v>0</v>
      </c>
      <c r="H54" s="29" t="str">
        <f t="shared" si="7"/>
        <v/>
      </c>
      <c r="I54" s="27">
        <f t="shared" si="5"/>
        <v>0</v>
      </c>
      <c r="J54" t="b">
        <f t="shared" si="3"/>
        <v>1</v>
      </c>
    </row>
    <row r="55" spans="1:10" x14ac:dyDescent="0.25">
      <c r="A55"/>
      <c r="F55" s="35"/>
      <c r="G55" s="22">
        <f t="shared" si="2"/>
        <v>0</v>
      </c>
      <c r="H55" s="29" t="str">
        <f t="shared" si="7"/>
        <v/>
      </c>
      <c r="I55" s="27">
        <f t="shared" si="5"/>
        <v>0</v>
      </c>
      <c r="J55" t="b">
        <f t="shared" si="3"/>
        <v>1</v>
      </c>
    </row>
    <row r="56" spans="1:10" x14ac:dyDescent="0.25">
      <c r="A56"/>
      <c r="F56" s="35"/>
      <c r="G56" s="22">
        <f t="shared" si="2"/>
        <v>0</v>
      </c>
      <c r="H56" s="29" t="str">
        <f t="shared" si="7"/>
        <v/>
      </c>
      <c r="I56" s="27">
        <f t="shared" si="5"/>
        <v>0</v>
      </c>
      <c r="J56" t="b">
        <f t="shared" si="3"/>
        <v>1</v>
      </c>
    </row>
    <row r="57" spans="1:10" x14ac:dyDescent="0.25">
      <c r="A57"/>
      <c r="F57" s="35"/>
      <c r="G57" s="22">
        <f t="shared" si="2"/>
        <v>0</v>
      </c>
      <c r="H57" s="29" t="str">
        <f t="shared" si="7"/>
        <v/>
      </c>
      <c r="I57" s="27">
        <f t="shared" si="5"/>
        <v>0</v>
      </c>
      <c r="J57" t="b">
        <f t="shared" si="3"/>
        <v>1</v>
      </c>
    </row>
    <row r="58" spans="1:10" x14ac:dyDescent="0.25">
      <c r="F58" s="35"/>
      <c r="G58" s="22">
        <f t="shared" si="2"/>
        <v>0</v>
      </c>
      <c r="H58" s="29" t="str">
        <f t="shared" si="7"/>
        <v/>
      </c>
      <c r="I58" s="27">
        <f t="shared" si="5"/>
        <v>0</v>
      </c>
      <c r="J58" t="b">
        <f t="shared" si="3"/>
        <v>1</v>
      </c>
    </row>
    <row r="59" spans="1:10" x14ac:dyDescent="0.25">
      <c r="F59" s="35"/>
      <c r="G59" s="22">
        <f t="shared" si="2"/>
        <v>0</v>
      </c>
      <c r="H59" s="29" t="str">
        <f t="shared" si="7"/>
        <v/>
      </c>
      <c r="I59" s="27">
        <f t="shared" si="5"/>
        <v>0</v>
      </c>
      <c r="J59" t="b">
        <f t="shared" si="3"/>
        <v>1</v>
      </c>
    </row>
    <row r="60" spans="1:10" x14ac:dyDescent="0.25">
      <c r="F60" s="35"/>
      <c r="G60" s="22">
        <f t="shared" si="2"/>
        <v>0</v>
      </c>
      <c r="H60" s="29" t="str">
        <f t="shared" si="7"/>
        <v/>
      </c>
      <c r="I60" s="27">
        <f t="shared" si="5"/>
        <v>0</v>
      </c>
      <c r="J60" t="b">
        <f t="shared" si="3"/>
        <v>1</v>
      </c>
    </row>
    <row r="61" spans="1:10" x14ac:dyDescent="0.25">
      <c r="F61" s="35"/>
      <c r="G61" s="22">
        <f t="shared" si="2"/>
        <v>0</v>
      </c>
      <c r="H61" s="29" t="str">
        <f t="shared" si="7"/>
        <v/>
      </c>
      <c r="I61" s="27">
        <f t="shared" si="5"/>
        <v>0</v>
      </c>
      <c r="J61" t="b">
        <f t="shared" si="3"/>
        <v>1</v>
      </c>
    </row>
    <row r="62" spans="1:10" x14ac:dyDescent="0.25">
      <c r="F62" s="35"/>
      <c r="G62" s="22">
        <f t="shared" si="2"/>
        <v>0</v>
      </c>
      <c r="H62" s="29" t="str">
        <f t="shared" si="7"/>
        <v/>
      </c>
      <c r="I62" s="27">
        <f t="shared" si="5"/>
        <v>0</v>
      </c>
      <c r="J62" t="b">
        <f t="shared" si="3"/>
        <v>1</v>
      </c>
    </row>
    <row r="63" spans="1:10" x14ac:dyDescent="0.25">
      <c r="F63" s="35"/>
      <c r="G63" s="22">
        <f t="shared" si="2"/>
        <v>0</v>
      </c>
      <c r="H63" s="29" t="str">
        <f t="shared" si="7"/>
        <v/>
      </c>
      <c r="I63" s="27">
        <f t="shared" si="5"/>
        <v>0</v>
      </c>
      <c r="J63" t="b">
        <f t="shared" si="3"/>
        <v>1</v>
      </c>
    </row>
    <row r="64" spans="1:10" x14ac:dyDescent="0.25">
      <c r="F64" s="35"/>
      <c r="G64" s="22">
        <f t="shared" si="2"/>
        <v>0</v>
      </c>
      <c r="H64" s="29" t="str">
        <f t="shared" si="7"/>
        <v/>
      </c>
      <c r="I64" s="27">
        <f t="shared" si="5"/>
        <v>0</v>
      </c>
      <c r="J64" t="b">
        <f t="shared" si="3"/>
        <v>1</v>
      </c>
    </row>
    <row r="65" spans="6:10" x14ac:dyDescent="0.25">
      <c r="F65" s="35"/>
      <c r="G65" s="22">
        <f t="shared" si="2"/>
        <v>0</v>
      </c>
      <c r="H65" s="29" t="str">
        <f t="shared" si="7"/>
        <v/>
      </c>
      <c r="I65" s="27">
        <f t="shared" si="5"/>
        <v>0</v>
      </c>
      <c r="J65" t="b">
        <f t="shared" si="3"/>
        <v>1</v>
      </c>
    </row>
    <row r="66" spans="6:10" x14ac:dyDescent="0.25">
      <c r="F66" s="35"/>
      <c r="G66" s="22">
        <f t="shared" si="2"/>
        <v>0</v>
      </c>
      <c r="H66" s="29" t="str">
        <f t="shared" si="7"/>
        <v/>
      </c>
      <c r="I66" s="27">
        <f t="shared" si="5"/>
        <v>0</v>
      </c>
      <c r="J66" t="b">
        <f t="shared" si="3"/>
        <v>1</v>
      </c>
    </row>
    <row r="67" spans="6:10" x14ac:dyDescent="0.25">
      <c r="F67" s="35"/>
      <c r="G67" s="22">
        <f t="shared" si="2"/>
        <v>0</v>
      </c>
      <c r="H67" s="29" t="str">
        <f t="shared" si="7"/>
        <v/>
      </c>
      <c r="I67" s="27">
        <f t="shared" si="5"/>
        <v>0</v>
      </c>
      <c r="J67" t="b">
        <f t="shared" si="3"/>
        <v>1</v>
      </c>
    </row>
    <row r="68" spans="6:10" x14ac:dyDescent="0.25">
      <c r="F68" s="35"/>
      <c r="G68" s="22">
        <f t="shared" si="2"/>
        <v>0</v>
      </c>
      <c r="H68" s="29" t="str">
        <f t="shared" si="7"/>
        <v/>
      </c>
      <c r="I68" s="27">
        <f t="shared" si="5"/>
        <v>0</v>
      </c>
      <c r="J68" t="b">
        <f t="shared" si="3"/>
        <v>1</v>
      </c>
    </row>
    <row r="69" spans="6:10" x14ac:dyDescent="0.25">
      <c r="F69" s="35"/>
      <c r="G69" s="22">
        <f t="shared" ref="G69:G71" si="8">IF(B69&gt;=5,1,0)</f>
        <v>0</v>
      </c>
      <c r="H69" s="29" t="str">
        <f t="shared" si="7"/>
        <v/>
      </c>
      <c r="I69" s="27">
        <f t="shared" si="5"/>
        <v>0</v>
      </c>
      <c r="J69" t="b">
        <f t="shared" ref="J69:J132" si="9">AND(_xlfn.ISFORMULA(G69),NOT(ISNUMBER(F69)))</f>
        <v>1</v>
      </c>
    </row>
    <row r="70" spans="6:10" x14ac:dyDescent="0.25">
      <c r="F70" s="35"/>
      <c r="G70" s="22">
        <f t="shared" si="8"/>
        <v>0</v>
      </c>
      <c r="H70" s="29" t="str">
        <f t="shared" si="7"/>
        <v/>
      </c>
      <c r="I70" s="27">
        <f t="shared" si="5"/>
        <v>0</v>
      </c>
      <c r="J70" t="b">
        <f t="shared" si="9"/>
        <v>1</v>
      </c>
    </row>
    <row r="71" spans="6:10" x14ac:dyDescent="0.25">
      <c r="F71" s="35"/>
      <c r="G71" s="22">
        <f t="shared" si="8"/>
        <v>0</v>
      </c>
      <c r="H71" s="29" t="str">
        <f t="shared" si="7"/>
        <v/>
      </c>
      <c r="I71" s="27">
        <f t="shared" si="5"/>
        <v>0</v>
      </c>
      <c r="J71" t="b">
        <f t="shared" si="9"/>
        <v>1</v>
      </c>
    </row>
    <row r="72" spans="6:10" x14ac:dyDescent="0.25">
      <c r="F72" s="35"/>
      <c r="G72" s="22">
        <f t="shared" ref="G72:G132" si="10">IF(B72&gt;=5,1,0)</f>
        <v>0</v>
      </c>
      <c r="H72" s="29" t="str">
        <f t="shared" si="7"/>
        <v/>
      </c>
      <c r="I72" s="27">
        <f t="shared" si="5"/>
        <v>0</v>
      </c>
      <c r="J72" t="b">
        <f t="shared" si="9"/>
        <v>1</v>
      </c>
    </row>
    <row r="73" spans="6:10" x14ac:dyDescent="0.25">
      <c r="F73" s="35"/>
      <c r="G73" s="22">
        <f t="shared" si="10"/>
        <v>0</v>
      </c>
      <c r="H73" s="29" t="str">
        <f t="shared" si="7"/>
        <v/>
      </c>
      <c r="I73" s="27">
        <f t="shared" si="5"/>
        <v>0</v>
      </c>
      <c r="J73" t="b">
        <f t="shared" si="9"/>
        <v>1</v>
      </c>
    </row>
    <row r="74" spans="6:10" x14ac:dyDescent="0.25">
      <c r="F74" s="35"/>
      <c r="G74" s="22">
        <f t="shared" si="10"/>
        <v>0</v>
      </c>
      <c r="H74" s="29" t="str">
        <f t="shared" si="7"/>
        <v/>
      </c>
      <c r="I74" s="27">
        <f t="shared" si="5"/>
        <v>0</v>
      </c>
      <c r="J74" t="b">
        <f t="shared" si="9"/>
        <v>1</v>
      </c>
    </row>
    <row r="75" spans="6:10" x14ac:dyDescent="0.25">
      <c r="F75" s="35"/>
      <c r="G75" s="22">
        <f t="shared" si="10"/>
        <v>0</v>
      </c>
      <c r="H75" s="29" t="str">
        <f t="shared" si="7"/>
        <v/>
      </c>
      <c r="I75" s="27">
        <f t="shared" si="5"/>
        <v>0</v>
      </c>
      <c r="J75" t="b">
        <f t="shared" si="9"/>
        <v>1</v>
      </c>
    </row>
    <row r="76" spans="6:10" x14ac:dyDescent="0.25">
      <c r="F76" s="35"/>
      <c r="G76" s="22">
        <f t="shared" si="10"/>
        <v>0</v>
      </c>
      <c r="H76" s="29" t="str">
        <f t="shared" si="7"/>
        <v/>
      </c>
      <c r="I76" s="27">
        <f t="shared" si="5"/>
        <v>0</v>
      </c>
      <c r="J76" t="b">
        <f t="shared" si="9"/>
        <v>1</v>
      </c>
    </row>
    <row r="77" spans="6:10" x14ac:dyDescent="0.25">
      <c r="F77" s="35"/>
      <c r="G77" s="22">
        <f t="shared" si="10"/>
        <v>0</v>
      </c>
      <c r="H77" s="29" t="str">
        <f t="shared" si="7"/>
        <v/>
      </c>
      <c r="I77" s="27">
        <f t="shared" si="5"/>
        <v>0</v>
      </c>
      <c r="J77" t="b">
        <f t="shared" si="9"/>
        <v>1</v>
      </c>
    </row>
    <row r="78" spans="6:10" x14ac:dyDescent="0.25">
      <c r="F78" s="35"/>
      <c r="G78" s="22">
        <f t="shared" si="10"/>
        <v>0</v>
      </c>
      <c r="H78" s="29" t="str">
        <f t="shared" si="7"/>
        <v/>
      </c>
      <c r="I78" s="27">
        <f t="shared" si="5"/>
        <v>0</v>
      </c>
      <c r="J78" t="b">
        <f t="shared" si="9"/>
        <v>1</v>
      </c>
    </row>
    <row r="79" spans="6:10" x14ac:dyDescent="0.25">
      <c r="F79" s="35"/>
      <c r="G79" s="22">
        <f t="shared" si="10"/>
        <v>0</v>
      </c>
      <c r="H79" s="29" t="str">
        <f t="shared" si="7"/>
        <v/>
      </c>
      <c r="I79" s="27">
        <f t="shared" si="5"/>
        <v>0</v>
      </c>
      <c r="J79" t="b">
        <f t="shared" si="9"/>
        <v>1</v>
      </c>
    </row>
    <row r="80" spans="6:10" x14ac:dyDescent="0.25">
      <c r="F80" s="35"/>
      <c r="G80" s="22">
        <f t="shared" si="10"/>
        <v>0</v>
      </c>
      <c r="H80" s="29" t="str">
        <f t="shared" si="7"/>
        <v/>
      </c>
      <c r="I80" s="27">
        <f t="shared" si="5"/>
        <v>0</v>
      </c>
      <c r="J80" t="b">
        <f t="shared" si="9"/>
        <v>1</v>
      </c>
    </row>
    <row r="81" spans="6:10" x14ac:dyDescent="0.25">
      <c r="F81" s="35"/>
      <c r="G81" s="22">
        <f t="shared" si="10"/>
        <v>0</v>
      </c>
      <c r="H81" s="29" t="str">
        <f t="shared" si="7"/>
        <v/>
      </c>
      <c r="I81" s="27">
        <f t="shared" si="5"/>
        <v>0</v>
      </c>
      <c r="J81" t="b">
        <f t="shared" si="9"/>
        <v>1</v>
      </c>
    </row>
    <row r="82" spans="6:10" x14ac:dyDescent="0.25">
      <c r="F82" s="35"/>
      <c r="G82" s="22">
        <f t="shared" si="10"/>
        <v>0</v>
      </c>
      <c r="H82" s="29" t="str">
        <f t="shared" si="7"/>
        <v/>
      </c>
      <c r="I82" s="27">
        <f t="shared" si="5"/>
        <v>0</v>
      </c>
      <c r="J82" t="b">
        <f t="shared" si="9"/>
        <v>1</v>
      </c>
    </row>
    <row r="83" spans="6:10" x14ac:dyDescent="0.25">
      <c r="F83" s="35"/>
      <c r="G83" s="22">
        <f t="shared" si="10"/>
        <v>0</v>
      </c>
      <c r="H83" s="29" t="str">
        <f t="shared" si="7"/>
        <v/>
      </c>
      <c r="I83" s="27">
        <f t="shared" si="5"/>
        <v>0</v>
      </c>
      <c r="J83" t="b">
        <f t="shared" si="9"/>
        <v>1</v>
      </c>
    </row>
    <row r="84" spans="6:10" x14ac:dyDescent="0.25">
      <c r="F84" s="35"/>
      <c r="G84" s="22">
        <f t="shared" si="10"/>
        <v>0</v>
      </c>
      <c r="H84" s="29" t="str">
        <f t="shared" si="7"/>
        <v/>
      </c>
      <c r="I84" s="27">
        <f t="shared" si="5"/>
        <v>0</v>
      </c>
      <c r="J84" t="b">
        <f t="shared" si="9"/>
        <v>1</v>
      </c>
    </row>
    <row r="85" spans="6:10" x14ac:dyDescent="0.25">
      <c r="F85" s="35"/>
      <c r="G85" s="22">
        <f t="shared" si="10"/>
        <v>0</v>
      </c>
      <c r="H85" s="29" t="str">
        <f t="shared" si="7"/>
        <v/>
      </c>
      <c r="I85" s="27">
        <f t="shared" si="5"/>
        <v>0</v>
      </c>
      <c r="J85" t="b">
        <f t="shared" si="9"/>
        <v>1</v>
      </c>
    </row>
    <row r="86" spans="6:10" x14ac:dyDescent="0.25">
      <c r="F86" s="35"/>
      <c r="G86" s="22">
        <f t="shared" si="10"/>
        <v>0</v>
      </c>
      <c r="H86" s="29" t="str">
        <f t="shared" si="7"/>
        <v/>
      </c>
      <c r="I86" s="27">
        <f t="shared" si="5"/>
        <v>0</v>
      </c>
      <c r="J86" t="b">
        <f t="shared" si="9"/>
        <v>1</v>
      </c>
    </row>
    <row r="87" spans="6:10" x14ac:dyDescent="0.25">
      <c r="F87" s="35"/>
      <c r="G87" s="22">
        <f t="shared" si="10"/>
        <v>0</v>
      </c>
      <c r="H87" s="29" t="str">
        <f t="shared" si="7"/>
        <v/>
      </c>
      <c r="I87" s="27">
        <f t="shared" si="5"/>
        <v>0</v>
      </c>
      <c r="J87" t="b">
        <f t="shared" si="9"/>
        <v>1</v>
      </c>
    </row>
    <row r="88" spans="6:10" x14ac:dyDescent="0.25">
      <c r="F88" s="35"/>
      <c r="G88" s="22">
        <f t="shared" si="10"/>
        <v>0</v>
      </c>
      <c r="H88" s="29" t="str">
        <f t="shared" si="7"/>
        <v/>
      </c>
      <c r="I88" s="27">
        <f t="shared" si="5"/>
        <v>0</v>
      </c>
      <c r="J88" t="b">
        <f t="shared" si="9"/>
        <v>1</v>
      </c>
    </row>
    <row r="89" spans="6:10" x14ac:dyDescent="0.25">
      <c r="F89" s="35"/>
      <c r="G89" s="22">
        <f t="shared" si="10"/>
        <v>0</v>
      </c>
      <c r="H89" s="29" t="str">
        <f t="shared" si="7"/>
        <v/>
      </c>
      <c r="I89" s="27">
        <f t="shared" ref="I89:I144" si="11">IFERROR(+D89*SUM(F89,G89),"")</f>
        <v>0</v>
      </c>
      <c r="J89" t="b">
        <f t="shared" si="9"/>
        <v>1</v>
      </c>
    </row>
    <row r="90" spans="6:10" x14ac:dyDescent="0.25">
      <c r="F90" s="35"/>
      <c r="G90" s="22">
        <f t="shared" si="10"/>
        <v>0</v>
      </c>
      <c r="H90" s="29" t="str">
        <f t="shared" si="7"/>
        <v/>
      </c>
      <c r="I90" s="27">
        <f t="shared" si="11"/>
        <v>0</v>
      </c>
      <c r="J90" t="b">
        <f t="shared" si="9"/>
        <v>1</v>
      </c>
    </row>
    <row r="91" spans="6:10" x14ac:dyDescent="0.25">
      <c r="F91" s="35"/>
      <c r="G91" s="22">
        <f t="shared" si="10"/>
        <v>0</v>
      </c>
      <c r="H91" s="29" t="str">
        <f t="shared" si="7"/>
        <v/>
      </c>
      <c r="I91" s="27">
        <f t="shared" si="11"/>
        <v>0</v>
      </c>
      <c r="J91" t="b">
        <f t="shared" si="9"/>
        <v>1</v>
      </c>
    </row>
    <row r="92" spans="6:10" x14ac:dyDescent="0.25">
      <c r="F92" s="35"/>
      <c r="G92" s="22">
        <f t="shared" si="10"/>
        <v>0</v>
      </c>
      <c r="H92" s="29" t="str">
        <f t="shared" si="7"/>
        <v/>
      </c>
      <c r="I92" s="27">
        <f t="shared" si="11"/>
        <v>0</v>
      </c>
      <c r="J92" t="b">
        <f t="shared" si="9"/>
        <v>1</v>
      </c>
    </row>
    <row r="93" spans="6:10" x14ac:dyDescent="0.25">
      <c r="F93" s="35"/>
      <c r="G93" s="22">
        <f t="shared" si="10"/>
        <v>0</v>
      </c>
      <c r="H93" s="29" t="str">
        <f t="shared" si="7"/>
        <v/>
      </c>
      <c r="I93" s="27">
        <f t="shared" si="11"/>
        <v>0</v>
      </c>
      <c r="J93" t="b">
        <f t="shared" si="9"/>
        <v>1</v>
      </c>
    </row>
    <row r="94" spans="6:10" x14ac:dyDescent="0.25">
      <c r="F94" s="35"/>
      <c r="G94" s="22">
        <f t="shared" si="10"/>
        <v>0</v>
      </c>
      <c r="H94" s="29" t="str">
        <f t="shared" si="7"/>
        <v/>
      </c>
      <c r="I94" s="27">
        <f t="shared" si="11"/>
        <v>0</v>
      </c>
      <c r="J94" t="b">
        <f t="shared" si="9"/>
        <v>1</v>
      </c>
    </row>
    <row r="95" spans="6:10" x14ac:dyDescent="0.25">
      <c r="F95" s="35"/>
      <c r="G95" s="22">
        <f t="shared" si="10"/>
        <v>0</v>
      </c>
      <c r="H95" s="29" t="str">
        <f t="shared" si="7"/>
        <v/>
      </c>
      <c r="I95" s="27">
        <f t="shared" si="11"/>
        <v>0</v>
      </c>
      <c r="J95" t="b">
        <f t="shared" si="9"/>
        <v>1</v>
      </c>
    </row>
    <row r="96" spans="6:10" x14ac:dyDescent="0.25">
      <c r="F96" s="35"/>
      <c r="G96" s="22">
        <f t="shared" si="10"/>
        <v>0</v>
      </c>
      <c r="H96" s="29" t="str">
        <f t="shared" si="7"/>
        <v/>
      </c>
      <c r="I96" s="27">
        <f t="shared" si="11"/>
        <v>0</v>
      </c>
      <c r="J96" t="b">
        <f t="shared" si="9"/>
        <v>1</v>
      </c>
    </row>
    <row r="97" spans="6:10" x14ac:dyDescent="0.25">
      <c r="F97" s="35"/>
      <c r="G97" s="22">
        <f t="shared" si="10"/>
        <v>0</v>
      </c>
      <c r="H97" s="29" t="str">
        <f t="shared" si="7"/>
        <v/>
      </c>
      <c r="I97" s="27">
        <f t="shared" si="11"/>
        <v>0</v>
      </c>
      <c r="J97" t="b">
        <f t="shared" si="9"/>
        <v>1</v>
      </c>
    </row>
    <row r="98" spans="6:10" x14ac:dyDescent="0.25">
      <c r="F98" s="35"/>
      <c r="G98" s="22">
        <f t="shared" si="10"/>
        <v>0</v>
      </c>
      <c r="H98" s="29" t="str">
        <f t="shared" si="7"/>
        <v/>
      </c>
      <c r="I98" s="27">
        <f t="shared" si="11"/>
        <v>0</v>
      </c>
      <c r="J98" t="b">
        <f t="shared" si="9"/>
        <v>1</v>
      </c>
    </row>
    <row r="99" spans="6:10" x14ac:dyDescent="0.25">
      <c r="F99" s="35"/>
      <c r="G99" s="22">
        <f t="shared" si="10"/>
        <v>0</v>
      </c>
      <c r="H99" s="29" t="str">
        <f t="shared" si="7"/>
        <v/>
      </c>
      <c r="I99" s="27">
        <f t="shared" si="11"/>
        <v>0</v>
      </c>
      <c r="J99" t="b">
        <f t="shared" si="9"/>
        <v>1</v>
      </c>
    </row>
    <row r="100" spans="6:10" x14ac:dyDescent="0.25">
      <c r="F100" s="35"/>
      <c r="G100" s="22">
        <f t="shared" si="10"/>
        <v>0</v>
      </c>
      <c r="H100" s="29" t="str">
        <f t="shared" si="7"/>
        <v/>
      </c>
      <c r="I100" s="27">
        <f t="shared" si="11"/>
        <v>0</v>
      </c>
      <c r="J100" t="b">
        <f t="shared" si="9"/>
        <v>1</v>
      </c>
    </row>
    <row r="101" spans="6:10" x14ac:dyDescent="0.25">
      <c r="F101" s="35"/>
      <c r="G101" s="22">
        <f t="shared" si="10"/>
        <v>0</v>
      </c>
      <c r="H101" s="29" t="str">
        <f t="shared" si="7"/>
        <v/>
      </c>
      <c r="I101" s="27">
        <f t="shared" si="11"/>
        <v>0</v>
      </c>
      <c r="J101" t="b">
        <f t="shared" si="9"/>
        <v>1</v>
      </c>
    </row>
    <row r="102" spans="6:10" x14ac:dyDescent="0.25">
      <c r="F102" s="35"/>
      <c r="G102" s="22">
        <f t="shared" si="10"/>
        <v>0</v>
      </c>
      <c r="H102" s="29" t="str">
        <f t="shared" si="7"/>
        <v/>
      </c>
      <c r="I102" s="27">
        <f t="shared" si="11"/>
        <v>0</v>
      </c>
      <c r="J102" t="b">
        <f t="shared" si="9"/>
        <v>1</v>
      </c>
    </row>
    <row r="103" spans="6:10" x14ac:dyDescent="0.25">
      <c r="F103" s="35"/>
      <c r="G103" s="22">
        <f t="shared" si="10"/>
        <v>0</v>
      </c>
      <c r="H103" s="29" t="str">
        <f t="shared" si="7"/>
        <v/>
      </c>
      <c r="I103" s="27">
        <f t="shared" si="11"/>
        <v>0</v>
      </c>
      <c r="J103" t="b">
        <f t="shared" si="9"/>
        <v>1</v>
      </c>
    </row>
    <row r="104" spans="6:10" x14ac:dyDescent="0.25">
      <c r="F104" s="35"/>
      <c r="G104" s="22">
        <f t="shared" si="10"/>
        <v>0</v>
      </c>
      <c r="H104" s="29" t="str">
        <f t="shared" si="7"/>
        <v/>
      </c>
      <c r="I104" s="27">
        <f t="shared" si="11"/>
        <v>0</v>
      </c>
      <c r="J104" t="b">
        <f t="shared" si="9"/>
        <v>1</v>
      </c>
    </row>
    <row r="105" spans="6:10" x14ac:dyDescent="0.25">
      <c r="F105" s="35"/>
      <c r="G105" s="22">
        <f t="shared" si="10"/>
        <v>0</v>
      </c>
      <c r="H105" s="29" t="str">
        <f t="shared" si="7"/>
        <v/>
      </c>
      <c r="I105" s="27">
        <f t="shared" si="11"/>
        <v>0</v>
      </c>
      <c r="J105" t="b">
        <f t="shared" si="9"/>
        <v>1</v>
      </c>
    </row>
    <row r="106" spans="6:10" x14ac:dyDescent="0.25">
      <c r="F106" s="35"/>
      <c r="G106" s="22">
        <f t="shared" si="10"/>
        <v>0</v>
      </c>
      <c r="H106" s="29" t="str">
        <f t="shared" si="7"/>
        <v/>
      </c>
      <c r="I106" s="27">
        <f t="shared" si="11"/>
        <v>0</v>
      </c>
      <c r="J106" t="b">
        <f t="shared" si="9"/>
        <v>1</v>
      </c>
    </row>
    <row r="107" spans="6:10" x14ac:dyDescent="0.25">
      <c r="F107" s="35"/>
      <c r="G107" s="22">
        <f t="shared" si="10"/>
        <v>0</v>
      </c>
      <c r="H107" s="29" t="str">
        <f t="shared" si="7"/>
        <v/>
      </c>
      <c r="I107" s="27">
        <f t="shared" si="11"/>
        <v>0</v>
      </c>
      <c r="J107" t="b">
        <f t="shared" si="9"/>
        <v>1</v>
      </c>
    </row>
    <row r="108" spans="6:10" x14ac:dyDescent="0.25">
      <c r="F108" s="35"/>
      <c r="G108" s="22">
        <f t="shared" si="10"/>
        <v>0</v>
      </c>
      <c r="H108" s="29" t="str">
        <f t="shared" ref="H108:H144" si="12">IF(ISBLANK(A108),"",+A108)</f>
        <v/>
      </c>
      <c r="I108" s="27">
        <f t="shared" si="11"/>
        <v>0</v>
      </c>
      <c r="J108" t="b">
        <f t="shared" si="9"/>
        <v>1</v>
      </c>
    </row>
    <row r="109" spans="6:10" x14ac:dyDescent="0.25">
      <c r="F109" s="35"/>
      <c r="G109" s="22">
        <f t="shared" si="10"/>
        <v>0</v>
      </c>
      <c r="H109" s="29" t="str">
        <f t="shared" si="12"/>
        <v/>
      </c>
      <c r="I109" s="27">
        <f t="shared" si="11"/>
        <v>0</v>
      </c>
      <c r="J109" t="b">
        <f t="shared" si="9"/>
        <v>1</v>
      </c>
    </row>
    <row r="110" spans="6:10" x14ac:dyDescent="0.25">
      <c r="F110" s="35"/>
      <c r="G110" s="22">
        <f t="shared" si="10"/>
        <v>0</v>
      </c>
      <c r="H110" s="29" t="str">
        <f t="shared" si="12"/>
        <v/>
      </c>
      <c r="I110" s="27">
        <f t="shared" si="11"/>
        <v>0</v>
      </c>
      <c r="J110" t="b">
        <f t="shared" si="9"/>
        <v>1</v>
      </c>
    </row>
    <row r="111" spans="6:10" x14ac:dyDescent="0.25">
      <c r="F111" s="35"/>
      <c r="G111" s="22">
        <f t="shared" si="10"/>
        <v>0</v>
      </c>
      <c r="H111" s="29" t="str">
        <f t="shared" si="12"/>
        <v/>
      </c>
      <c r="I111" s="27">
        <f t="shared" si="11"/>
        <v>0</v>
      </c>
      <c r="J111" t="b">
        <f t="shared" si="9"/>
        <v>1</v>
      </c>
    </row>
    <row r="112" spans="6:10" x14ac:dyDescent="0.25">
      <c r="F112" s="35"/>
      <c r="G112" s="22">
        <f t="shared" si="10"/>
        <v>0</v>
      </c>
      <c r="H112" s="29" t="str">
        <f t="shared" si="12"/>
        <v/>
      </c>
      <c r="I112" s="27">
        <f t="shared" si="11"/>
        <v>0</v>
      </c>
      <c r="J112" t="b">
        <f t="shared" si="9"/>
        <v>1</v>
      </c>
    </row>
    <row r="113" spans="6:10" x14ac:dyDescent="0.25">
      <c r="F113" s="35"/>
      <c r="G113" s="22">
        <f t="shared" si="10"/>
        <v>0</v>
      </c>
      <c r="H113" s="29" t="str">
        <f t="shared" si="12"/>
        <v/>
      </c>
      <c r="I113" s="27">
        <f t="shared" si="11"/>
        <v>0</v>
      </c>
      <c r="J113" t="b">
        <f t="shared" si="9"/>
        <v>1</v>
      </c>
    </row>
    <row r="114" spans="6:10" x14ac:dyDescent="0.25">
      <c r="F114" s="35"/>
      <c r="G114" s="22">
        <f t="shared" si="10"/>
        <v>0</v>
      </c>
      <c r="H114" s="29" t="str">
        <f t="shared" si="12"/>
        <v/>
      </c>
      <c r="I114" s="27">
        <f t="shared" si="11"/>
        <v>0</v>
      </c>
      <c r="J114" t="b">
        <f t="shared" si="9"/>
        <v>1</v>
      </c>
    </row>
    <row r="115" spans="6:10" x14ac:dyDescent="0.25">
      <c r="F115" s="35"/>
      <c r="G115" s="22">
        <f t="shared" si="10"/>
        <v>0</v>
      </c>
      <c r="H115" s="29" t="str">
        <f t="shared" si="12"/>
        <v/>
      </c>
      <c r="I115" s="27">
        <f t="shared" si="11"/>
        <v>0</v>
      </c>
      <c r="J115" t="b">
        <f t="shared" si="9"/>
        <v>1</v>
      </c>
    </row>
    <row r="116" spans="6:10" x14ac:dyDescent="0.25">
      <c r="F116" s="35"/>
      <c r="G116" s="22">
        <f t="shared" si="10"/>
        <v>0</v>
      </c>
      <c r="H116" s="29" t="str">
        <f t="shared" si="12"/>
        <v/>
      </c>
      <c r="I116" s="27">
        <f t="shared" si="11"/>
        <v>0</v>
      </c>
      <c r="J116" t="b">
        <f t="shared" si="9"/>
        <v>1</v>
      </c>
    </row>
    <row r="117" spans="6:10" x14ac:dyDescent="0.25">
      <c r="F117" s="35"/>
      <c r="G117" s="22">
        <f t="shared" si="10"/>
        <v>0</v>
      </c>
      <c r="H117" s="29" t="str">
        <f t="shared" si="12"/>
        <v/>
      </c>
      <c r="I117" s="27">
        <f t="shared" si="11"/>
        <v>0</v>
      </c>
      <c r="J117" t="b">
        <f t="shared" si="9"/>
        <v>1</v>
      </c>
    </row>
    <row r="118" spans="6:10" x14ac:dyDescent="0.25">
      <c r="F118" s="35"/>
      <c r="G118" s="22">
        <f t="shared" si="10"/>
        <v>0</v>
      </c>
      <c r="H118" s="29" t="str">
        <f t="shared" si="12"/>
        <v/>
      </c>
      <c r="I118" s="27">
        <f t="shared" si="11"/>
        <v>0</v>
      </c>
      <c r="J118" t="b">
        <f t="shared" si="9"/>
        <v>1</v>
      </c>
    </row>
    <row r="119" spans="6:10" x14ac:dyDescent="0.25">
      <c r="F119" s="35"/>
      <c r="G119" s="22">
        <f t="shared" si="10"/>
        <v>0</v>
      </c>
      <c r="H119" s="29" t="str">
        <f t="shared" si="12"/>
        <v/>
      </c>
      <c r="I119" s="27">
        <f t="shared" si="11"/>
        <v>0</v>
      </c>
      <c r="J119" t="b">
        <f t="shared" si="9"/>
        <v>1</v>
      </c>
    </row>
    <row r="120" spans="6:10" x14ac:dyDescent="0.25">
      <c r="F120" s="35"/>
      <c r="G120" s="22">
        <f t="shared" si="10"/>
        <v>0</v>
      </c>
      <c r="H120" s="29" t="str">
        <f t="shared" si="12"/>
        <v/>
      </c>
      <c r="I120" s="27">
        <f t="shared" si="11"/>
        <v>0</v>
      </c>
      <c r="J120" t="b">
        <f t="shared" si="9"/>
        <v>1</v>
      </c>
    </row>
    <row r="121" spans="6:10" x14ac:dyDescent="0.25">
      <c r="F121" s="35"/>
      <c r="G121" s="22">
        <f t="shared" si="10"/>
        <v>0</v>
      </c>
      <c r="H121" s="29" t="str">
        <f t="shared" si="12"/>
        <v/>
      </c>
      <c r="I121" s="27">
        <f t="shared" si="11"/>
        <v>0</v>
      </c>
      <c r="J121" t="b">
        <f t="shared" si="9"/>
        <v>1</v>
      </c>
    </row>
    <row r="122" spans="6:10" x14ac:dyDescent="0.25">
      <c r="F122" s="35"/>
      <c r="G122" s="22">
        <f t="shared" si="10"/>
        <v>0</v>
      </c>
      <c r="H122" s="29" t="str">
        <f t="shared" si="12"/>
        <v/>
      </c>
      <c r="I122" s="27">
        <f t="shared" si="11"/>
        <v>0</v>
      </c>
      <c r="J122" t="b">
        <f t="shared" si="9"/>
        <v>1</v>
      </c>
    </row>
    <row r="123" spans="6:10" x14ac:dyDescent="0.25">
      <c r="F123" s="35"/>
      <c r="G123" s="22">
        <f t="shared" si="10"/>
        <v>0</v>
      </c>
      <c r="H123" s="29" t="str">
        <f t="shared" si="12"/>
        <v/>
      </c>
      <c r="I123" s="27">
        <f t="shared" si="11"/>
        <v>0</v>
      </c>
      <c r="J123" t="b">
        <f t="shared" si="9"/>
        <v>1</v>
      </c>
    </row>
    <row r="124" spans="6:10" x14ac:dyDescent="0.25">
      <c r="F124" s="35"/>
      <c r="G124" s="22">
        <f t="shared" si="10"/>
        <v>0</v>
      </c>
      <c r="H124" s="29" t="str">
        <f t="shared" si="12"/>
        <v/>
      </c>
      <c r="I124" s="27">
        <f t="shared" si="11"/>
        <v>0</v>
      </c>
      <c r="J124" t="b">
        <f t="shared" si="9"/>
        <v>1</v>
      </c>
    </row>
    <row r="125" spans="6:10" x14ac:dyDescent="0.25">
      <c r="F125" s="35"/>
      <c r="G125" s="22">
        <f t="shared" si="10"/>
        <v>0</v>
      </c>
      <c r="H125" s="29" t="str">
        <f t="shared" si="12"/>
        <v/>
      </c>
      <c r="I125" s="27">
        <f t="shared" si="11"/>
        <v>0</v>
      </c>
      <c r="J125" t="b">
        <f t="shared" si="9"/>
        <v>1</v>
      </c>
    </row>
    <row r="126" spans="6:10" x14ac:dyDescent="0.25">
      <c r="F126" s="35"/>
      <c r="G126" s="22">
        <f t="shared" si="10"/>
        <v>0</v>
      </c>
      <c r="H126" s="29" t="str">
        <f t="shared" si="12"/>
        <v/>
      </c>
      <c r="I126" s="27">
        <f t="shared" si="11"/>
        <v>0</v>
      </c>
      <c r="J126" t="b">
        <f t="shared" si="9"/>
        <v>1</v>
      </c>
    </row>
    <row r="127" spans="6:10" x14ac:dyDescent="0.25">
      <c r="F127" s="35"/>
      <c r="G127" s="22">
        <f t="shared" si="10"/>
        <v>0</v>
      </c>
      <c r="H127" s="29" t="str">
        <f t="shared" si="12"/>
        <v/>
      </c>
      <c r="I127" s="27">
        <f t="shared" si="11"/>
        <v>0</v>
      </c>
      <c r="J127" t="b">
        <f t="shared" si="9"/>
        <v>1</v>
      </c>
    </row>
    <row r="128" spans="6:10" x14ac:dyDescent="0.25">
      <c r="F128" s="35"/>
      <c r="G128" s="22">
        <f t="shared" si="10"/>
        <v>0</v>
      </c>
      <c r="H128" s="29" t="str">
        <f t="shared" si="12"/>
        <v/>
      </c>
      <c r="I128" s="27">
        <f t="shared" si="11"/>
        <v>0</v>
      </c>
      <c r="J128" t="b">
        <f t="shared" si="9"/>
        <v>1</v>
      </c>
    </row>
    <row r="129" spans="6:10" x14ac:dyDescent="0.25">
      <c r="F129" s="35"/>
      <c r="G129" s="22">
        <f t="shared" si="10"/>
        <v>0</v>
      </c>
      <c r="H129" s="29" t="str">
        <f t="shared" si="12"/>
        <v/>
      </c>
      <c r="I129" s="27">
        <f t="shared" si="11"/>
        <v>0</v>
      </c>
      <c r="J129" t="b">
        <f t="shared" si="9"/>
        <v>1</v>
      </c>
    </row>
    <row r="130" spans="6:10" x14ac:dyDescent="0.25">
      <c r="F130" s="35"/>
      <c r="G130" s="22">
        <f t="shared" si="10"/>
        <v>0</v>
      </c>
      <c r="H130" s="29" t="str">
        <f t="shared" si="12"/>
        <v/>
      </c>
      <c r="I130" s="27">
        <f t="shared" si="11"/>
        <v>0</v>
      </c>
      <c r="J130" t="b">
        <f t="shared" si="9"/>
        <v>1</v>
      </c>
    </row>
    <row r="131" spans="6:10" x14ac:dyDescent="0.25">
      <c r="F131" s="35"/>
      <c r="G131" s="22">
        <f t="shared" si="10"/>
        <v>0</v>
      </c>
      <c r="H131" s="29" t="str">
        <f t="shared" si="12"/>
        <v/>
      </c>
      <c r="I131" s="27">
        <f t="shared" si="11"/>
        <v>0</v>
      </c>
      <c r="J131" t="b">
        <f t="shared" si="9"/>
        <v>1</v>
      </c>
    </row>
    <row r="132" spans="6:10" x14ac:dyDescent="0.25">
      <c r="F132" s="35"/>
      <c r="G132" s="22">
        <f t="shared" si="10"/>
        <v>0</v>
      </c>
      <c r="H132" s="29" t="str">
        <f t="shared" si="12"/>
        <v/>
      </c>
      <c r="I132" s="27">
        <f t="shared" si="11"/>
        <v>0</v>
      </c>
      <c r="J132" t="b">
        <f t="shared" si="9"/>
        <v>1</v>
      </c>
    </row>
    <row r="133" spans="6:10" x14ac:dyDescent="0.25">
      <c r="F133" s="35"/>
      <c r="G133" s="22">
        <f t="shared" ref="G133:G144" si="13">IF(B133&gt;=5,1,0)</f>
        <v>0</v>
      </c>
      <c r="H133" s="29" t="str">
        <f t="shared" si="12"/>
        <v/>
      </c>
      <c r="I133" s="27">
        <f t="shared" si="11"/>
        <v>0</v>
      </c>
      <c r="J133" t="b">
        <f t="shared" ref="J133:J144" si="14">AND(_xlfn.ISFORMULA(G133),NOT(ISNUMBER(F133)))</f>
        <v>1</v>
      </c>
    </row>
    <row r="134" spans="6:10" x14ac:dyDescent="0.25">
      <c r="F134" s="35"/>
      <c r="G134" s="22">
        <f t="shared" si="13"/>
        <v>0</v>
      </c>
      <c r="H134" s="29" t="str">
        <f t="shared" si="12"/>
        <v/>
      </c>
      <c r="I134" s="27">
        <f t="shared" si="11"/>
        <v>0</v>
      </c>
      <c r="J134" t="b">
        <f t="shared" si="14"/>
        <v>1</v>
      </c>
    </row>
    <row r="135" spans="6:10" x14ac:dyDescent="0.25">
      <c r="F135" s="35"/>
      <c r="G135" s="22">
        <f t="shared" si="13"/>
        <v>0</v>
      </c>
      <c r="H135" s="29" t="str">
        <f t="shared" si="12"/>
        <v/>
      </c>
      <c r="I135" s="27">
        <f t="shared" si="11"/>
        <v>0</v>
      </c>
      <c r="J135" t="b">
        <f t="shared" si="14"/>
        <v>1</v>
      </c>
    </row>
    <row r="136" spans="6:10" x14ac:dyDescent="0.25">
      <c r="F136" s="35"/>
      <c r="G136" s="22">
        <f t="shared" si="13"/>
        <v>0</v>
      </c>
      <c r="H136" s="29" t="str">
        <f t="shared" si="12"/>
        <v/>
      </c>
      <c r="I136" s="27">
        <f t="shared" si="11"/>
        <v>0</v>
      </c>
      <c r="J136" t="b">
        <f t="shared" si="14"/>
        <v>1</v>
      </c>
    </row>
    <row r="137" spans="6:10" x14ac:dyDescent="0.25">
      <c r="F137" s="35"/>
      <c r="G137" s="22">
        <f t="shared" si="13"/>
        <v>0</v>
      </c>
      <c r="H137" s="29" t="str">
        <f t="shared" si="12"/>
        <v/>
      </c>
      <c r="I137" s="27">
        <f t="shared" si="11"/>
        <v>0</v>
      </c>
      <c r="J137" t="b">
        <f t="shared" si="14"/>
        <v>1</v>
      </c>
    </row>
    <row r="138" spans="6:10" x14ac:dyDescent="0.25">
      <c r="F138" s="35"/>
      <c r="G138" s="22">
        <f t="shared" si="13"/>
        <v>0</v>
      </c>
      <c r="H138" s="29" t="str">
        <f t="shared" si="12"/>
        <v/>
      </c>
      <c r="I138" s="27">
        <f t="shared" si="11"/>
        <v>0</v>
      </c>
      <c r="J138" t="b">
        <f t="shared" si="14"/>
        <v>1</v>
      </c>
    </row>
    <row r="139" spans="6:10" x14ac:dyDescent="0.25">
      <c r="F139" s="35"/>
      <c r="G139" s="22">
        <f t="shared" si="13"/>
        <v>0</v>
      </c>
      <c r="H139" s="29" t="str">
        <f t="shared" si="12"/>
        <v/>
      </c>
      <c r="I139" s="27">
        <f t="shared" si="11"/>
        <v>0</v>
      </c>
      <c r="J139" t="b">
        <f t="shared" si="14"/>
        <v>1</v>
      </c>
    </row>
    <row r="140" spans="6:10" x14ac:dyDescent="0.25">
      <c r="F140" s="35"/>
      <c r="G140" s="22">
        <f t="shared" si="13"/>
        <v>0</v>
      </c>
      <c r="H140" s="29" t="str">
        <f t="shared" si="12"/>
        <v/>
      </c>
      <c r="I140" s="27">
        <f t="shared" si="11"/>
        <v>0</v>
      </c>
      <c r="J140" t="b">
        <f t="shared" si="14"/>
        <v>1</v>
      </c>
    </row>
    <row r="141" spans="6:10" x14ac:dyDescent="0.25">
      <c r="F141" s="35"/>
      <c r="G141" s="22">
        <f t="shared" si="13"/>
        <v>0</v>
      </c>
      <c r="H141" s="29" t="str">
        <f t="shared" si="12"/>
        <v/>
      </c>
      <c r="I141" s="27">
        <f t="shared" si="11"/>
        <v>0</v>
      </c>
      <c r="J141" t="b">
        <f t="shared" si="14"/>
        <v>1</v>
      </c>
    </row>
    <row r="142" spans="6:10" x14ac:dyDescent="0.25">
      <c r="F142" s="35"/>
      <c r="G142" s="22">
        <f t="shared" si="13"/>
        <v>0</v>
      </c>
      <c r="H142" s="29" t="str">
        <f t="shared" si="12"/>
        <v/>
      </c>
      <c r="I142" s="27">
        <f t="shared" si="11"/>
        <v>0</v>
      </c>
      <c r="J142" t="b">
        <f t="shared" si="14"/>
        <v>1</v>
      </c>
    </row>
    <row r="143" spans="6:10" x14ac:dyDescent="0.25">
      <c r="F143" s="35"/>
      <c r="G143" s="22">
        <f t="shared" si="13"/>
        <v>0</v>
      </c>
      <c r="H143" s="29" t="str">
        <f t="shared" si="12"/>
        <v/>
      </c>
      <c r="I143" s="27">
        <f t="shared" si="11"/>
        <v>0</v>
      </c>
      <c r="J143" t="b">
        <f t="shared" si="14"/>
        <v>1</v>
      </c>
    </row>
    <row r="144" spans="6:10" x14ac:dyDescent="0.25">
      <c r="F144" s="35"/>
      <c r="G144" s="22">
        <f t="shared" si="13"/>
        <v>0</v>
      </c>
      <c r="H144" s="29" t="str">
        <f t="shared" si="12"/>
        <v/>
      </c>
      <c r="I144" s="27">
        <f t="shared" si="11"/>
        <v>0</v>
      </c>
      <c r="J144" t="b">
        <f t="shared" si="14"/>
        <v>1</v>
      </c>
    </row>
  </sheetData>
  <mergeCells count="1">
    <mergeCell ref="A2:C2"/>
  </mergeCells>
  <conditionalFormatting sqref="H1:H1048576">
    <cfRule type="containsText" dxfId="436" priority="3" operator="containsText" text="TONG">
      <formula>NOT(ISERROR(SEARCH("TONG",H1)))</formula>
    </cfRule>
  </conditionalFormatting>
  <conditionalFormatting sqref="J1:J1048576">
    <cfRule type="cellIs" dxfId="435" priority="2" operator="notEqual">
      <formula>TRUE</formula>
    </cfRule>
  </conditionalFormatting>
  <conditionalFormatting sqref="F1:F1048576">
    <cfRule type="cellIs" dxfId="434" priority="1" operator="greaterThan">
      <formula>0</formula>
    </cfRule>
  </conditionalFormatting>
  <pageMargins left="0.2" right="0.7" top="0.25" bottom="0.25" header="0.3" footer="0.3"/>
  <pageSetup paperSize="11" scale="26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73338-5A4F-4E9D-95E6-0F0881FCD164}">
  <sheetPr codeName="Sheet1">
    <tabColor rgb="FFFF0000"/>
    <pageSetUpPr fitToPage="1"/>
  </sheetPr>
  <dimension ref="A1:L10"/>
  <sheetViews>
    <sheetView zoomScale="120" zoomScaleNormal="12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9" sqref="B9"/>
    </sheetView>
  </sheetViews>
  <sheetFormatPr defaultRowHeight="15" outlineLevelCol="1" x14ac:dyDescent="0.25"/>
  <cols>
    <col min="1" max="1" width="16.140625" bestFit="1" customWidth="1"/>
    <col min="2" max="2" width="12" bestFit="1" customWidth="1"/>
    <col min="3" max="3" width="10.5703125" hidden="1" customWidth="1" outlineLevel="1"/>
    <col min="4" max="4" width="17.85546875" hidden="1" customWidth="1" outlineLevel="1"/>
    <col min="5" max="5" width="5.7109375" hidden="1" customWidth="1" outlineLevel="1"/>
    <col min="6" max="6" width="6.85546875" hidden="1" customWidth="1" outlineLevel="1"/>
    <col min="7" max="7" width="7.5703125" customWidth="1" collapsed="1"/>
    <col min="8" max="10" width="7.5703125" customWidth="1"/>
    <col min="11" max="11" width="6.28515625" bestFit="1" customWidth="1" outlineLevel="1"/>
    <col min="12" max="12" width="6.140625" bestFit="1" customWidth="1" outlineLevel="1"/>
    <col min="14" max="14" width="17.28515625" bestFit="1" customWidth="1"/>
    <col min="15" max="15" width="12.28515625" bestFit="1" customWidth="1"/>
  </cols>
  <sheetData>
    <row r="1" spans="1:12" ht="42" customHeight="1" x14ac:dyDescent="0.25"/>
    <row r="4" spans="1:12" ht="45" customHeight="1" x14ac:dyDescent="0.25">
      <c r="A4" s="5" t="s">
        <v>2</v>
      </c>
      <c r="B4" s="5" t="s">
        <v>3182</v>
      </c>
      <c r="C4" s="5" t="s">
        <v>3168</v>
      </c>
      <c r="D4" s="5" t="s">
        <v>3160</v>
      </c>
      <c r="E4" s="5" t="s">
        <v>3161</v>
      </c>
      <c r="F4" s="5" t="s">
        <v>3162</v>
      </c>
      <c r="G4" s="5" t="s">
        <v>3169</v>
      </c>
      <c r="H4" s="6" t="s">
        <v>3163</v>
      </c>
      <c r="I4" s="6" t="s">
        <v>3164</v>
      </c>
      <c r="J4" s="6" t="s">
        <v>3166</v>
      </c>
      <c r="K4" s="5" t="s">
        <v>3175</v>
      </c>
      <c r="L4" s="5" t="s">
        <v>3176</v>
      </c>
    </row>
    <row r="5" spans="1:12" x14ac:dyDescent="0.25">
      <c r="A5" s="8" t="s">
        <v>3041</v>
      </c>
      <c r="B5" s="9" t="s">
        <v>3241</v>
      </c>
      <c r="C5" s="4">
        <v>3200</v>
      </c>
      <c r="D5" s="4">
        <v>0</v>
      </c>
      <c r="E5" s="4">
        <f>_xlfn.XLOOKUP(A5,PACK!A:A,PACK!C:C)</f>
        <v>10</v>
      </c>
      <c r="F5" s="4">
        <f>_xlfn.XLOOKUP(A5,PACK!A:A,PACK!D:D)</f>
        <v>120</v>
      </c>
      <c r="G5" s="4">
        <f>_xlfn.XLOOKUP(A5,PACK!A:A,PACK!E:E)</f>
        <v>12</v>
      </c>
      <c r="H5" s="16">
        <f t="shared" ref="H5:H10" si="0">C5/E5</f>
        <v>320</v>
      </c>
      <c r="I5" s="16">
        <f t="shared" ref="I5:I10" si="1">ROUNDDOWN(C5/F5,0)</f>
        <v>26</v>
      </c>
      <c r="J5" s="45">
        <f t="shared" ref="J5:J10" si="2">MOD(H5,G5)</f>
        <v>8</v>
      </c>
      <c r="K5" s="7">
        <f t="shared" ref="K5:K10" si="3">E5</f>
        <v>10</v>
      </c>
      <c r="L5" s="7">
        <f t="shared" ref="L5:L10" si="4">E5*J5</f>
        <v>80</v>
      </c>
    </row>
    <row r="6" spans="1:12" x14ac:dyDescent="0.25">
      <c r="A6" s="8" t="s">
        <v>3048</v>
      </c>
      <c r="B6" s="9" t="s">
        <v>3241</v>
      </c>
      <c r="C6" s="4">
        <v>750</v>
      </c>
      <c r="D6" s="4">
        <v>0</v>
      </c>
      <c r="E6" s="4">
        <f>_xlfn.XLOOKUP(A6,PACK!A:A,PACK!C:C)</f>
        <v>6</v>
      </c>
      <c r="F6" s="4">
        <f>_xlfn.XLOOKUP(A6,PACK!A:A,PACK!D:D)</f>
        <v>72</v>
      </c>
      <c r="G6" s="4">
        <f>_xlfn.XLOOKUP(A6,PACK!A:A,PACK!E:E)</f>
        <v>12</v>
      </c>
      <c r="H6" s="16">
        <f t="shared" si="0"/>
        <v>125</v>
      </c>
      <c r="I6" s="16">
        <f t="shared" si="1"/>
        <v>10</v>
      </c>
      <c r="J6" s="16">
        <f t="shared" si="2"/>
        <v>5</v>
      </c>
      <c r="K6" s="7">
        <f t="shared" si="3"/>
        <v>6</v>
      </c>
      <c r="L6" s="7">
        <f t="shared" si="4"/>
        <v>30</v>
      </c>
    </row>
    <row r="7" spans="1:12" x14ac:dyDescent="0.25">
      <c r="A7" s="8" t="s">
        <v>3034</v>
      </c>
      <c r="B7" s="9" t="s">
        <v>3241</v>
      </c>
      <c r="C7" s="4">
        <v>1200</v>
      </c>
      <c r="D7" s="4">
        <v>0</v>
      </c>
      <c r="E7" s="4">
        <f>_xlfn.XLOOKUP(A7,PACK!A:A,PACK!C:C)</f>
        <v>20</v>
      </c>
      <c r="F7" s="4">
        <f>_xlfn.XLOOKUP(A7,PACK!A:A,PACK!D:D)</f>
        <v>160</v>
      </c>
      <c r="G7" s="4">
        <f>_xlfn.XLOOKUP(A7,PACK!A:A,PACK!E:E)</f>
        <v>8</v>
      </c>
      <c r="H7" s="16">
        <f t="shared" si="0"/>
        <v>60</v>
      </c>
      <c r="I7" s="16">
        <f t="shared" si="1"/>
        <v>7</v>
      </c>
      <c r="J7" s="16">
        <f t="shared" si="2"/>
        <v>4</v>
      </c>
      <c r="K7" s="7">
        <f t="shared" si="3"/>
        <v>20</v>
      </c>
      <c r="L7" s="7">
        <f t="shared" si="4"/>
        <v>80</v>
      </c>
    </row>
    <row r="8" spans="1:12" x14ac:dyDescent="0.25">
      <c r="A8" s="8" t="s">
        <v>3048</v>
      </c>
      <c r="B8" s="9" t="s">
        <v>3240</v>
      </c>
      <c r="C8" s="4">
        <v>450</v>
      </c>
      <c r="D8" s="4">
        <v>0</v>
      </c>
      <c r="E8" s="4">
        <f>_xlfn.XLOOKUP(A8,PACK!A:A,PACK!C:C)</f>
        <v>6</v>
      </c>
      <c r="F8" s="4">
        <f>_xlfn.XLOOKUP(A8,PACK!A:A,PACK!D:D)</f>
        <v>72</v>
      </c>
      <c r="G8" s="4">
        <f>_xlfn.XLOOKUP(A8,PACK!A:A,PACK!E:E)</f>
        <v>12</v>
      </c>
      <c r="H8" s="16">
        <f t="shared" si="0"/>
        <v>75</v>
      </c>
      <c r="I8" s="16">
        <f t="shared" si="1"/>
        <v>6</v>
      </c>
      <c r="J8" s="16">
        <f t="shared" si="2"/>
        <v>3</v>
      </c>
      <c r="K8" s="7">
        <f t="shared" si="3"/>
        <v>6</v>
      </c>
      <c r="L8" s="7">
        <f t="shared" si="4"/>
        <v>18</v>
      </c>
    </row>
    <row r="9" spans="1:12" x14ac:dyDescent="0.25">
      <c r="A9" s="8" t="s">
        <v>3021</v>
      </c>
      <c r="B9" s="9" t="s">
        <v>3241</v>
      </c>
      <c r="C9" s="4">
        <v>5760</v>
      </c>
      <c r="D9" s="4">
        <v>0</v>
      </c>
      <c r="E9" s="4">
        <f>_xlfn.XLOOKUP(A9,PACK!A:A,PACK!C:C)</f>
        <v>60</v>
      </c>
      <c r="F9" s="4">
        <f>_xlfn.XLOOKUP(A9,PACK!A:A,PACK!D:D)</f>
        <v>1080</v>
      </c>
      <c r="G9" s="4">
        <f>_xlfn.XLOOKUP(A9,PACK!A:A,PACK!E:E)</f>
        <v>18</v>
      </c>
      <c r="H9" s="16">
        <f t="shared" si="0"/>
        <v>96</v>
      </c>
      <c r="I9" s="16">
        <f t="shared" si="1"/>
        <v>5</v>
      </c>
      <c r="J9" s="16">
        <f t="shared" si="2"/>
        <v>6</v>
      </c>
      <c r="K9" s="7">
        <f t="shared" si="3"/>
        <v>60</v>
      </c>
      <c r="L9" s="7">
        <f t="shared" si="4"/>
        <v>360</v>
      </c>
    </row>
    <row r="10" spans="1:12" x14ac:dyDescent="0.25">
      <c r="A10" s="8" t="s">
        <v>3022</v>
      </c>
      <c r="B10" s="9" t="s">
        <v>3241</v>
      </c>
      <c r="C10" s="4">
        <v>4020</v>
      </c>
      <c r="D10" s="4">
        <v>0</v>
      </c>
      <c r="E10" s="4">
        <f>_xlfn.XLOOKUP(A10,PACK!A:A,PACK!C:C)</f>
        <v>60</v>
      </c>
      <c r="F10" s="4">
        <f>_xlfn.XLOOKUP(A10,PACK!A:A,PACK!D:D)</f>
        <v>840</v>
      </c>
      <c r="G10" s="4">
        <f>_xlfn.XLOOKUP(A10,PACK!A:A,PACK!E:E)</f>
        <v>14</v>
      </c>
      <c r="H10" s="16">
        <f t="shared" si="0"/>
        <v>67</v>
      </c>
      <c r="I10" s="16">
        <f t="shared" si="1"/>
        <v>4</v>
      </c>
      <c r="J10" s="16">
        <f t="shared" si="2"/>
        <v>11</v>
      </c>
      <c r="K10" s="7">
        <f t="shared" si="3"/>
        <v>60</v>
      </c>
      <c r="L10" s="7">
        <f t="shared" si="4"/>
        <v>660</v>
      </c>
    </row>
  </sheetData>
  <sortState xmlns:xlrd2="http://schemas.microsoft.com/office/spreadsheetml/2017/richdata2" ref="A5:L10">
    <sortCondition descending="1" ref="I5:I10"/>
    <sortCondition descending="1" ref="J5:J10"/>
    <sortCondition ref="A5:A10"/>
  </sortState>
  <conditionalFormatting sqref="A5:A10">
    <cfRule type="duplicateValues" dxfId="279" priority="1"/>
  </conditionalFormatting>
  <pageMargins left="0.2" right="0.7" top="0.25" bottom="0.2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XLSX">
                <anchor>
                  <from>
                    <xdr:col>0</xdr:col>
                    <xdr:colOff>142875</xdr:colOff>
                    <xdr:row>0</xdr:row>
                    <xdr:rowOff>104775</xdr:rowOff>
                  </from>
                  <to>
                    <xdr:col>1</xdr:col>
                    <xdr:colOff>47625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XLSXPack">
                <anchor>
                  <from>
                    <xdr:col>1</xdr:col>
                    <xdr:colOff>200025</xdr:colOff>
                    <xdr:row>0</xdr:row>
                    <xdr:rowOff>85725</xdr:rowOff>
                  </from>
                  <to>
                    <xdr:col>6</xdr:col>
                    <xdr:colOff>19050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DD11-F063-4C47-8B2C-79933AD7E286}">
  <sheetPr codeName="Sheet8"/>
  <dimension ref="A1:S499"/>
  <sheetViews>
    <sheetView topLeftCell="B16" workbookViewId="0">
      <selection activeCell="F7" sqref="F7"/>
    </sheetView>
  </sheetViews>
  <sheetFormatPr defaultRowHeight="15" x14ac:dyDescent="0.25"/>
  <cols>
    <col min="1" max="1" width="23.28515625" style="21" bestFit="1" customWidth="1"/>
    <col min="2" max="2" width="20.85546875" style="21" bestFit="1" customWidth="1"/>
    <col min="3" max="3" width="19.5703125" style="21" bestFit="1" customWidth="1"/>
    <col min="4" max="4" width="13.140625" style="21" bestFit="1" customWidth="1"/>
    <col min="5" max="5" width="5" style="21" bestFit="1" customWidth="1"/>
    <col min="6" max="8" width="9.140625" style="21"/>
    <col min="10" max="10" width="9.140625" style="41"/>
    <col min="16" max="16" width="15.7109375" bestFit="1" customWidth="1"/>
    <col min="17" max="17" width="19.5703125" bestFit="1" customWidth="1"/>
  </cols>
  <sheetData>
    <row r="1" spans="1:19" x14ac:dyDescent="0.25">
      <c r="A1" s="37" t="s">
        <v>2</v>
      </c>
      <c r="B1" s="37" t="s">
        <v>9</v>
      </c>
      <c r="C1" s="21" t="s">
        <v>3230</v>
      </c>
      <c r="D1" s="39" t="s">
        <v>3231</v>
      </c>
      <c r="E1" s="39" t="s">
        <v>3225</v>
      </c>
      <c r="F1" s="21" t="s">
        <v>3161</v>
      </c>
      <c r="G1" s="21" t="s">
        <v>3162</v>
      </c>
      <c r="H1" s="21" t="s">
        <v>62</v>
      </c>
      <c r="I1" s="39" t="s">
        <v>3211</v>
      </c>
      <c r="J1" s="40" t="s">
        <v>3228</v>
      </c>
      <c r="K1" s="39" t="s">
        <v>3166</v>
      </c>
      <c r="L1" s="39" t="s">
        <v>3227</v>
      </c>
      <c r="P1" s="1" t="s">
        <v>3224</v>
      </c>
      <c r="Q1" t="s">
        <v>3230</v>
      </c>
      <c r="R1" t="s">
        <v>3161</v>
      </c>
      <c r="S1" t="s">
        <v>3211</v>
      </c>
    </row>
    <row r="2" spans="1:19" x14ac:dyDescent="0.25">
      <c r="A2" s="21" t="s">
        <v>3433</v>
      </c>
      <c r="B2" s="21" t="s">
        <v>4321</v>
      </c>
      <c r="C2" s="38">
        <v>200000</v>
      </c>
      <c r="D2" s="43" t="str">
        <f t="shared" ref="D2:D7" si="0">IFERROR(MID(A2,FIND("_",A2)+1,FIND("_",A2,FIND("_",A2)+1)-FIND("_",A2)-1),"")</f>
        <v>BKD-20</v>
      </c>
      <c r="E2" s="43" t="str">
        <f t="shared" ref="E2:E7" si="1">IFERROR(LEFT(B2,FIND("/",B2)-1),"")</f>
        <v>40</v>
      </c>
      <c r="F2" s="21">
        <f>IFERROR(INDEX(PACK!$C:$C,MATCH($A2,PACK!$A:$A,0)),"")</f>
        <v>200</v>
      </c>
      <c r="G2" s="21">
        <f>IFERROR(INDEX(PACK!$D:$D,MATCH($A2,PACK!$A:$A,0)),"")</f>
        <v>7200</v>
      </c>
      <c r="H2" s="21">
        <f>IFERROR(INDEX(PACK!$E:$E,MATCH($A2,PACK!$A:$A,0)),"")</f>
        <v>36</v>
      </c>
      <c r="I2" s="21">
        <f t="shared" ref="I2:I7" si="2">IFERROR(C2/F2,"")</f>
        <v>1000</v>
      </c>
      <c r="J2" s="21">
        <f t="shared" ref="J2:J7" si="3">IFERROR(ROUNDDOWN(C2/G2,0),"")</f>
        <v>27</v>
      </c>
      <c r="K2" s="21">
        <f t="shared" ref="K2:K7" si="4">IFERROR(MOD(I2,H2),"")</f>
        <v>28</v>
      </c>
      <c r="L2" s="21">
        <f t="shared" ref="L2:L7" si="5">IFERROR(K2*F2,"")</f>
        <v>5600</v>
      </c>
      <c r="P2" s="36" t="s">
        <v>3433</v>
      </c>
      <c r="Q2" s="2">
        <v>200000</v>
      </c>
      <c r="R2" s="21">
        <f>IFERROR(INDEX(PACK!$C:$C,MATCH($P2,PACK!$A:$A,0)),"")</f>
        <v>200</v>
      </c>
      <c r="S2" s="21">
        <f>IFERROR(Q2/R2,"")</f>
        <v>1000</v>
      </c>
    </row>
    <row r="3" spans="1:19" x14ac:dyDescent="0.25">
      <c r="A3" s="21" t="s">
        <v>3434</v>
      </c>
      <c r="B3" s="21" t="s">
        <v>4321</v>
      </c>
      <c r="C3" s="38">
        <v>10000</v>
      </c>
      <c r="D3" s="43" t="str">
        <f t="shared" si="0"/>
        <v>BKG-20</v>
      </c>
      <c r="E3" s="43" t="str">
        <f t="shared" si="1"/>
        <v>40</v>
      </c>
      <c r="F3" s="21">
        <f>IFERROR(INDEX(PACK!$C:$C,MATCH($A3,PACK!$A:$A,0)),"")</f>
        <v>200</v>
      </c>
      <c r="G3" s="21">
        <f>IFERROR(INDEX(PACK!$D:$D,MATCH($A3,PACK!$A:$A,0)),"")</f>
        <v>7200</v>
      </c>
      <c r="H3" s="21">
        <f>IFERROR(INDEX(PACK!$E:$E,MATCH($A3,PACK!$A:$A,0)),"")</f>
        <v>36</v>
      </c>
      <c r="I3" s="21">
        <f t="shared" si="2"/>
        <v>50</v>
      </c>
      <c r="J3" s="21">
        <f t="shared" si="3"/>
        <v>1</v>
      </c>
      <c r="K3" s="21">
        <f t="shared" si="4"/>
        <v>14</v>
      </c>
      <c r="L3" s="21">
        <f t="shared" si="5"/>
        <v>2800</v>
      </c>
      <c r="P3" s="36" t="s">
        <v>3434</v>
      </c>
      <c r="Q3" s="2">
        <v>10000</v>
      </c>
      <c r="R3" s="21">
        <f>IFERROR(INDEX(PACK!$C:$C,MATCH($P3,PACK!$A:$A,0)),"")</f>
        <v>200</v>
      </c>
      <c r="S3" s="21">
        <f t="shared" ref="S3:S66" si="6">IFERROR(Q3/R3,"")</f>
        <v>50</v>
      </c>
    </row>
    <row r="4" spans="1:19" x14ac:dyDescent="0.25">
      <c r="A4" s="21" t="s">
        <v>3435</v>
      </c>
      <c r="B4" s="21" t="s">
        <v>4321</v>
      </c>
      <c r="C4" s="38">
        <v>11000</v>
      </c>
      <c r="D4" s="43" t="str">
        <f t="shared" si="0"/>
        <v>BKR-20</v>
      </c>
      <c r="E4" s="43" t="str">
        <f t="shared" si="1"/>
        <v>40</v>
      </c>
      <c r="F4" s="21">
        <f>IFERROR(INDEX(PACK!$C:$C,MATCH($A4,PACK!$A:$A,0)),"")</f>
        <v>200</v>
      </c>
      <c r="G4" s="21">
        <f>IFERROR(INDEX(PACK!$D:$D,MATCH($A4,PACK!$A:$A,0)),"")</f>
        <v>7200</v>
      </c>
      <c r="H4" s="21">
        <f>IFERROR(INDEX(PACK!$E:$E,MATCH($A4,PACK!$A:$A,0)),"")</f>
        <v>36</v>
      </c>
      <c r="I4" s="21">
        <f t="shared" si="2"/>
        <v>55</v>
      </c>
      <c r="J4" s="21">
        <f t="shared" si="3"/>
        <v>1</v>
      </c>
      <c r="K4" s="21">
        <f t="shared" si="4"/>
        <v>19</v>
      </c>
      <c r="L4" s="21">
        <f t="shared" si="5"/>
        <v>3800</v>
      </c>
      <c r="P4" s="36" t="s">
        <v>3435</v>
      </c>
      <c r="Q4" s="2">
        <v>11000</v>
      </c>
      <c r="R4" s="21">
        <f>IFERROR(INDEX(PACK!$C:$C,MATCH($P4,PACK!$A:$A,0)),"")</f>
        <v>200</v>
      </c>
      <c r="S4" s="21">
        <f t="shared" si="6"/>
        <v>55</v>
      </c>
    </row>
    <row r="5" spans="1:19" x14ac:dyDescent="0.25">
      <c r="A5" s="21" t="s">
        <v>3436</v>
      </c>
      <c r="B5" s="21" t="s">
        <v>4321</v>
      </c>
      <c r="C5" s="38">
        <v>7000</v>
      </c>
      <c r="D5" s="43" t="str">
        <f t="shared" si="0"/>
        <v>BKY-20</v>
      </c>
      <c r="E5" s="43" t="str">
        <f t="shared" si="1"/>
        <v>40</v>
      </c>
      <c r="F5" s="21">
        <f>IFERROR(INDEX(PACK!$C:$C,MATCH($A5,PACK!$A:$A,0)),"")</f>
        <v>200</v>
      </c>
      <c r="G5" s="21">
        <f>IFERROR(INDEX(PACK!$D:$D,MATCH($A5,PACK!$A:$A,0)),"")</f>
        <v>7200</v>
      </c>
      <c r="H5" s="21">
        <f>IFERROR(INDEX(PACK!$E:$E,MATCH($A5,PACK!$A:$A,0)),"")</f>
        <v>36</v>
      </c>
      <c r="I5" s="21">
        <f t="shared" si="2"/>
        <v>35</v>
      </c>
      <c r="J5" s="21">
        <f t="shared" si="3"/>
        <v>0</v>
      </c>
      <c r="K5" s="21">
        <f t="shared" si="4"/>
        <v>35</v>
      </c>
      <c r="L5" s="21">
        <f t="shared" si="5"/>
        <v>7000</v>
      </c>
      <c r="P5" s="36" t="s">
        <v>3436</v>
      </c>
      <c r="Q5" s="2">
        <v>7000</v>
      </c>
      <c r="R5" s="21">
        <f>IFERROR(INDEX(PACK!$C:$C,MATCH($P5,PACK!$A:$A,0)),"")</f>
        <v>200</v>
      </c>
      <c r="S5" s="21">
        <f t="shared" si="6"/>
        <v>35</v>
      </c>
    </row>
    <row r="6" spans="1:19" x14ac:dyDescent="0.25">
      <c r="A6" s="21" t="s">
        <v>3437</v>
      </c>
      <c r="B6" s="21" t="s">
        <v>4321</v>
      </c>
      <c r="C6" s="38">
        <v>14000</v>
      </c>
      <c r="D6" s="43" t="str">
        <f t="shared" si="0"/>
        <v>BKW-20</v>
      </c>
      <c r="E6" s="43" t="str">
        <f t="shared" si="1"/>
        <v>40</v>
      </c>
      <c r="F6" s="21">
        <f>IFERROR(INDEX(PACK!$C:$C,MATCH($A6,PACK!$A:$A,0)),"")</f>
        <v>200</v>
      </c>
      <c r="G6" s="21">
        <f>IFERROR(INDEX(PACK!$D:$D,MATCH($A6,PACK!$A:$A,0)),"")</f>
        <v>7200</v>
      </c>
      <c r="H6" s="21">
        <f>IFERROR(INDEX(PACK!$E:$E,MATCH($A6,PACK!$A:$A,0)),"")</f>
        <v>36</v>
      </c>
      <c r="I6" s="21">
        <f t="shared" si="2"/>
        <v>70</v>
      </c>
      <c r="J6" s="21">
        <f t="shared" si="3"/>
        <v>1</v>
      </c>
      <c r="K6" s="21">
        <f t="shared" si="4"/>
        <v>34</v>
      </c>
      <c r="L6" s="21">
        <f t="shared" si="5"/>
        <v>6800</v>
      </c>
      <c r="P6" s="36" t="s">
        <v>3437</v>
      </c>
      <c r="Q6" s="2">
        <v>14000</v>
      </c>
      <c r="R6" s="21">
        <f>IFERROR(INDEX(PACK!$C:$C,MATCH($P6,PACK!$A:$A,0)),"")</f>
        <v>200</v>
      </c>
      <c r="S6" s="21">
        <f t="shared" si="6"/>
        <v>70</v>
      </c>
    </row>
    <row r="7" spans="1:19" x14ac:dyDescent="0.25">
      <c r="A7" s="21" t="s">
        <v>3172</v>
      </c>
      <c r="C7" s="38">
        <v>242000</v>
      </c>
      <c r="D7" s="43" t="str">
        <f t="shared" si="0"/>
        <v/>
      </c>
      <c r="E7" s="43" t="str">
        <f t="shared" si="1"/>
        <v/>
      </c>
      <c r="F7" s="21" t="str">
        <f>IFERROR(INDEX(PACK!$C:$C,MATCH($A7,PACK!$A:$A,0)),"")</f>
        <v/>
      </c>
      <c r="G7" s="21" t="str">
        <f>IFERROR(INDEX(PACK!$D:$D,MATCH($A7,PACK!$A:$A,0)),"")</f>
        <v/>
      </c>
      <c r="H7" s="21" t="str">
        <f>IFERROR(INDEX(PACK!$E:$E,MATCH($A7,PACK!$A:$A,0)),"")</f>
        <v/>
      </c>
      <c r="I7" s="21" t="str">
        <f t="shared" si="2"/>
        <v/>
      </c>
      <c r="J7" s="21" t="str">
        <f t="shared" si="3"/>
        <v/>
      </c>
      <c r="K7" s="21" t="str">
        <f t="shared" si="4"/>
        <v/>
      </c>
      <c r="L7" s="21" t="str">
        <f t="shared" si="5"/>
        <v/>
      </c>
      <c r="P7" s="36" t="s">
        <v>3172</v>
      </c>
      <c r="Q7" s="2">
        <v>242000</v>
      </c>
      <c r="R7" s="21" t="str">
        <f>IFERROR(INDEX(PACK!$C:$C,MATCH($P7,PACK!$A:$A,0)),"")</f>
        <v/>
      </c>
      <c r="S7" s="21" t="str">
        <f t="shared" si="6"/>
        <v/>
      </c>
    </row>
    <row r="8" spans="1:19" x14ac:dyDescent="0.25">
      <c r="A8"/>
      <c r="B8"/>
      <c r="C8"/>
      <c r="D8" s="43" t="str">
        <f t="shared" ref="D8:D34" si="7">IFERROR(MID(A8,FIND("_",A8)+1,FIND("_",A8,FIND("_",A8)+1)-FIND("_",A8)-1),"")</f>
        <v/>
      </c>
      <c r="E8" s="43" t="str">
        <f t="shared" ref="E8:E34" si="8">IFERROR(LEFT(B8,FIND("/",B8)-1),"")</f>
        <v/>
      </c>
      <c r="F8" s="21" t="str">
        <f>IFERROR(INDEX(PACK!$C:$C,MATCH($A8,PACK!$A:$A,0)),"")</f>
        <v/>
      </c>
      <c r="G8" s="21" t="str">
        <f>IFERROR(INDEX(PACK!$D:$D,MATCH($A8,PACK!$A:$A,0)),"")</f>
        <v/>
      </c>
      <c r="H8" s="21" t="str">
        <f>IFERROR(INDEX(PACK!$E:$E,MATCH($A8,PACK!$A:$A,0)),"")</f>
        <v/>
      </c>
      <c r="I8" s="21" t="str">
        <f t="shared" ref="I8:I34" si="9">IFERROR(C8/F8,"")</f>
        <v/>
      </c>
      <c r="J8" s="21" t="str">
        <f t="shared" ref="J8:J34" si="10">IFERROR(ROUNDDOWN(C8/G8,0),"")</f>
        <v/>
      </c>
      <c r="K8" s="21" t="str">
        <f t="shared" ref="K8:K34" si="11">IFERROR(MOD(I8,H8),"")</f>
        <v/>
      </c>
      <c r="L8" s="21" t="str">
        <f t="shared" ref="L8:L34" si="12">IFERROR(K8*F8,"")</f>
        <v/>
      </c>
      <c r="R8" s="21" t="str">
        <f>IFERROR(INDEX(PACK!$C:$C,MATCH($P8,PACK!$A:$A,0)),"")</f>
        <v/>
      </c>
      <c r="S8" s="21" t="str">
        <f t="shared" si="6"/>
        <v/>
      </c>
    </row>
    <row r="9" spans="1:19" x14ac:dyDescent="0.25">
      <c r="A9"/>
      <c r="B9"/>
      <c r="C9"/>
      <c r="D9" s="43" t="str">
        <f t="shared" si="7"/>
        <v/>
      </c>
      <c r="E9" s="43" t="str">
        <f t="shared" si="8"/>
        <v/>
      </c>
      <c r="F9" s="21" t="str">
        <f>IFERROR(INDEX(PACK!$C:$C,MATCH($A9,PACK!$A:$A,0)),"")</f>
        <v/>
      </c>
      <c r="G9" s="21" t="str">
        <f>IFERROR(INDEX(PACK!$D:$D,MATCH($A9,PACK!$A:$A,0)),"")</f>
        <v/>
      </c>
      <c r="H9" s="21" t="str">
        <f>IFERROR(INDEX(PACK!$E:$E,MATCH($A9,PACK!$A:$A,0)),"")</f>
        <v/>
      </c>
      <c r="I9" s="21" t="str">
        <f t="shared" si="9"/>
        <v/>
      </c>
      <c r="J9" s="21" t="str">
        <f t="shared" si="10"/>
        <v/>
      </c>
      <c r="K9" s="21" t="str">
        <f t="shared" si="11"/>
        <v/>
      </c>
      <c r="L9" s="21" t="str">
        <f t="shared" si="12"/>
        <v/>
      </c>
      <c r="R9" s="21" t="str">
        <f>IFERROR(INDEX(PACK!$C:$C,MATCH($P9,PACK!$A:$A,0)),"")</f>
        <v/>
      </c>
      <c r="S9" s="21" t="str">
        <f t="shared" si="6"/>
        <v/>
      </c>
    </row>
    <row r="10" spans="1:19" x14ac:dyDescent="0.25">
      <c r="A10"/>
      <c r="B10"/>
      <c r="C10"/>
      <c r="D10" s="43" t="str">
        <f t="shared" si="7"/>
        <v/>
      </c>
      <c r="E10" s="43" t="str">
        <f t="shared" si="8"/>
        <v/>
      </c>
      <c r="F10" s="21" t="str">
        <f>IFERROR(INDEX(PACK!$C:$C,MATCH($A10,PACK!$A:$A,0)),"")</f>
        <v/>
      </c>
      <c r="G10" s="21" t="str">
        <f>IFERROR(INDEX(PACK!$D:$D,MATCH($A10,PACK!$A:$A,0)),"")</f>
        <v/>
      </c>
      <c r="H10" s="21" t="str">
        <f>IFERROR(INDEX(PACK!$E:$E,MATCH($A10,PACK!$A:$A,0)),"")</f>
        <v/>
      </c>
      <c r="I10" s="21" t="str">
        <f t="shared" si="9"/>
        <v/>
      </c>
      <c r="J10" s="21" t="str">
        <f t="shared" si="10"/>
        <v/>
      </c>
      <c r="K10" s="21" t="str">
        <f t="shared" si="11"/>
        <v/>
      </c>
      <c r="L10" s="21" t="str">
        <f t="shared" si="12"/>
        <v/>
      </c>
      <c r="R10" s="21" t="str">
        <f>IFERROR(INDEX(PACK!$C:$C,MATCH($P10,PACK!$A:$A,0)),"")</f>
        <v/>
      </c>
      <c r="S10" s="21" t="str">
        <f t="shared" si="6"/>
        <v/>
      </c>
    </row>
    <row r="11" spans="1:19" x14ac:dyDescent="0.25">
      <c r="A11"/>
      <c r="B11"/>
      <c r="C11"/>
      <c r="D11" s="43" t="str">
        <f t="shared" si="7"/>
        <v/>
      </c>
      <c r="E11" s="43" t="str">
        <f t="shared" si="8"/>
        <v/>
      </c>
      <c r="F11" s="21" t="str">
        <f>IFERROR(INDEX(PACK!$C:$C,MATCH($A11,PACK!$A:$A,0)),"")</f>
        <v/>
      </c>
      <c r="G11" s="21" t="str">
        <f>IFERROR(INDEX(PACK!$D:$D,MATCH($A11,PACK!$A:$A,0)),"")</f>
        <v/>
      </c>
      <c r="H11" s="21" t="str">
        <f>IFERROR(INDEX(PACK!$E:$E,MATCH($A11,PACK!$A:$A,0)),"")</f>
        <v/>
      </c>
      <c r="I11" s="21" t="str">
        <f t="shared" si="9"/>
        <v/>
      </c>
      <c r="J11" s="21" t="str">
        <f t="shared" si="10"/>
        <v/>
      </c>
      <c r="K11" s="21" t="str">
        <f t="shared" si="11"/>
        <v/>
      </c>
      <c r="L11" s="21" t="str">
        <f t="shared" si="12"/>
        <v/>
      </c>
      <c r="R11" s="21" t="str">
        <f>IFERROR(INDEX(PACK!$C:$C,MATCH($P11,PACK!$A:$A,0)),"")</f>
        <v/>
      </c>
      <c r="S11" s="21" t="str">
        <f t="shared" si="6"/>
        <v/>
      </c>
    </row>
    <row r="12" spans="1:19" x14ac:dyDescent="0.25">
      <c r="A12"/>
      <c r="B12"/>
      <c r="C12"/>
      <c r="D12" s="43" t="str">
        <f t="shared" si="7"/>
        <v/>
      </c>
      <c r="E12" s="43" t="str">
        <f t="shared" si="8"/>
        <v/>
      </c>
      <c r="F12" s="21" t="str">
        <f>IFERROR(INDEX(PACK!$C:$C,MATCH($A12,PACK!$A:$A,0)),"")</f>
        <v/>
      </c>
      <c r="G12" s="21" t="str">
        <f>IFERROR(INDEX(PACK!$D:$D,MATCH($A12,PACK!$A:$A,0)),"")</f>
        <v/>
      </c>
      <c r="H12" s="21" t="str">
        <f>IFERROR(INDEX(PACK!$E:$E,MATCH($A12,PACK!$A:$A,0)),"")</f>
        <v/>
      </c>
      <c r="I12" s="21" t="str">
        <f t="shared" si="9"/>
        <v/>
      </c>
      <c r="J12" s="21" t="str">
        <f t="shared" si="10"/>
        <v/>
      </c>
      <c r="K12" s="21" t="str">
        <f t="shared" si="11"/>
        <v/>
      </c>
      <c r="L12" s="21" t="str">
        <f t="shared" si="12"/>
        <v/>
      </c>
      <c r="R12" s="21" t="str">
        <f>IFERROR(INDEX(PACK!$C:$C,MATCH($P12,PACK!$A:$A,0)),"")</f>
        <v/>
      </c>
      <c r="S12" s="21" t="str">
        <f t="shared" si="6"/>
        <v/>
      </c>
    </row>
    <row r="13" spans="1:19" x14ac:dyDescent="0.25">
      <c r="A13"/>
      <c r="B13"/>
      <c r="C13"/>
      <c r="D13" s="43" t="str">
        <f t="shared" si="7"/>
        <v/>
      </c>
      <c r="E13" s="43" t="str">
        <f t="shared" si="8"/>
        <v/>
      </c>
      <c r="F13" s="21" t="str">
        <f>IFERROR(INDEX(PACK!$C:$C,MATCH($A13,PACK!$A:$A,0)),"")</f>
        <v/>
      </c>
      <c r="G13" s="21" t="str">
        <f>IFERROR(INDEX(PACK!$D:$D,MATCH($A13,PACK!$A:$A,0)),"")</f>
        <v/>
      </c>
      <c r="H13" s="21" t="str">
        <f>IFERROR(INDEX(PACK!$E:$E,MATCH($A13,PACK!$A:$A,0)),"")</f>
        <v/>
      </c>
      <c r="I13" s="21" t="str">
        <f t="shared" si="9"/>
        <v/>
      </c>
      <c r="J13" s="21" t="str">
        <f t="shared" si="10"/>
        <v/>
      </c>
      <c r="K13" s="21" t="str">
        <f t="shared" si="11"/>
        <v/>
      </c>
      <c r="L13" s="21" t="str">
        <f t="shared" si="12"/>
        <v/>
      </c>
      <c r="R13" s="21" t="str">
        <f>IFERROR(INDEX(PACK!$C:$C,MATCH($P13,PACK!$A:$A,0)),"")</f>
        <v/>
      </c>
      <c r="S13" s="21" t="str">
        <f t="shared" si="6"/>
        <v/>
      </c>
    </row>
    <row r="14" spans="1:19" x14ac:dyDescent="0.25">
      <c r="A14"/>
      <c r="B14"/>
      <c r="C14"/>
      <c r="D14" s="43" t="str">
        <f t="shared" si="7"/>
        <v/>
      </c>
      <c r="E14" s="43" t="str">
        <f t="shared" si="8"/>
        <v/>
      </c>
      <c r="F14" s="21" t="str">
        <f>IFERROR(INDEX(PACK!$C:$C,MATCH($A14,PACK!$A:$A,0)),"")</f>
        <v/>
      </c>
      <c r="G14" s="21" t="str">
        <f>IFERROR(INDEX(PACK!$D:$D,MATCH($A14,PACK!$A:$A,0)),"")</f>
        <v/>
      </c>
      <c r="H14" s="21" t="str">
        <f>IFERROR(INDEX(PACK!$E:$E,MATCH($A14,PACK!$A:$A,0)),"")</f>
        <v/>
      </c>
      <c r="I14" s="21" t="str">
        <f t="shared" si="9"/>
        <v/>
      </c>
      <c r="J14" s="21" t="str">
        <f t="shared" si="10"/>
        <v/>
      </c>
      <c r="K14" s="21" t="str">
        <f t="shared" si="11"/>
        <v/>
      </c>
      <c r="L14" s="21" t="str">
        <f t="shared" si="12"/>
        <v/>
      </c>
      <c r="R14" s="21" t="str">
        <f>IFERROR(INDEX(PACK!$C:$C,MATCH($P14,PACK!$A:$A,0)),"")</f>
        <v/>
      </c>
      <c r="S14" s="21" t="str">
        <f t="shared" si="6"/>
        <v/>
      </c>
    </row>
    <row r="15" spans="1:19" x14ac:dyDescent="0.25">
      <c r="A15"/>
      <c r="B15"/>
      <c r="C15"/>
      <c r="D15" s="43" t="str">
        <f t="shared" si="7"/>
        <v/>
      </c>
      <c r="E15" s="43" t="str">
        <f t="shared" si="8"/>
        <v/>
      </c>
      <c r="F15" s="21" t="str">
        <f>IFERROR(INDEX(PACK!$C:$C,MATCH($A15,PACK!$A:$A,0)),"")</f>
        <v/>
      </c>
      <c r="G15" s="21" t="str">
        <f>IFERROR(INDEX(PACK!$D:$D,MATCH($A15,PACK!$A:$A,0)),"")</f>
        <v/>
      </c>
      <c r="H15" s="21" t="str">
        <f>IFERROR(INDEX(PACK!$E:$E,MATCH($A15,PACK!$A:$A,0)),"")</f>
        <v/>
      </c>
      <c r="I15" s="21" t="str">
        <f t="shared" si="9"/>
        <v/>
      </c>
      <c r="J15" s="21" t="str">
        <f t="shared" si="10"/>
        <v/>
      </c>
      <c r="K15" s="21" t="str">
        <f t="shared" si="11"/>
        <v/>
      </c>
      <c r="L15" s="21" t="str">
        <f t="shared" si="12"/>
        <v/>
      </c>
      <c r="R15" s="21" t="str">
        <f>IFERROR(INDEX(PACK!$C:$C,MATCH($P15,PACK!$A:$A,0)),"")</f>
        <v/>
      </c>
      <c r="S15" s="21" t="str">
        <f t="shared" si="6"/>
        <v/>
      </c>
    </row>
    <row r="16" spans="1:19" x14ac:dyDescent="0.25">
      <c r="A16"/>
      <c r="B16"/>
      <c r="C16"/>
      <c r="D16" s="43" t="str">
        <f t="shared" si="7"/>
        <v/>
      </c>
      <c r="E16" s="43" t="str">
        <f t="shared" si="8"/>
        <v/>
      </c>
      <c r="F16" s="21" t="str">
        <f>IFERROR(INDEX(PACK!$C:$C,MATCH($A16,PACK!$A:$A,0)),"")</f>
        <v/>
      </c>
      <c r="G16" s="21" t="str">
        <f>IFERROR(INDEX(PACK!$D:$D,MATCH($A16,PACK!$A:$A,0)),"")</f>
        <v/>
      </c>
      <c r="H16" s="21" t="str">
        <f>IFERROR(INDEX(PACK!$E:$E,MATCH($A16,PACK!$A:$A,0)),"")</f>
        <v/>
      </c>
      <c r="I16" s="21" t="str">
        <f t="shared" si="9"/>
        <v/>
      </c>
      <c r="J16" s="21" t="str">
        <f t="shared" si="10"/>
        <v/>
      </c>
      <c r="K16" s="21" t="str">
        <f t="shared" si="11"/>
        <v/>
      </c>
      <c r="L16" s="21" t="str">
        <f t="shared" si="12"/>
        <v/>
      </c>
      <c r="R16" s="21" t="str">
        <f>IFERROR(INDEX(PACK!$C:$C,MATCH($P16,PACK!$A:$A,0)),"")</f>
        <v/>
      </c>
      <c r="S16" s="21" t="str">
        <f t="shared" si="6"/>
        <v/>
      </c>
    </row>
    <row r="17" spans="1:19" x14ac:dyDescent="0.25">
      <c r="A17"/>
      <c r="B17"/>
      <c r="C17"/>
      <c r="D17" s="43" t="str">
        <f t="shared" si="7"/>
        <v/>
      </c>
      <c r="E17" s="43" t="str">
        <f t="shared" si="8"/>
        <v/>
      </c>
      <c r="F17" s="21" t="str">
        <f>IFERROR(INDEX(PACK!$C:$C,MATCH($A17,PACK!$A:$A,0)),"")</f>
        <v/>
      </c>
      <c r="G17" s="21" t="str">
        <f>IFERROR(INDEX(PACK!$D:$D,MATCH($A17,PACK!$A:$A,0)),"")</f>
        <v/>
      </c>
      <c r="H17" s="21" t="str">
        <f>IFERROR(INDEX(PACK!$E:$E,MATCH($A17,PACK!$A:$A,0)),"")</f>
        <v/>
      </c>
      <c r="I17" s="21" t="str">
        <f t="shared" si="9"/>
        <v/>
      </c>
      <c r="J17" s="21" t="str">
        <f t="shared" si="10"/>
        <v/>
      </c>
      <c r="K17" s="21" t="str">
        <f t="shared" si="11"/>
        <v/>
      </c>
      <c r="L17" s="21" t="str">
        <f t="shared" si="12"/>
        <v/>
      </c>
      <c r="R17" s="21" t="str">
        <f>IFERROR(INDEX(PACK!$C:$C,MATCH($P17,PACK!$A:$A,0)),"")</f>
        <v/>
      </c>
      <c r="S17" s="21" t="str">
        <f t="shared" si="6"/>
        <v/>
      </c>
    </row>
    <row r="18" spans="1:19" x14ac:dyDescent="0.25">
      <c r="A18"/>
      <c r="B18"/>
      <c r="C18"/>
      <c r="D18" s="43" t="str">
        <f t="shared" si="7"/>
        <v/>
      </c>
      <c r="E18" s="43" t="str">
        <f t="shared" si="8"/>
        <v/>
      </c>
      <c r="F18" s="21" t="str">
        <f>IFERROR(INDEX(PACK!$C:$C,MATCH($A18,PACK!$A:$A,0)),"")</f>
        <v/>
      </c>
      <c r="G18" s="21" t="str">
        <f>IFERROR(INDEX(PACK!$D:$D,MATCH($A18,PACK!$A:$A,0)),"")</f>
        <v/>
      </c>
      <c r="H18" s="21" t="str">
        <f>IFERROR(INDEX(PACK!$E:$E,MATCH($A18,PACK!$A:$A,0)),"")</f>
        <v/>
      </c>
      <c r="I18" s="21" t="str">
        <f t="shared" si="9"/>
        <v/>
      </c>
      <c r="J18" s="21" t="str">
        <f t="shared" si="10"/>
        <v/>
      </c>
      <c r="K18" s="21" t="str">
        <f t="shared" si="11"/>
        <v/>
      </c>
      <c r="L18" s="21" t="str">
        <f t="shared" si="12"/>
        <v/>
      </c>
      <c r="R18" s="21" t="str">
        <f>IFERROR(INDEX(PACK!$C:$C,MATCH($P18,PACK!$A:$A,0)),"")</f>
        <v/>
      </c>
      <c r="S18" s="21" t="str">
        <f t="shared" si="6"/>
        <v/>
      </c>
    </row>
    <row r="19" spans="1:19" x14ac:dyDescent="0.25">
      <c r="A19"/>
      <c r="B19"/>
      <c r="C19"/>
      <c r="D19" s="43" t="str">
        <f t="shared" si="7"/>
        <v/>
      </c>
      <c r="E19" s="43" t="str">
        <f t="shared" si="8"/>
        <v/>
      </c>
      <c r="F19" s="21" t="str">
        <f>IFERROR(INDEX(PACK!$C:$C,MATCH($A19,PACK!$A:$A,0)),"")</f>
        <v/>
      </c>
      <c r="G19" s="21" t="str">
        <f>IFERROR(INDEX(PACK!$D:$D,MATCH($A19,PACK!$A:$A,0)),"")</f>
        <v/>
      </c>
      <c r="H19" s="21" t="str">
        <f>IFERROR(INDEX(PACK!$E:$E,MATCH($A19,PACK!$A:$A,0)),"")</f>
        <v/>
      </c>
      <c r="I19" s="21" t="str">
        <f t="shared" si="9"/>
        <v/>
      </c>
      <c r="J19" s="21" t="str">
        <f t="shared" si="10"/>
        <v/>
      </c>
      <c r="K19" s="21" t="str">
        <f t="shared" si="11"/>
        <v/>
      </c>
      <c r="L19" s="21" t="str">
        <f t="shared" si="12"/>
        <v/>
      </c>
      <c r="R19" s="21" t="str">
        <f>IFERROR(INDEX(PACK!$C:$C,MATCH($P19,PACK!$A:$A,0)),"")</f>
        <v/>
      </c>
      <c r="S19" s="21" t="str">
        <f t="shared" si="6"/>
        <v/>
      </c>
    </row>
    <row r="20" spans="1:19" x14ac:dyDescent="0.25">
      <c r="A20"/>
      <c r="B20"/>
      <c r="C20"/>
      <c r="D20" s="43" t="str">
        <f t="shared" si="7"/>
        <v/>
      </c>
      <c r="E20" s="43" t="str">
        <f t="shared" si="8"/>
        <v/>
      </c>
      <c r="F20" s="21" t="str">
        <f>IFERROR(INDEX(PACK!$C:$C,MATCH($A20,PACK!$A:$A,0)),"")</f>
        <v/>
      </c>
      <c r="G20" s="21" t="str">
        <f>IFERROR(INDEX(PACK!$D:$D,MATCH($A20,PACK!$A:$A,0)),"")</f>
        <v/>
      </c>
      <c r="H20" s="21" t="str">
        <f>IFERROR(INDEX(PACK!$E:$E,MATCH($A20,PACK!$A:$A,0)),"")</f>
        <v/>
      </c>
      <c r="I20" s="21" t="str">
        <f t="shared" si="9"/>
        <v/>
      </c>
      <c r="J20" s="21" t="str">
        <f t="shared" si="10"/>
        <v/>
      </c>
      <c r="K20" s="21" t="str">
        <f t="shared" si="11"/>
        <v/>
      </c>
      <c r="L20" s="21" t="str">
        <f t="shared" si="12"/>
        <v/>
      </c>
      <c r="R20" s="21" t="str">
        <f>IFERROR(INDEX(PACK!$C:$C,MATCH($P20,PACK!$A:$A,0)),"")</f>
        <v/>
      </c>
      <c r="S20" s="21" t="str">
        <f t="shared" si="6"/>
        <v/>
      </c>
    </row>
    <row r="21" spans="1:19" x14ac:dyDescent="0.25">
      <c r="A21"/>
      <c r="B21"/>
      <c r="C21"/>
      <c r="D21" s="43" t="str">
        <f t="shared" si="7"/>
        <v/>
      </c>
      <c r="E21" s="43" t="str">
        <f t="shared" si="8"/>
        <v/>
      </c>
      <c r="F21" s="21" t="str">
        <f>IFERROR(INDEX(PACK!$C:$C,MATCH($A21,PACK!$A:$A,0)),"")</f>
        <v/>
      </c>
      <c r="G21" s="21" t="str">
        <f>IFERROR(INDEX(PACK!$D:$D,MATCH($A21,PACK!$A:$A,0)),"")</f>
        <v/>
      </c>
      <c r="H21" s="21" t="str">
        <f>IFERROR(INDEX(PACK!$E:$E,MATCH($A21,PACK!$A:$A,0)),"")</f>
        <v/>
      </c>
      <c r="I21" s="21" t="str">
        <f t="shared" si="9"/>
        <v/>
      </c>
      <c r="J21" s="21" t="str">
        <f t="shared" si="10"/>
        <v/>
      </c>
      <c r="K21" s="21" t="str">
        <f t="shared" si="11"/>
        <v/>
      </c>
      <c r="L21" s="21" t="str">
        <f t="shared" si="12"/>
        <v/>
      </c>
      <c r="R21" s="21" t="str">
        <f>IFERROR(INDEX(PACK!$C:$C,MATCH($P21,PACK!$A:$A,0)),"")</f>
        <v/>
      </c>
      <c r="S21" s="21" t="str">
        <f t="shared" si="6"/>
        <v/>
      </c>
    </row>
    <row r="22" spans="1:19" x14ac:dyDescent="0.25">
      <c r="A22"/>
      <c r="B22"/>
      <c r="C22"/>
      <c r="D22" s="43" t="str">
        <f t="shared" si="7"/>
        <v/>
      </c>
      <c r="E22" s="43" t="str">
        <f t="shared" si="8"/>
        <v/>
      </c>
      <c r="F22" s="21" t="str">
        <f>IFERROR(INDEX(PACK!$C:$C,MATCH($A22,PACK!$A:$A,0)),"")</f>
        <v/>
      </c>
      <c r="G22" s="21" t="str">
        <f>IFERROR(INDEX(PACK!$D:$D,MATCH($A22,PACK!$A:$A,0)),"")</f>
        <v/>
      </c>
      <c r="H22" s="21" t="str">
        <f>IFERROR(INDEX(PACK!$E:$E,MATCH($A22,PACK!$A:$A,0)),"")</f>
        <v/>
      </c>
      <c r="I22" s="21" t="str">
        <f t="shared" si="9"/>
        <v/>
      </c>
      <c r="J22" s="21" t="str">
        <f t="shared" si="10"/>
        <v/>
      </c>
      <c r="K22" s="21" t="str">
        <f t="shared" si="11"/>
        <v/>
      </c>
      <c r="L22" s="21" t="str">
        <f t="shared" si="12"/>
        <v/>
      </c>
      <c r="R22" s="21" t="str">
        <f>IFERROR(INDEX(PACK!$C:$C,MATCH($P22,PACK!$A:$A,0)),"")</f>
        <v/>
      </c>
      <c r="S22" s="21" t="str">
        <f t="shared" si="6"/>
        <v/>
      </c>
    </row>
    <row r="23" spans="1:19" x14ac:dyDescent="0.25">
      <c r="A23"/>
      <c r="B23"/>
      <c r="C23"/>
      <c r="D23" s="21" t="str">
        <f t="shared" si="7"/>
        <v/>
      </c>
      <c r="E23" s="21" t="str">
        <f t="shared" si="8"/>
        <v/>
      </c>
      <c r="F23" s="21" t="str">
        <f>IFERROR(INDEX(PACK!$C:$C,MATCH($A23,PACK!$A:$A,0)),"")</f>
        <v/>
      </c>
      <c r="G23" s="21" t="str">
        <f>IFERROR(INDEX(PACK!$D:$D,MATCH($A23,PACK!$A:$A,0)),"")</f>
        <v/>
      </c>
      <c r="H23" s="21" t="str">
        <f>IFERROR(INDEX(PACK!$E:$E,MATCH($A23,PACK!$A:$A,0)),"")</f>
        <v/>
      </c>
      <c r="I23" s="21" t="str">
        <f t="shared" si="9"/>
        <v/>
      </c>
      <c r="J23" s="21" t="str">
        <f t="shared" si="10"/>
        <v/>
      </c>
      <c r="K23" s="21" t="str">
        <f t="shared" si="11"/>
        <v/>
      </c>
      <c r="L23" s="21" t="str">
        <f t="shared" si="12"/>
        <v/>
      </c>
      <c r="R23" s="21" t="str">
        <f>IFERROR(INDEX(PACK!$C:$C,MATCH($P23,PACK!$A:$A,0)),"")</f>
        <v/>
      </c>
      <c r="S23" s="21" t="str">
        <f t="shared" si="6"/>
        <v/>
      </c>
    </row>
    <row r="24" spans="1:19" x14ac:dyDescent="0.25">
      <c r="A24"/>
      <c r="B24"/>
      <c r="C24"/>
      <c r="D24" s="21" t="str">
        <f t="shared" si="7"/>
        <v/>
      </c>
      <c r="E24" s="21" t="str">
        <f t="shared" si="8"/>
        <v/>
      </c>
      <c r="F24" s="21" t="str">
        <f>IFERROR(INDEX(PACK!$C:$C,MATCH($A24,PACK!$A:$A,0)),"")</f>
        <v/>
      </c>
      <c r="G24" s="21" t="str">
        <f>IFERROR(INDEX(PACK!$D:$D,MATCH($A24,PACK!$A:$A,0)),"")</f>
        <v/>
      </c>
      <c r="H24" s="21" t="str">
        <f>IFERROR(INDEX(PACK!$E:$E,MATCH($A24,PACK!$A:$A,0)),"")</f>
        <v/>
      </c>
      <c r="I24" s="21" t="str">
        <f t="shared" si="9"/>
        <v/>
      </c>
      <c r="J24" s="21" t="str">
        <f t="shared" si="10"/>
        <v/>
      </c>
      <c r="K24" s="21" t="str">
        <f t="shared" si="11"/>
        <v/>
      </c>
      <c r="L24" s="21" t="str">
        <f t="shared" si="12"/>
        <v/>
      </c>
      <c r="R24" s="21" t="str">
        <f>IFERROR(INDEX(PACK!$C:$C,MATCH($P24,PACK!$A:$A,0)),"")</f>
        <v/>
      </c>
      <c r="S24" s="21" t="str">
        <f t="shared" si="6"/>
        <v/>
      </c>
    </row>
    <row r="25" spans="1:19" x14ac:dyDescent="0.25">
      <c r="A25"/>
      <c r="B25"/>
      <c r="C25"/>
      <c r="D25" s="21" t="str">
        <f t="shared" si="7"/>
        <v/>
      </c>
      <c r="E25" s="21" t="str">
        <f t="shared" si="8"/>
        <v/>
      </c>
      <c r="F25" s="21" t="str">
        <f>IFERROR(INDEX(PACK!$C:$C,MATCH($A25,PACK!$A:$A,0)),"")</f>
        <v/>
      </c>
      <c r="G25" s="21" t="str">
        <f>IFERROR(INDEX(PACK!$D:$D,MATCH($A25,PACK!$A:$A,0)),"")</f>
        <v/>
      </c>
      <c r="H25" s="21" t="str">
        <f>IFERROR(INDEX(PACK!$E:$E,MATCH($A25,PACK!$A:$A,0)),"")</f>
        <v/>
      </c>
      <c r="I25" s="21" t="str">
        <f t="shared" si="9"/>
        <v/>
      </c>
      <c r="J25" s="21" t="str">
        <f t="shared" si="10"/>
        <v/>
      </c>
      <c r="K25" s="21" t="str">
        <f t="shared" si="11"/>
        <v/>
      </c>
      <c r="L25" s="21" t="str">
        <f t="shared" si="12"/>
        <v/>
      </c>
      <c r="R25" s="21" t="str">
        <f>IFERROR(INDEX(PACK!$C:$C,MATCH($P25,PACK!$A:$A,0)),"")</f>
        <v/>
      </c>
      <c r="S25" s="21" t="str">
        <f t="shared" si="6"/>
        <v/>
      </c>
    </row>
    <row r="26" spans="1:19" x14ac:dyDescent="0.25">
      <c r="A26"/>
      <c r="B26"/>
      <c r="C26"/>
      <c r="D26" s="21" t="str">
        <f t="shared" si="7"/>
        <v/>
      </c>
      <c r="E26" s="21" t="str">
        <f t="shared" si="8"/>
        <v/>
      </c>
      <c r="F26" s="21" t="str">
        <f>IFERROR(INDEX(PACK!$C:$C,MATCH($A26,PACK!$A:$A,0)),"")</f>
        <v/>
      </c>
      <c r="G26" s="21" t="str">
        <f>IFERROR(INDEX(PACK!$D:$D,MATCH($A26,PACK!$A:$A,0)),"")</f>
        <v/>
      </c>
      <c r="H26" s="21" t="str">
        <f>IFERROR(INDEX(PACK!$E:$E,MATCH($A26,PACK!$A:$A,0)),"")</f>
        <v/>
      </c>
      <c r="I26" s="21" t="str">
        <f t="shared" si="9"/>
        <v/>
      </c>
      <c r="J26" s="21" t="str">
        <f t="shared" si="10"/>
        <v/>
      </c>
      <c r="K26" s="21" t="str">
        <f t="shared" si="11"/>
        <v/>
      </c>
      <c r="L26" s="21" t="str">
        <f t="shared" si="12"/>
        <v/>
      </c>
      <c r="R26" s="21" t="str">
        <f>IFERROR(INDEX(PACK!$C:$C,MATCH($P26,PACK!$A:$A,0)),"")</f>
        <v/>
      </c>
      <c r="S26" s="21" t="str">
        <f t="shared" si="6"/>
        <v/>
      </c>
    </row>
    <row r="27" spans="1:19" x14ac:dyDescent="0.25">
      <c r="A27"/>
      <c r="B27"/>
      <c r="C27"/>
      <c r="D27" s="21" t="str">
        <f t="shared" si="7"/>
        <v/>
      </c>
      <c r="E27" s="21" t="str">
        <f t="shared" si="8"/>
        <v/>
      </c>
      <c r="F27" s="21" t="str">
        <f>IFERROR(INDEX(PACK!$C:$C,MATCH($A27,PACK!$A:$A,0)),"")</f>
        <v/>
      </c>
      <c r="G27" s="21" t="str">
        <f>IFERROR(INDEX(PACK!$D:$D,MATCH($A27,PACK!$A:$A,0)),"")</f>
        <v/>
      </c>
      <c r="H27" s="21" t="str">
        <f>IFERROR(INDEX(PACK!$E:$E,MATCH($A27,PACK!$A:$A,0)),"")</f>
        <v/>
      </c>
      <c r="I27" s="21" t="str">
        <f t="shared" si="9"/>
        <v/>
      </c>
      <c r="J27" s="21" t="str">
        <f t="shared" si="10"/>
        <v/>
      </c>
      <c r="K27" s="21" t="str">
        <f t="shared" si="11"/>
        <v/>
      </c>
      <c r="L27" s="21" t="str">
        <f t="shared" si="12"/>
        <v/>
      </c>
      <c r="R27" s="21" t="str">
        <f>IFERROR(INDEX(PACK!$C:$C,MATCH($P27,PACK!$A:$A,0)),"")</f>
        <v/>
      </c>
      <c r="S27" s="21" t="str">
        <f t="shared" si="6"/>
        <v/>
      </c>
    </row>
    <row r="28" spans="1:19" x14ac:dyDescent="0.25">
      <c r="A28"/>
      <c r="B28"/>
      <c r="C28"/>
      <c r="D28" s="21" t="str">
        <f t="shared" si="7"/>
        <v/>
      </c>
      <c r="E28" s="21" t="str">
        <f t="shared" si="8"/>
        <v/>
      </c>
      <c r="F28" s="21" t="str">
        <f>IFERROR(INDEX(PACK!$C:$C,MATCH($A28,PACK!$A:$A,0)),"")</f>
        <v/>
      </c>
      <c r="G28" s="21" t="str">
        <f>IFERROR(INDEX(PACK!$D:$D,MATCH($A28,PACK!$A:$A,0)),"")</f>
        <v/>
      </c>
      <c r="H28" s="21" t="str">
        <f>IFERROR(INDEX(PACK!$E:$E,MATCH($A28,PACK!$A:$A,0)),"")</f>
        <v/>
      </c>
      <c r="I28" s="21" t="str">
        <f t="shared" si="9"/>
        <v/>
      </c>
      <c r="J28" s="21" t="str">
        <f t="shared" si="10"/>
        <v/>
      </c>
      <c r="K28" s="21" t="str">
        <f t="shared" si="11"/>
        <v/>
      </c>
      <c r="L28" s="21" t="str">
        <f t="shared" si="12"/>
        <v/>
      </c>
      <c r="R28" s="21" t="str">
        <f>IFERROR(INDEX(PACK!$C:$C,MATCH($P28,PACK!$A:$A,0)),"")</f>
        <v/>
      </c>
      <c r="S28" s="21" t="str">
        <f t="shared" si="6"/>
        <v/>
      </c>
    </row>
    <row r="29" spans="1:19" x14ac:dyDescent="0.25">
      <c r="A29"/>
      <c r="B29"/>
      <c r="C29"/>
      <c r="D29" s="21" t="str">
        <f t="shared" si="7"/>
        <v/>
      </c>
      <c r="E29" s="21" t="str">
        <f t="shared" si="8"/>
        <v/>
      </c>
      <c r="F29" s="21" t="str">
        <f>IFERROR(INDEX(PACK!$C:$C,MATCH($A29,PACK!$A:$A,0)),"")</f>
        <v/>
      </c>
      <c r="G29" s="21" t="str">
        <f>IFERROR(INDEX(PACK!$D:$D,MATCH($A29,PACK!$A:$A,0)),"")</f>
        <v/>
      </c>
      <c r="H29" s="21" t="str">
        <f>IFERROR(INDEX(PACK!$E:$E,MATCH($A29,PACK!$A:$A,0)),"")</f>
        <v/>
      </c>
      <c r="I29" s="21" t="str">
        <f t="shared" si="9"/>
        <v/>
      </c>
      <c r="J29" s="21" t="str">
        <f t="shared" si="10"/>
        <v/>
      </c>
      <c r="K29" s="21" t="str">
        <f t="shared" si="11"/>
        <v/>
      </c>
      <c r="L29" s="21" t="str">
        <f t="shared" si="12"/>
        <v/>
      </c>
      <c r="R29" s="21" t="str">
        <f>IFERROR(INDEX(PACK!$C:$C,MATCH($P29,PACK!$A:$A,0)),"")</f>
        <v/>
      </c>
      <c r="S29" s="21" t="str">
        <f t="shared" si="6"/>
        <v/>
      </c>
    </row>
    <row r="30" spans="1:19" x14ac:dyDescent="0.25">
      <c r="A30"/>
      <c r="B30"/>
      <c r="C30"/>
      <c r="D30" s="21" t="str">
        <f t="shared" si="7"/>
        <v/>
      </c>
      <c r="E30" s="21" t="str">
        <f t="shared" si="8"/>
        <v/>
      </c>
      <c r="F30" s="21" t="str">
        <f>IFERROR(INDEX(PACK!$C:$C,MATCH($A30,PACK!$A:$A,0)),"")</f>
        <v/>
      </c>
      <c r="G30" s="21" t="str">
        <f>IFERROR(INDEX(PACK!$D:$D,MATCH($A30,PACK!$A:$A,0)),"")</f>
        <v/>
      </c>
      <c r="H30" s="21" t="str">
        <f>IFERROR(INDEX(PACK!$E:$E,MATCH($A30,PACK!$A:$A,0)),"")</f>
        <v/>
      </c>
      <c r="I30" s="21" t="str">
        <f t="shared" si="9"/>
        <v/>
      </c>
      <c r="J30" s="21" t="str">
        <f t="shared" si="10"/>
        <v/>
      </c>
      <c r="K30" s="21" t="str">
        <f t="shared" si="11"/>
        <v/>
      </c>
      <c r="L30" s="21" t="str">
        <f t="shared" si="12"/>
        <v/>
      </c>
      <c r="R30" s="21" t="str">
        <f>IFERROR(INDEX(PACK!$C:$C,MATCH($P30,PACK!$A:$A,0)),"")</f>
        <v/>
      </c>
      <c r="S30" s="21" t="str">
        <f t="shared" si="6"/>
        <v/>
      </c>
    </row>
    <row r="31" spans="1:19" x14ac:dyDescent="0.25">
      <c r="A31"/>
      <c r="B31"/>
      <c r="C31"/>
      <c r="D31" s="21" t="str">
        <f t="shared" si="7"/>
        <v/>
      </c>
      <c r="E31" s="21" t="str">
        <f t="shared" si="8"/>
        <v/>
      </c>
      <c r="F31" s="21" t="str">
        <f>IFERROR(INDEX(PACK!$C:$C,MATCH($A31,PACK!$A:$A,0)),"")</f>
        <v/>
      </c>
      <c r="G31" s="21" t="str">
        <f>IFERROR(INDEX(PACK!$D:$D,MATCH($A31,PACK!$A:$A,0)),"")</f>
        <v/>
      </c>
      <c r="H31" s="21" t="str">
        <f>IFERROR(INDEX(PACK!$E:$E,MATCH($A31,PACK!$A:$A,0)),"")</f>
        <v/>
      </c>
      <c r="I31" s="21" t="str">
        <f t="shared" si="9"/>
        <v/>
      </c>
      <c r="J31" s="21" t="str">
        <f t="shared" si="10"/>
        <v/>
      </c>
      <c r="K31" s="21" t="str">
        <f t="shared" si="11"/>
        <v/>
      </c>
      <c r="L31" s="21" t="str">
        <f t="shared" si="12"/>
        <v/>
      </c>
      <c r="R31" s="21" t="str">
        <f>IFERROR(INDEX(PACK!$C:$C,MATCH($P31,PACK!$A:$A,0)),"")</f>
        <v/>
      </c>
      <c r="S31" s="21" t="str">
        <f t="shared" si="6"/>
        <v/>
      </c>
    </row>
    <row r="32" spans="1:19" x14ac:dyDescent="0.25">
      <c r="A32"/>
      <c r="B32"/>
      <c r="C32"/>
      <c r="D32" s="21" t="str">
        <f t="shared" si="7"/>
        <v/>
      </c>
      <c r="E32" s="21" t="str">
        <f t="shared" si="8"/>
        <v/>
      </c>
      <c r="F32" s="21" t="str">
        <f>IFERROR(INDEX(PACK!$C:$C,MATCH($A32,PACK!$A:$A,0)),"")</f>
        <v/>
      </c>
      <c r="G32" s="21" t="str">
        <f>IFERROR(INDEX(PACK!$D:$D,MATCH($A32,PACK!$A:$A,0)),"")</f>
        <v/>
      </c>
      <c r="H32" s="21" t="str">
        <f>IFERROR(INDEX(PACK!$E:$E,MATCH($A32,PACK!$A:$A,0)),"")</f>
        <v/>
      </c>
      <c r="I32" s="21" t="str">
        <f t="shared" si="9"/>
        <v/>
      </c>
      <c r="J32" s="21" t="str">
        <f t="shared" si="10"/>
        <v/>
      </c>
      <c r="K32" s="21" t="str">
        <f t="shared" si="11"/>
        <v/>
      </c>
      <c r="L32" s="21" t="str">
        <f t="shared" si="12"/>
        <v/>
      </c>
      <c r="R32" s="21" t="str">
        <f>IFERROR(INDEX(PACK!$C:$C,MATCH($P32,PACK!$A:$A,0)),"")</f>
        <v/>
      </c>
      <c r="S32" s="21" t="str">
        <f t="shared" si="6"/>
        <v/>
      </c>
    </row>
    <row r="33" spans="1:19" x14ac:dyDescent="0.25">
      <c r="A33"/>
      <c r="B33"/>
      <c r="C33"/>
      <c r="D33" s="21" t="str">
        <f t="shared" si="7"/>
        <v/>
      </c>
      <c r="E33" s="21" t="str">
        <f t="shared" si="8"/>
        <v/>
      </c>
      <c r="F33" s="21" t="str">
        <f>IFERROR(INDEX(PACK!$C:$C,MATCH($A33,PACK!$A:$A,0)),"")</f>
        <v/>
      </c>
      <c r="G33" s="21" t="str">
        <f>IFERROR(INDEX(PACK!$D:$D,MATCH($A33,PACK!$A:$A,0)),"")</f>
        <v/>
      </c>
      <c r="H33" s="21" t="str">
        <f>IFERROR(INDEX(PACK!$E:$E,MATCH($A33,PACK!$A:$A,0)),"")</f>
        <v/>
      </c>
      <c r="I33" s="21" t="str">
        <f t="shared" si="9"/>
        <v/>
      </c>
      <c r="J33" s="21" t="str">
        <f t="shared" si="10"/>
        <v/>
      </c>
      <c r="K33" s="21" t="str">
        <f t="shared" si="11"/>
        <v/>
      </c>
      <c r="L33" s="21" t="str">
        <f t="shared" si="12"/>
        <v/>
      </c>
      <c r="R33" s="21" t="str">
        <f>IFERROR(INDEX(PACK!$C:$C,MATCH($P33,PACK!$A:$A,0)),"")</f>
        <v/>
      </c>
      <c r="S33" s="21" t="str">
        <f t="shared" si="6"/>
        <v/>
      </c>
    </row>
    <row r="34" spans="1:19" x14ac:dyDescent="0.25">
      <c r="A34"/>
      <c r="B34"/>
      <c r="C34"/>
      <c r="D34" s="21" t="str">
        <f t="shared" si="7"/>
        <v/>
      </c>
      <c r="E34" s="21" t="str">
        <f t="shared" si="8"/>
        <v/>
      </c>
      <c r="F34" s="21" t="str">
        <f>IFERROR(INDEX(PACK!$C:$C,MATCH($A34,PACK!$A:$A,0)),"")</f>
        <v/>
      </c>
      <c r="G34" s="21" t="str">
        <f>IFERROR(INDEX(PACK!$D:$D,MATCH($A34,PACK!$A:$A,0)),"")</f>
        <v/>
      </c>
      <c r="H34" s="21" t="str">
        <f>IFERROR(INDEX(PACK!$E:$E,MATCH($A34,PACK!$A:$A,0)),"")</f>
        <v/>
      </c>
      <c r="I34" s="21" t="str">
        <f t="shared" si="9"/>
        <v/>
      </c>
      <c r="J34" s="21" t="str">
        <f t="shared" si="10"/>
        <v/>
      </c>
      <c r="K34" s="21" t="str">
        <f t="shared" si="11"/>
        <v/>
      </c>
      <c r="L34" s="21" t="str">
        <f t="shared" si="12"/>
        <v/>
      </c>
      <c r="R34" s="21" t="str">
        <f>IFERROR(INDEX(PACK!$C:$C,MATCH($P34,PACK!$A:$A,0)),"")</f>
        <v/>
      </c>
      <c r="S34" s="21" t="str">
        <f t="shared" si="6"/>
        <v/>
      </c>
    </row>
    <row r="35" spans="1:19" x14ac:dyDescent="0.25">
      <c r="A35"/>
      <c r="B35"/>
      <c r="C35"/>
      <c r="D35" s="21" t="str">
        <f t="shared" ref="D35:D55" si="13">IFERROR(MID(A35,FIND("_",A35)+1,FIND("_",A35,FIND("_",A35)+1)-FIND("_",A35)-1),"")</f>
        <v/>
      </c>
      <c r="E35" s="21" t="str">
        <f t="shared" ref="E35:E55" si="14">IFERROR(LEFT(B35,FIND("/",B35)-1),"")</f>
        <v/>
      </c>
      <c r="F35" s="21" t="str">
        <f>IFERROR(INDEX(PACK!$C:$C,MATCH($A35,PACK!$A:$A,0)),"")</f>
        <v/>
      </c>
      <c r="G35" s="21" t="str">
        <f>IFERROR(INDEX(PACK!$D:$D,MATCH($A35,PACK!$A:$A,0)),"")</f>
        <v/>
      </c>
      <c r="H35" s="21" t="str">
        <f>IFERROR(INDEX(PACK!$E:$E,MATCH($A35,PACK!$A:$A,0)),"")</f>
        <v/>
      </c>
      <c r="I35" s="21" t="str">
        <f t="shared" ref="I35:I55" si="15">IFERROR(C35/F35,"")</f>
        <v/>
      </c>
      <c r="J35" s="21" t="str">
        <f t="shared" ref="J35:J55" si="16">IFERROR(ROUNDDOWN(C35/G35,0),"")</f>
        <v/>
      </c>
      <c r="K35" s="21" t="str">
        <f t="shared" ref="K35:K55" si="17">IFERROR(MOD(I35,H35),"")</f>
        <v/>
      </c>
      <c r="L35" s="21" t="str">
        <f t="shared" ref="L35:L55" si="18">IFERROR(K35*F35,"")</f>
        <v/>
      </c>
      <c r="R35" s="21" t="str">
        <f>IFERROR(INDEX(PACK!$C:$C,MATCH($P35,PACK!$A:$A,0)),"")</f>
        <v/>
      </c>
      <c r="S35" s="21" t="str">
        <f t="shared" si="6"/>
        <v/>
      </c>
    </row>
    <row r="36" spans="1:19" x14ac:dyDescent="0.25">
      <c r="A36"/>
      <c r="B36"/>
      <c r="C36"/>
      <c r="D36" s="21" t="str">
        <f t="shared" si="13"/>
        <v/>
      </c>
      <c r="E36" s="21" t="str">
        <f t="shared" si="14"/>
        <v/>
      </c>
      <c r="F36" s="21" t="str">
        <f>IFERROR(INDEX(PACK!$C:$C,MATCH($A36,PACK!$A:$A,0)),"")</f>
        <v/>
      </c>
      <c r="G36" s="21" t="str">
        <f>IFERROR(INDEX(PACK!$D:$D,MATCH($A36,PACK!$A:$A,0)),"")</f>
        <v/>
      </c>
      <c r="H36" s="21" t="str">
        <f>IFERROR(INDEX(PACK!$E:$E,MATCH($A36,PACK!$A:$A,0)),"")</f>
        <v/>
      </c>
      <c r="I36" s="21" t="str">
        <f t="shared" si="15"/>
        <v/>
      </c>
      <c r="J36" s="21" t="str">
        <f t="shared" si="16"/>
        <v/>
      </c>
      <c r="K36" s="21" t="str">
        <f t="shared" si="17"/>
        <v/>
      </c>
      <c r="L36" s="21" t="str">
        <f t="shared" si="18"/>
        <v/>
      </c>
      <c r="R36" s="21" t="str">
        <f>IFERROR(INDEX(PACK!$C:$C,MATCH($P36,PACK!$A:$A,0)),"")</f>
        <v/>
      </c>
      <c r="S36" s="21" t="str">
        <f t="shared" si="6"/>
        <v/>
      </c>
    </row>
    <row r="37" spans="1:19" x14ac:dyDescent="0.25">
      <c r="A37"/>
      <c r="B37"/>
      <c r="C37"/>
      <c r="D37" s="21" t="str">
        <f t="shared" si="13"/>
        <v/>
      </c>
      <c r="E37" s="21" t="str">
        <f t="shared" si="14"/>
        <v/>
      </c>
      <c r="F37" s="21" t="str">
        <f>IFERROR(INDEX(PACK!$C:$C,MATCH($A37,PACK!$A:$A,0)),"")</f>
        <v/>
      </c>
      <c r="G37" s="21" t="str">
        <f>IFERROR(INDEX(PACK!$D:$D,MATCH($A37,PACK!$A:$A,0)),"")</f>
        <v/>
      </c>
      <c r="H37" s="21" t="str">
        <f>IFERROR(INDEX(PACK!$E:$E,MATCH($A37,PACK!$A:$A,0)),"")</f>
        <v/>
      </c>
      <c r="I37" s="21" t="str">
        <f t="shared" si="15"/>
        <v/>
      </c>
      <c r="J37" s="21" t="str">
        <f t="shared" si="16"/>
        <v/>
      </c>
      <c r="K37" s="21" t="str">
        <f t="shared" si="17"/>
        <v/>
      </c>
      <c r="L37" s="21" t="str">
        <f t="shared" si="18"/>
        <v/>
      </c>
      <c r="R37" s="21" t="str">
        <f>IFERROR(INDEX(PACK!$C:$C,MATCH($P37,PACK!$A:$A,0)),"")</f>
        <v/>
      </c>
      <c r="S37" s="21" t="str">
        <f t="shared" si="6"/>
        <v/>
      </c>
    </row>
    <row r="38" spans="1:19" x14ac:dyDescent="0.25">
      <c r="A38"/>
      <c r="B38"/>
      <c r="C38"/>
      <c r="D38" s="21" t="str">
        <f t="shared" si="13"/>
        <v/>
      </c>
      <c r="E38" s="21" t="str">
        <f t="shared" si="14"/>
        <v/>
      </c>
      <c r="F38" s="21" t="str">
        <f>IFERROR(INDEX(PACK!$C:$C,MATCH($A38,PACK!$A:$A,0)),"")</f>
        <v/>
      </c>
      <c r="G38" s="21" t="str">
        <f>IFERROR(INDEX(PACK!$D:$D,MATCH($A38,PACK!$A:$A,0)),"")</f>
        <v/>
      </c>
      <c r="H38" s="21" t="str">
        <f>IFERROR(INDEX(PACK!$E:$E,MATCH($A38,PACK!$A:$A,0)),"")</f>
        <v/>
      </c>
      <c r="I38" s="21" t="str">
        <f t="shared" si="15"/>
        <v/>
      </c>
      <c r="J38" s="21" t="str">
        <f t="shared" si="16"/>
        <v/>
      </c>
      <c r="K38" s="21" t="str">
        <f t="shared" si="17"/>
        <v/>
      </c>
      <c r="L38" s="21" t="str">
        <f t="shared" si="18"/>
        <v/>
      </c>
      <c r="R38" s="21" t="str">
        <f>IFERROR(INDEX(PACK!$C:$C,MATCH($P38,PACK!$A:$A,0)),"")</f>
        <v/>
      </c>
      <c r="S38" s="21" t="str">
        <f t="shared" si="6"/>
        <v/>
      </c>
    </row>
    <row r="39" spans="1:19" x14ac:dyDescent="0.25">
      <c r="A39"/>
      <c r="B39"/>
      <c r="C39"/>
      <c r="D39" s="21" t="str">
        <f t="shared" si="13"/>
        <v/>
      </c>
      <c r="E39" s="21" t="str">
        <f t="shared" si="14"/>
        <v/>
      </c>
      <c r="F39" s="21" t="str">
        <f>IFERROR(INDEX(PACK!$C:$C,MATCH($A39,PACK!$A:$A,0)),"")</f>
        <v/>
      </c>
      <c r="G39" s="21" t="str">
        <f>IFERROR(INDEX(PACK!$D:$D,MATCH($A39,PACK!$A:$A,0)),"")</f>
        <v/>
      </c>
      <c r="H39" s="21" t="str">
        <f>IFERROR(INDEX(PACK!$E:$E,MATCH($A39,PACK!$A:$A,0)),"")</f>
        <v/>
      </c>
      <c r="I39" s="21" t="str">
        <f t="shared" si="15"/>
        <v/>
      </c>
      <c r="J39" s="21" t="str">
        <f t="shared" si="16"/>
        <v/>
      </c>
      <c r="K39" s="21" t="str">
        <f t="shared" si="17"/>
        <v/>
      </c>
      <c r="L39" s="21" t="str">
        <f t="shared" si="18"/>
        <v/>
      </c>
      <c r="R39" s="21" t="str">
        <f>IFERROR(INDEX(PACK!$C:$C,MATCH($P39,PACK!$A:$A,0)),"")</f>
        <v/>
      </c>
      <c r="S39" s="21" t="str">
        <f t="shared" si="6"/>
        <v/>
      </c>
    </row>
    <row r="40" spans="1:19" x14ac:dyDescent="0.25">
      <c r="A40"/>
      <c r="B40"/>
      <c r="C40"/>
      <c r="D40" s="21" t="str">
        <f t="shared" si="13"/>
        <v/>
      </c>
      <c r="E40" s="21" t="str">
        <f t="shared" si="14"/>
        <v/>
      </c>
      <c r="F40" s="21" t="str">
        <f>IFERROR(INDEX(PACK!$C:$C,MATCH($A40,PACK!$A:$A,0)),"")</f>
        <v/>
      </c>
      <c r="G40" s="21" t="str">
        <f>IFERROR(INDEX(PACK!$D:$D,MATCH($A40,PACK!$A:$A,0)),"")</f>
        <v/>
      </c>
      <c r="H40" s="21" t="str">
        <f>IFERROR(INDEX(PACK!$E:$E,MATCH($A40,PACK!$A:$A,0)),"")</f>
        <v/>
      </c>
      <c r="I40" s="21" t="str">
        <f t="shared" si="15"/>
        <v/>
      </c>
      <c r="J40" s="21" t="str">
        <f t="shared" si="16"/>
        <v/>
      </c>
      <c r="K40" s="21" t="str">
        <f t="shared" si="17"/>
        <v/>
      </c>
      <c r="L40" s="21" t="str">
        <f t="shared" si="18"/>
        <v/>
      </c>
      <c r="R40" s="21" t="str">
        <f>IFERROR(INDEX(PACK!$C:$C,MATCH($P40,PACK!$A:$A,0)),"")</f>
        <v/>
      </c>
      <c r="S40" s="21" t="str">
        <f t="shared" si="6"/>
        <v/>
      </c>
    </row>
    <row r="41" spans="1:19" x14ac:dyDescent="0.25">
      <c r="A41"/>
      <c r="B41"/>
      <c r="C41"/>
      <c r="D41" s="21" t="str">
        <f t="shared" si="13"/>
        <v/>
      </c>
      <c r="E41" s="21" t="str">
        <f t="shared" si="14"/>
        <v/>
      </c>
      <c r="F41" s="21" t="str">
        <f>IFERROR(INDEX(PACK!$C:$C,MATCH($A41,PACK!$A:$A,0)),"")</f>
        <v/>
      </c>
      <c r="G41" s="21" t="str">
        <f>IFERROR(INDEX(PACK!$D:$D,MATCH($A41,PACK!$A:$A,0)),"")</f>
        <v/>
      </c>
      <c r="H41" s="21" t="str">
        <f>IFERROR(INDEX(PACK!$E:$E,MATCH($A41,PACK!$A:$A,0)),"")</f>
        <v/>
      </c>
      <c r="I41" s="21" t="str">
        <f t="shared" si="15"/>
        <v/>
      </c>
      <c r="J41" s="21" t="str">
        <f t="shared" si="16"/>
        <v/>
      </c>
      <c r="K41" s="21" t="str">
        <f t="shared" si="17"/>
        <v/>
      </c>
      <c r="L41" s="21" t="str">
        <f t="shared" si="18"/>
        <v/>
      </c>
      <c r="R41" s="21" t="str">
        <f>IFERROR(INDEX(PACK!$C:$C,MATCH($P41,PACK!$A:$A,0)),"")</f>
        <v/>
      </c>
      <c r="S41" s="21" t="str">
        <f t="shared" si="6"/>
        <v/>
      </c>
    </row>
    <row r="42" spans="1:19" x14ac:dyDescent="0.25">
      <c r="A42"/>
      <c r="B42"/>
      <c r="C42"/>
      <c r="D42" s="21" t="str">
        <f t="shared" si="13"/>
        <v/>
      </c>
      <c r="E42" s="21" t="str">
        <f t="shared" si="14"/>
        <v/>
      </c>
      <c r="F42" s="21" t="str">
        <f>IFERROR(INDEX(PACK!$C:$C,MATCH($A42,PACK!$A:$A,0)),"")</f>
        <v/>
      </c>
      <c r="G42" s="21" t="str">
        <f>IFERROR(INDEX(PACK!$D:$D,MATCH($A42,PACK!$A:$A,0)),"")</f>
        <v/>
      </c>
      <c r="H42" s="21" t="str">
        <f>IFERROR(INDEX(PACK!$E:$E,MATCH($A42,PACK!$A:$A,0)),"")</f>
        <v/>
      </c>
      <c r="I42" s="21" t="str">
        <f t="shared" si="15"/>
        <v/>
      </c>
      <c r="J42" s="21" t="str">
        <f t="shared" si="16"/>
        <v/>
      </c>
      <c r="K42" s="21" t="str">
        <f t="shared" si="17"/>
        <v/>
      </c>
      <c r="L42" s="21" t="str">
        <f t="shared" si="18"/>
        <v/>
      </c>
      <c r="R42" s="21" t="str">
        <f>IFERROR(INDEX(PACK!$C:$C,MATCH($P42,PACK!$A:$A,0)),"")</f>
        <v/>
      </c>
      <c r="S42" s="21" t="str">
        <f t="shared" si="6"/>
        <v/>
      </c>
    </row>
    <row r="43" spans="1:19" x14ac:dyDescent="0.25">
      <c r="A43"/>
      <c r="B43"/>
      <c r="C43"/>
      <c r="D43" s="21" t="str">
        <f t="shared" si="13"/>
        <v/>
      </c>
      <c r="E43" s="21" t="str">
        <f t="shared" si="14"/>
        <v/>
      </c>
      <c r="F43" s="21" t="str">
        <f>IFERROR(INDEX(PACK!$C:$C,MATCH($A43,PACK!$A:$A,0)),"")</f>
        <v/>
      </c>
      <c r="G43" s="21" t="str">
        <f>IFERROR(INDEX(PACK!$D:$D,MATCH($A43,PACK!$A:$A,0)),"")</f>
        <v/>
      </c>
      <c r="H43" s="21" t="str">
        <f>IFERROR(INDEX(PACK!$E:$E,MATCH($A43,PACK!$A:$A,0)),"")</f>
        <v/>
      </c>
      <c r="I43" s="21" t="str">
        <f t="shared" si="15"/>
        <v/>
      </c>
      <c r="J43" s="21" t="str">
        <f t="shared" si="16"/>
        <v/>
      </c>
      <c r="K43" s="21" t="str">
        <f t="shared" si="17"/>
        <v/>
      </c>
      <c r="L43" s="21" t="str">
        <f t="shared" si="18"/>
        <v/>
      </c>
      <c r="R43" s="21" t="str">
        <f>IFERROR(INDEX(PACK!$C:$C,MATCH($P43,PACK!$A:$A,0)),"")</f>
        <v/>
      </c>
      <c r="S43" s="21" t="str">
        <f t="shared" si="6"/>
        <v/>
      </c>
    </row>
    <row r="44" spans="1:19" x14ac:dyDescent="0.25">
      <c r="A44"/>
      <c r="B44"/>
      <c r="C44"/>
      <c r="D44" s="21" t="str">
        <f t="shared" si="13"/>
        <v/>
      </c>
      <c r="E44" s="21" t="str">
        <f t="shared" si="14"/>
        <v/>
      </c>
      <c r="F44" s="21" t="str">
        <f>IFERROR(INDEX(PACK!$C:$C,MATCH($A44,PACK!$A:$A,0)),"")</f>
        <v/>
      </c>
      <c r="G44" s="21" t="str">
        <f>IFERROR(INDEX(PACK!$D:$D,MATCH($A44,PACK!$A:$A,0)),"")</f>
        <v/>
      </c>
      <c r="H44" s="21" t="str">
        <f>IFERROR(INDEX(PACK!$E:$E,MATCH($A44,PACK!$A:$A,0)),"")</f>
        <v/>
      </c>
      <c r="I44" s="21" t="str">
        <f t="shared" si="15"/>
        <v/>
      </c>
      <c r="J44" s="21" t="str">
        <f t="shared" si="16"/>
        <v/>
      </c>
      <c r="K44" s="21" t="str">
        <f t="shared" si="17"/>
        <v/>
      </c>
      <c r="L44" s="21" t="str">
        <f t="shared" si="18"/>
        <v/>
      </c>
      <c r="R44" s="21" t="str">
        <f>IFERROR(INDEX(PACK!$C:$C,MATCH($P44,PACK!$A:$A,0)),"")</f>
        <v/>
      </c>
      <c r="S44" s="21" t="str">
        <f t="shared" si="6"/>
        <v/>
      </c>
    </row>
    <row r="45" spans="1:19" x14ac:dyDescent="0.25">
      <c r="A45"/>
      <c r="B45"/>
      <c r="C45"/>
      <c r="D45" s="21" t="str">
        <f t="shared" si="13"/>
        <v/>
      </c>
      <c r="E45" s="21" t="str">
        <f t="shared" si="14"/>
        <v/>
      </c>
      <c r="F45" s="21" t="str">
        <f>IFERROR(INDEX(PACK!$C:$C,MATCH($A45,PACK!$A:$A,0)),"")</f>
        <v/>
      </c>
      <c r="G45" s="21" t="str">
        <f>IFERROR(INDEX(PACK!$D:$D,MATCH($A45,PACK!$A:$A,0)),"")</f>
        <v/>
      </c>
      <c r="H45" s="21" t="str">
        <f>IFERROR(INDEX(PACK!$E:$E,MATCH($A45,PACK!$A:$A,0)),"")</f>
        <v/>
      </c>
      <c r="I45" s="21" t="str">
        <f t="shared" si="15"/>
        <v/>
      </c>
      <c r="J45" s="21" t="str">
        <f t="shared" si="16"/>
        <v/>
      </c>
      <c r="K45" s="21" t="str">
        <f t="shared" si="17"/>
        <v/>
      </c>
      <c r="L45" s="21" t="str">
        <f t="shared" si="18"/>
        <v/>
      </c>
      <c r="R45" s="21" t="str">
        <f>IFERROR(INDEX(PACK!$C:$C,MATCH($P45,PACK!$A:$A,0)),"")</f>
        <v/>
      </c>
      <c r="S45" s="21" t="str">
        <f t="shared" si="6"/>
        <v/>
      </c>
    </row>
    <row r="46" spans="1:19" x14ac:dyDescent="0.25">
      <c r="A46"/>
      <c r="B46"/>
      <c r="C46"/>
      <c r="D46" s="21" t="str">
        <f t="shared" si="13"/>
        <v/>
      </c>
      <c r="E46" s="21" t="str">
        <f t="shared" si="14"/>
        <v/>
      </c>
      <c r="F46" s="21" t="str">
        <f>IFERROR(INDEX(PACK!$C:$C,MATCH($A46,PACK!$A:$A,0)),"")</f>
        <v/>
      </c>
      <c r="G46" s="21" t="str">
        <f>IFERROR(INDEX(PACK!$D:$D,MATCH($A46,PACK!$A:$A,0)),"")</f>
        <v/>
      </c>
      <c r="H46" s="21" t="str">
        <f>IFERROR(INDEX(PACK!$E:$E,MATCH($A46,PACK!$A:$A,0)),"")</f>
        <v/>
      </c>
      <c r="I46" s="21" t="str">
        <f t="shared" si="15"/>
        <v/>
      </c>
      <c r="J46" s="21" t="str">
        <f t="shared" si="16"/>
        <v/>
      </c>
      <c r="K46" s="21" t="str">
        <f t="shared" si="17"/>
        <v/>
      </c>
      <c r="L46" s="21" t="str">
        <f t="shared" si="18"/>
        <v/>
      </c>
      <c r="R46" s="21" t="str">
        <f>IFERROR(INDEX(PACK!$C:$C,MATCH($P46,PACK!$A:$A,0)),"")</f>
        <v/>
      </c>
      <c r="S46" s="21" t="str">
        <f t="shared" si="6"/>
        <v/>
      </c>
    </row>
    <row r="47" spans="1:19" x14ac:dyDescent="0.25">
      <c r="A47"/>
      <c r="B47"/>
      <c r="C47"/>
      <c r="D47" s="21" t="str">
        <f t="shared" si="13"/>
        <v/>
      </c>
      <c r="E47" s="21" t="str">
        <f t="shared" si="14"/>
        <v/>
      </c>
      <c r="F47" s="21" t="str">
        <f>IFERROR(INDEX(PACK!$C:$C,MATCH($A47,PACK!$A:$A,0)),"")</f>
        <v/>
      </c>
      <c r="G47" s="21" t="str">
        <f>IFERROR(INDEX(PACK!$D:$D,MATCH($A47,PACK!$A:$A,0)),"")</f>
        <v/>
      </c>
      <c r="H47" s="21" t="str">
        <f>IFERROR(INDEX(PACK!$E:$E,MATCH($A47,PACK!$A:$A,0)),"")</f>
        <v/>
      </c>
      <c r="I47" s="21" t="str">
        <f t="shared" si="15"/>
        <v/>
      </c>
      <c r="J47" s="21" t="str">
        <f t="shared" si="16"/>
        <v/>
      </c>
      <c r="K47" s="21" t="str">
        <f t="shared" si="17"/>
        <v/>
      </c>
      <c r="L47" s="21" t="str">
        <f t="shared" si="18"/>
        <v/>
      </c>
      <c r="R47" s="21" t="str">
        <f>IFERROR(INDEX(PACK!$C:$C,MATCH($P47,PACK!$A:$A,0)),"")</f>
        <v/>
      </c>
      <c r="S47" s="21" t="str">
        <f t="shared" si="6"/>
        <v/>
      </c>
    </row>
    <row r="48" spans="1:19" x14ac:dyDescent="0.25">
      <c r="A48"/>
      <c r="B48"/>
      <c r="C48"/>
      <c r="D48" s="21" t="str">
        <f t="shared" si="13"/>
        <v/>
      </c>
      <c r="E48" s="21" t="str">
        <f t="shared" si="14"/>
        <v/>
      </c>
      <c r="F48" s="21" t="str">
        <f>IFERROR(INDEX(PACK!$C:$C,MATCH($A48,PACK!$A:$A,0)),"")</f>
        <v/>
      </c>
      <c r="G48" s="21" t="str">
        <f>IFERROR(INDEX(PACK!$D:$D,MATCH($A48,PACK!$A:$A,0)),"")</f>
        <v/>
      </c>
      <c r="H48" s="21" t="str">
        <f>IFERROR(INDEX(PACK!$E:$E,MATCH($A48,PACK!$A:$A,0)),"")</f>
        <v/>
      </c>
      <c r="I48" s="21" t="str">
        <f t="shared" si="15"/>
        <v/>
      </c>
      <c r="J48" s="21" t="str">
        <f t="shared" si="16"/>
        <v/>
      </c>
      <c r="K48" s="21" t="str">
        <f t="shared" si="17"/>
        <v/>
      </c>
      <c r="L48" s="21" t="str">
        <f t="shared" si="18"/>
        <v/>
      </c>
      <c r="R48" s="21" t="str">
        <f>IFERROR(INDEX(PACK!$C:$C,MATCH($P48,PACK!$A:$A,0)),"")</f>
        <v/>
      </c>
      <c r="S48" s="21" t="str">
        <f t="shared" si="6"/>
        <v/>
      </c>
    </row>
    <row r="49" spans="1:19" x14ac:dyDescent="0.25">
      <c r="A49"/>
      <c r="B49"/>
      <c r="C49"/>
      <c r="D49" s="21" t="str">
        <f t="shared" si="13"/>
        <v/>
      </c>
      <c r="E49" s="21" t="str">
        <f t="shared" si="14"/>
        <v/>
      </c>
      <c r="F49" s="21" t="str">
        <f>IFERROR(INDEX(PACK!$C:$C,MATCH($A49,PACK!$A:$A,0)),"")</f>
        <v/>
      </c>
      <c r="G49" s="21" t="str">
        <f>IFERROR(INDEX(PACK!$D:$D,MATCH($A49,PACK!$A:$A,0)),"")</f>
        <v/>
      </c>
      <c r="H49" s="21" t="str">
        <f>IFERROR(INDEX(PACK!$E:$E,MATCH($A49,PACK!$A:$A,0)),"")</f>
        <v/>
      </c>
      <c r="I49" s="21" t="str">
        <f t="shared" si="15"/>
        <v/>
      </c>
      <c r="J49" s="21" t="str">
        <f t="shared" si="16"/>
        <v/>
      </c>
      <c r="K49" s="21" t="str">
        <f t="shared" si="17"/>
        <v/>
      </c>
      <c r="L49" s="21" t="str">
        <f t="shared" si="18"/>
        <v/>
      </c>
      <c r="R49" s="21" t="str">
        <f>IFERROR(INDEX(PACK!$C:$C,MATCH($P49,PACK!$A:$A,0)),"")</f>
        <v/>
      </c>
      <c r="S49" s="21" t="str">
        <f t="shared" si="6"/>
        <v/>
      </c>
    </row>
    <row r="50" spans="1:19" x14ac:dyDescent="0.25">
      <c r="A50"/>
      <c r="B50"/>
      <c r="C50"/>
      <c r="D50" s="21" t="str">
        <f t="shared" si="13"/>
        <v/>
      </c>
      <c r="E50" s="21" t="str">
        <f t="shared" si="14"/>
        <v/>
      </c>
      <c r="F50" s="21" t="str">
        <f>IFERROR(INDEX(PACK!$C:$C,MATCH($A50,PACK!$A:$A,0)),"")</f>
        <v/>
      </c>
      <c r="G50" s="21" t="str">
        <f>IFERROR(INDEX(PACK!$D:$D,MATCH($A50,PACK!$A:$A,0)),"")</f>
        <v/>
      </c>
      <c r="H50" s="21" t="str">
        <f>IFERROR(INDEX(PACK!$E:$E,MATCH($A50,PACK!$A:$A,0)),"")</f>
        <v/>
      </c>
      <c r="I50" s="21" t="str">
        <f t="shared" si="15"/>
        <v/>
      </c>
      <c r="J50" s="21" t="str">
        <f t="shared" si="16"/>
        <v/>
      </c>
      <c r="K50" s="21" t="str">
        <f t="shared" si="17"/>
        <v/>
      </c>
      <c r="L50" s="21" t="str">
        <f t="shared" si="18"/>
        <v/>
      </c>
      <c r="R50" s="21" t="str">
        <f>IFERROR(INDEX(PACK!$C:$C,MATCH($P50,PACK!$A:$A,0)),"")</f>
        <v/>
      </c>
      <c r="S50" s="21" t="str">
        <f t="shared" si="6"/>
        <v/>
      </c>
    </row>
    <row r="51" spans="1:19" x14ac:dyDescent="0.25">
      <c r="A51"/>
      <c r="B51"/>
      <c r="C51"/>
      <c r="D51" s="21" t="str">
        <f t="shared" si="13"/>
        <v/>
      </c>
      <c r="E51" s="21" t="str">
        <f t="shared" si="14"/>
        <v/>
      </c>
      <c r="F51" s="21" t="str">
        <f>IFERROR(INDEX(PACK!$C:$C,MATCH($A51,PACK!$A:$A,0)),"")</f>
        <v/>
      </c>
      <c r="G51" s="21" t="str">
        <f>IFERROR(INDEX(PACK!$D:$D,MATCH($A51,PACK!$A:$A,0)),"")</f>
        <v/>
      </c>
      <c r="H51" s="21" t="str">
        <f>IFERROR(INDEX(PACK!$E:$E,MATCH($A51,PACK!$A:$A,0)),"")</f>
        <v/>
      </c>
      <c r="I51" s="21" t="str">
        <f t="shared" si="15"/>
        <v/>
      </c>
      <c r="J51" s="21" t="str">
        <f t="shared" si="16"/>
        <v/>
      </c>
      <c r="K51" s="21" t="str">
        <f t="shared" si="17"/>
        <v/>
      </c>
      <c r="L51" s="21" t="str">
        <f t="shared" si="18"/>
        <v/>
      </c>
      <c r="R51" s="21" t="str">
        <f>IFERROR(INDEX(PACK!$C:$C,MATCH($P51,PACK!$A:$A,0)),"")</f>
        <v/>
      </c>
      <c r="S51" s="21" t="str">
        <f t="shared" si="6"/>
        <v/>
      </c>
    </row>
    <row r="52" spans="1:19" x14ac:dyDescent="0.25">
      <c r="A52"/>
      <c r="B52"/>
      <c r="C52"/>
      <c r="D52" s="21" t="str">
        <f t="shared" si="13"/>
        <v/>
      </c>
      <c r="E52" s="21" t="str">
        <f t="shared" si="14"/>
        <v/>
      </c>
      <c r="F52" s="21" t="str">
        <f>IFERROR(INDEX(PACK!$C:$C,MATCH($A52,PACK!$A:$A,0)),"")</f>
        <v/>
      </c>
      <c r="G52" s="21" t="str">
        <f>IFERROR(INDEX(PACK!$D:$D,MATCH($A52,PACK!$A:$A,0)),"")</f>
        <v/>
      </c>
      <c r="H52" s="21" t="str">
        <f>IFERROR(INDEX(PACK!$E:$E,MATCH($A52,PACK!$A:$A,0)),"")</f>
        <v/>
      </c>
      <c r="I52" s="21" t="str">
        <f t="shared" si="15"/>
        <v/>
      </c>
      <c r="J52" s="21" t="str">
        <f t="shared" si="16"/>
        <v/>
      </c>
      <c r="K52" s="21" t="str">
        <f t="shared" si="17"/>
        <v/>
      </c>
      <c r="L52" s="21" t="str">
        <f t="shared" si="18"/>
        <v/>
      </c>
      <c r="R52" s="21" t="str">
        <f>IFERROR(INDEX(PACK!$C:$C,MATCH($P52,PACK!$A:$A,0)),"")</f>
        <v/>
      </c>
      <c r="S52" s="21" t="str">
        <f t="shared" si="6"/>
        <v/>
      </c>
    </row>
    <row r="53" spans="1:19" x14ac:dyDescent="0.25">
      <c r="A53"/>
      <c r="B53"/>
      <c r="C53"/>
      <c r="D53" s="21" t="str">
        <f t="shared" si="13"/>
        <v/>
      </c>
      <c r="E53" s="21" t="str">
        <f t="shared" si="14"/>
        <v/>
      </c>
      <c r="F53" s="21" t="str">
        <f>IFERROR(INDEX(PACK!$C:$C,MATCH($A53,PACK!$A:$A,0)),"")</f>
        <v/>
      </c>
      <c r="G53" s="21" t="str">
        <f>IFERROR(INDEX(PACK!$D:$D,MATCH($A53,PACK!$A:$A,0)),"")</f>
        <v/>
      </c>
      <c r="H53" s="21" t="str">
        <f>IFERROR(INDEX(PACK!$E:$E,MATCH($A53,PACK!$A:$A,0)),"")</f>
        <v/>
      </c>
      <c r="I53" s="21" t="str">
        <f t="shared" si="15"/>
        <v/>
      </c>
      <c r="J53" s="21" t="str">
        <f t="shared" si="16"/>
        <v/>
      </c>
      <c r="K53" s="21" t="str">
        <f t="shared" si="17"/>
        <v/>
      </c>
      <c r="L53" s="21" t="str">
        <f t="shared" si="18"/>
        <v/>
      </c>
      <c r="R53" s="21" t="str">
        <f>IFERROR(INDEX(PACK!$C:$C,MATCH($P53,PACK!$A:$A,0)),"")</f>
        <v/>
      </c>
      <c r="S53" s="21" t="str">
        <f t="shared" si="6"/>
        <v/>
      </c>
    </row>
    <row r="54" spans="1:19" x14ac:dyDescent="0.25">
      <c r="A54"/>
      <c r="B54"/>
      <c r="C54"/>
      <c r="D54" s="21" t="str">
        <f t="shared" si="13"/>
        <v/>
      </c>
      <c r="E54" s="21" t="str">
        <f t="shared" si="14"/>
        <v/>
      </c>
      <c r="F54" s="21" t="str">
        <f>IFERROR(INDEX(PACK!$C:$C,MATCH($A54,PACK!$A:$A,0)),"")</f>
        <v/>
      </c>
      <c r="G54" s="21" t="str">
        <f>IFERROR(INDEX(PACK!$D:$D,MATCH($A54,PACK!$A:$A,0)),"")</f>
        <v/>
      </c>
      <c r="H54" s="21" t="str">
        <f>IFERROR(INDEX(PACK!$E:$E,MATCH($A54,PACK!$A:$A,0)),"")</f>
        <v/>
      </c>
      <c r="I54" s="21" t="str">
        <f t="shared" si="15"/>
        <v/>
      </c>
      <c r="J54" s="21" t="str">
        <f t="shared" si="16"/>
        <v/>
      </c>
      <c r="K54" s="21" t="str">
        <f t="shared" si="17"/>
        <v/>
      </c>
      <c r="L54" s="21" t="str">
        <f t="shared" si="18"/>
        <v/>
      </c>
      <c r="R54" s="21" t="str">
        <f>IFERROR(INDEX(PACK!$C:$C,MATCH($P54,PACK!$A:$A,0)),"")</f>
        <v/>
      </c>
      <c r="S54" s="21" t="str">
        <f t="shared" si="6"/>
        <v/>
      </c>
    </row>
    <row r="55" spans="1:19" x14ac:dyDescent="0.25">
      <c r="A55"/>
      <c r="B55"/>
      <c r="C55"/>
      <c r="D55" s="21" t="str">
        <f t="shared" si="13"/>
        <v/>
      </c>
      <c r="E55" s="21" t="str">
        <f t="shared" si="14"/>
        <v/>
      </c>
      <c r="F55" s="21" t="str">
        <f>IFERROR(INDEX(PACK!$C:$C,MATCH($A55,PACK!$A:$A,0)),"")</f>
        <v/>
      </c>
      <c r="G55" s="21" t="str">
        <f>IFERROR(INDEX(PACK!$D:$D,MATCH($A55,PACK!$A:$A,0)),"")</f>
        <v/>
      </c>
      <c r="H55" s="21" t="str">
        <f>IFERROR(INDEX(PACK!$E:$E,MATCH($A55,PACK!$A:$A,0)),"")</f>
        <v/>
      </c>
      <c r="I55" s="21" t="str">
        <f t="shared" si="15"/>
        <v/>
      </c>
      <c r="J55" s="21" t="str">
        <f t="shared" si="16"/>
        <v/>
      </c>
      <c r="K55" s="21" t="str">
        <f t="shared" si="17"/>
        <v/>
      </c>
      <c r="L55" s="21" t="str">
        <f t="shared" si="18"/>
        <v/>
      </c>
      <c r="R55" s="21" t="str">
        <f>IFERROR(INDEX(PACK!$C:$C,MATCH($P55,PACK!$A:$A,0)),"")</f>
        <v/>
      </c>
      <c r="S55" s="21" t="str">
        <f t="shared" si="6"/>
        <v/>
      </c>
    </row>
    <row r="56" spans="1:19" x14ac:dyDescent="0.25">
      <c r="F56" s="21" t="str">
        <f>IFERROR(INDEX(PACK!$C:$C,MATCH($A56,PACK!$A:$A,0)),"")</f>
        <v/>
      </c>
      <c r="G56" s="21" t="str">
        <f>IFERROR(INDEX(PACK!$D:$D,MATCH($A56,PACK!$A:$A,0)),"")</f>
        <v/>
      </c>
      <c r="H56" s="21" t="str">
        <f>IFERROR(INDEX(PACK!$E:$E,MATCH($A56,PACK!$A:$A,0)),"")</f>
        <v/>
      </c>
      <c r="I56" s="21" t="str">
        <f t="shared" ref="I56:I66" si="19">IFERROR(C56/F56,"")</f>
        <v/>
      </c>
      <c r="J56" s="21" t="str">
        <f t="shared" ref="J56:J86" si="20">IFERROR(ROUNDDOWN(C56/G56,0),"")</f>
        <v/>
      </c>
      <c r="K56" s="21" t="str">
        <f t="shared" ref="K56:K66" si="21">IFERROR(MOD(I56,H56),"")</f>
        <v/>
      </c>
      <c r="L56" s="21" t="str">
        <f t="shared" ref="L56:L86" si="22">IFERROR(K56*F56,"")</f>
        <v/>
      </c>
      <c r="R56" s="21" t="str">
        <f>IFERROR(INDEX(PACK!$C:$C,MATCH($P56,PACK!$A:$A,0)),"")</f>
        <v/>
      </c>
      <c r="S56" s="21" t="str">
        <f t="shared" si="6"/>
        <v/>
      </c>
    </row>
    <row r="57" spans="1:19" x14ac:dyDescent="0.25">
      <c r="F57" s="21" t="str">
        <f>IFERROR(INDEX(PACK!$C:$C,MATCH($A57,PACK!$A:$A,0)),"")</f>
        <v/>
      </c>
      <c r="G57" s="21" t="str">
        <f>IFERROR(INDEX(PACK!$D:$D,MATCH($A57,PACK!$A:$A,0)),"")</f>
        <v/>
      </c>
      <c r="H57" s="21" t="str">
        <f>IFERROR(INDEX(PACK!$E:$E,MATCH($A57,PACK!$A:$A,0)),"")</f>
        <v/>
      </c>
      <c r="I57" s="21" t="str">
        <f t="shared" si="19"/>
        <v/>
      </c>
      <c r="J57" s="21" t="str">
        <f t="shared" si="20"/>
        <v/>
      </c>
      <c r="K57" s="21" t="str">
        <f t="shared" si="21"/>
        <v/>
      </c>
      <c r="L57" s="21" t="str">
        <f t="shared" si="22"/>
        <v/>
      </c>
      <c r="R57" s="21" t="str">
        <f>IFERROR(INDEX(PACK!$C:$C,MATCH($P57,PACK!$A:$A,0)),"")</f>
        <v/>
      </c>
      <c r="S57" s="21" t="str">
        <f t="shared" si="6"/>
        <v/>
      </c>
    </row>
    <row r="58" spans="1:19" x14ac:dyDescent="0.25">
      <c r="F58" s="21" t="str">
        <f>IFERROR(INDEX(PACK!$C:$C,MATCH($A58,PACK!$A:$A,0)),"")</f>
        <v/>
      </c>
      <c r="G58" s="21" t="str">
        <f>IFERROR(INDEX(PACK!$D:$D,MATCH($A58,PACK!$A:$A,0)),"")</f>
        <v/>
      </c>
      <c r="H58" s="21" t="str">
        <f>IFERROR(INDEX(PACK!$E:$E,MATCH($A58,PACK!$A:$A,0)),"")</f>
        <v/>
      </c>
      <c r="I58" s="21" t="str">
        <f t="shared" si="19"/>
        <v/>
      </c>
      <c r="J58" s="21" t="str">
        <f t="shared" si="20"/>
        <v/>
      </c>
      <c r="K58" s="21" t="str">
        <f t="shared" si="21"/>
        <v/>
      </c>
      <c r="L58" s="21" t="str">
        <f t="shared" si="22"/>
        <v/>
      </c>
      <c r="R58" s="21" t="str">
        <f>IFERROR(INDEX(PACK!$C:$C,MATCH($P58,PACK!$A:$A,0)),"")</f>
        <v/>
      </c>
      <c r="S58" s="21" t="str">
        <f t="shared" si="6"/>
        <v/>
      </c>
    </row>
    <row r="59" spans="1:19" x14ac:dyDescent="0.25">
      <c r="F59" s="21" t="str">
        <f>IFERROR(INDEX(PACK!$C:$C,MATCH($A59,PACK!$A:$A,0)),"")</f>
        <v/>
      </c>
      <c r="G59" s="21" t="str">
        <f>IFERROR(INDEX(PACK!$D:$D,MATCH($A59,PACK!$A:$A,0)),"")</f>
        <v/>
      </c>
      <c r="H59" s="21" t="str">
        <f>IFERROR(INDEX(PACK!$E:$E,MATCH($A59,PACK!$A:$A,0)),"")</f>
        <v/>
      </c>
      <c r="I59" s="21" t="str">
        <f t="shared" si="19"/>
        <v/>
      </c>
      <c r="J59" s="21" t="str">
        <f t="shared" si="20"/>
        <v/>
      </c>
      <c r="K59" s="21" t="str">
        <f t="shared" si="21"/>
        <v/>
      </c>
      <c r="L59" s="21" t="str">
        <f t="shared" si="22"/>
        <v/>
      </c>
      <c r="R59" s="21" t="str">
        <f>IFERROR(INDEX(PACK!$C:$C,MATCH($P59,PACK!$A:$A,0)),"")</f>
        <v/>
      </c>
      <c r="S59" s="21" t="str">
        <f t="shared" si="6"/>
        <v/>
      </c>
    </row>
    <row r="60" spans="1:19" x14ac:dyDescent="0.25">
      <c r="F60" s="21" t="str">
        <f>IFERROR(INDEX(PACK!$C:$C,MATCH($A60,PACK!$A:$A,0)),"")</f>
        <v/>
      </c>
      <c r="G60" s="21" t="str">
        <f>IFERROR(INDEX(PACK!$D:$D,MATCH($A60,PACK!$A:$A,0)),"")</f>
        <v/>
      </c>
      <c r="H60" s="21" t="str">
        <f>IFERROR(INDEX(PACK!$E:$E,MATCH($A60,PACK!$A:$A,0)),"")</f>
        <v/>
      </c>
      <c r="I60" s="21" t="str">
        <f t="shared" si="19"/>
        <v/>
      </c>
      <c r="J60" s="21" t="str">
        <f t="shared" si="20"/>
        <v/>
      </c>
      <c r="K60" s="21" t="str">
        <f t="shared" si="21"/>
        <v/>
      </c>
      <c r="L60" s="21" t="str">
        <f t="shared" si="22"/>
        <v/>
      </c>
      <c r="R60" s="21" t="str">
        <f>IFERROR(INDEX(PACK!$C:$C,MATCH($P60,PACK!$A:$A,0)),"")</f>
        <v/>
      </c>
      <c r="S60" s="21" t="str">
        <f t="shared" si="6"/>
        <v/>
      </c>
    </row>
    <row r="61" spans="1:19" x14ac:dyDescent="0.25">
      <c r="F61" s="21" t="str">
        <f>IFERROR(INDEX(PACK!$C:$C,MATCH($A61,PACK!$A:$A,0)),"")</f>
        <v/>
      </c>
      <c r="G61" s="21" t="str">
        <f>IFERROR(INDEX(PACK!$D:$D,MATCH($A61,PACK!$A:$A,0)),"")</f>
        <v/>
      </c>
      <c r="H61" s="21" t="str">
        <f>IFERROR(INDEX(PACK!$E:$E,MATCH($A61,PACK!$A:$A,0)),"")</f>
        <v/>
      </c>
      <c r="I61" s="21" t="str">
        <f t="shared" si="19"/>
        <v/>
      </c>
      <c r="J61" s="21" t="str">
        <f t="shared" si="20"/>
        <v/>
      </c>
      <c r="K61" s="21" t="str">
        <f t="shared" si="21"/>
        <v/>
      </c>
      <c r="L61" s="21" t="str">
        <f t="shared" si="22"/>
        <v/>
      </c>
      <c r="R61" s="21" t="str">
        <f>IFERROR(INDEX(PACK!$C:$C,MATCH($P61,PACK!$A:$A,0)),"")</f>
        <v/>
      </c>
      <c r="S61" s="21" t="str">
        <f t="shared" si="6"/>
        <v/>
      </c>
    </row>
    <row r="62" spans="1:19" x14ac:dyDescent="0.25">
      <c r="F62" s="21" t="str">
        <f>IFERROR(INDEX(PACK!$C:$C,MATCH($A62,PACK!$A:$A,0)),"")</f>
        <v/>
      </c>
      <c r="G62" s="21" t="str">
        <f>IFERROR(INDEX(PACK!$D:$D,MATCH($A62,PACK!$A:$A,0)),"")</f>
        <v/>
      </c>
      <c r="H62" s="21" t="str">
        <f>IFERROR(INDEX(PACK!$E:$E,MATCH($A62,PACK!$A:$A,0)),"")</f>
        <v/>
      </c>
      <c r="I62" s="21" t="str">
        <f t="shared" si="19"/>
        <v/>
      </c>
      <c r="J62" s="21" t="str">
        <f t="shared" si="20"/>
        <v/>
      </c>
      <c r="K62" s="21" t="str">
        <f t="shared" si="21"/>
        <v/>
      </c>
      <c r="L62" s="21" t="str">
        <f t="shared" si="22"/>
        <v/>
      </c>
      <c r="R62" s="21" t="str">
        <f>IFERROR(INDEX(PACK!$C:$C,MATCH($P62,PACK!$A:$A,0)),"")</f>
        <v/>
      </c>
      <c r="S62" s="21" t="str">
        <f t="shared" si="6"/>
        <v/>
      </c>
    </row>
    <row r="63" spans="1:19" x14ac:dyDescent="0.25">
      <c r="F63" s="21" t="str">
        <f>IFERROR(INDEX(PACK!$C:$C,MATCH($A63,PACK!$A:$A,0)),"")</f>
        <v/>
      </c>
      <c r="G63" s="21" t="str">
        <f>IFERROR(INDEX(PACK!$D:$D,MATCH($A63,PACK!$A:$A,0)),"")</f>
        <v/>
      </c>
      <c r="H63" s="21" t="str">
        <f>IFERROR(INDEX(PACK!$E:$E,MATCH($A63,PACK!$A:$A,0)),"")</f>
        <v/>
      </c>
      <c r="I63" s="21" t="str">
        <f t="shared" si="19"/>
        <v/>
      </c>
      <c r="J63" s="21" t="str">
        <f t="shared" si="20"/>
        <v/>
      </c>
      <c r="K63" s="21" t="str">
        <f t="shared" si="21"/>
        <v/>
      </c>
      <c r="L63" s="21" t="str">
        <f t="shared" si="22"/>
        <v/>
      </c>
      <c r="R63" s="21" t="str">
        <f>IFERROR(INDEX(PACK!$C:$C,MATCH($P63,PACK!$A:$A,0)),"")</f>
        <v/>
      </c>
      <c r="S63" s="21" t="str">
        <f t="shared" si="6"/>
        <v/>
      </c>
    </row>
    <row r="64" spans="1:19" x14ac:dyDescent="0.25">
      <c r="F64" s="21" t="str">
        <f>IFERROR(INDEX(PACK!$C:$C,MATCH($A64,PACK!$A:$A,0)),"")</f>
        <v/>
      </c>
      <c r="G64" s="21" t="str">
        <f>IFERROR(INDEX(PACK!$D:$D,MATCH($A64,PACK!$A:$A,0)),"")</f>
        <v/>
      </c>
      <c r="H64" s="21" t="str">
        <f>IFERROR(INDEX(PACK!$E:$E,MATCH($A64,PACK!$A:$A,0)),"")</f>
        <v/>
      </c>
      <c r="I64" s="21" t="str">
        <f t="shared" si="19"/>
        <v/>
      </c>
      <c r="J64" s="21" t="str">
        <f t="shared" si="20"/>
        <v/>
      </c>
      <c r="K64" s="21" t="str">
        <f t="shared" si="21"/>
        <v/>
      </c>
      <c r="L64" s="21" t="str">
        <f t="shared" si="22"/>
        <v/>
      </c>
      <c r="R64" s="21" t="str">
        <f>IFERROR(INDEX(PACK!$C:$C,MATCH($P64,PACK!$A:$A,0)),"")</f>
        <v/>
      </c>
      <c r="S64" s="21" t="str">
        <f t="shared" si="6"/>
        <v/>
      </c>
    </row>
    <row r="65" spans="6:19" x14ac:dyDescent="0.25">
      <c r="F65" s="21" t="str">
        <f>IFERROR(INDEX(PACK!$C:$C,MATCH($A65,PACK!$A:$A,0)),"")</f>
        <v/>
      </c>
      <c r="G65" s="21" t="str">
        <f>IFERROR(INDEX(PACK!$D:$D,MATCH($A65,PACK!$A:$A,0)),"")</f>
        <v/>
      </c>
      <c r="H65" s="21" t="str">
        <f>IFERROR(INDEX(PACK!$E:$E,MATCH($A65,PACK!$A:$A,0)),"")</f>
        <v/>
      </c>
      <c r="I65" s="21" t="str">
        <f t="shared" si="19"/>
        <v/>
      </c>
      <c r="J65" s="21" t="str">
        <f t="shared" si="20"/>
        <v/>
      </c>
      <c r="K65" s="21" t="str">
        <f t="shared" si="21"/>
        <v/>
      </c>
      <c r="L65" s="21" t="str">
        <f t="shared" si="22"/>
        <v/>
      </c>
      <c r="R65" s="21" t="str">
        <f>IFERROR(INDEX(PACK!$C:$C,MATCH($P65,PACK!$A:$A,0)),"")</f>
        <v/>
      </c>
      <c r="S65" s="21" t="str">
        <f t="shared" si="6"/>
        <v/>
      </c>
    </row>
    <row r="66" spans="6:19" x14ac:dyDescent="0.25">
      <c r="F66" s="21" t="str">
        <f>IFERROR(INDEX(PACK!$C:$C,MATCH($A66,PACK!$A:$A,0)),"")</f>
        <v/>
      </c>
      <c r="G66" s="21" t="str">
        <f>IFERROR(INDEX(PACK!$D:$D,MATCH($A66,PACK!$A:$A,0)),"")</f>
        <v/>
      </c>
      <c r="H66" s="21" t="str">
        <f>IFERROR(INDEX(PACK!$E:$E,MATCH($A66,PACK!$A:$A,0)),"")</f>
        <v/>
      </c>
      <c r="I66" s="21" t="str">
        <f t="shared" si="19"/>
        <v/>
      </c>
      <c r="J66" s="21" t="str">
        <f t="shared" si="20"/>
        <v/>
      </c>
      <c r="K66" s="21" t="str">
        <f t="shared" si="21"/>
        <v/>
      </c>
      <c r="L66" s="21" t="str">
        <f t="shared" si="22"/>
        <v/>
      </c>
      <c r="R66" s="21" t="str">
        <f>IFERROR(INDEX(PACK!$C:$C,MATCH($P66,PACK!$A:$A,0)),"")</f>
        <v/>
      </c>
      <c r="S66" s="21" t="str">
        <f t="shared" si="6"/>
        <v/>
      </c>
    </row>
    <row r="67" spans="6:19" x14ac:dyDescent="0.25">
      <c r="F67" s="21" t="str">
        <f>IFERROR(INDEX(PACK!$C:$C,MATCH($A67,PACK!$A:$A,0)),"")</f>
        <v/>
      </c>
      <c r="G67" s="21" t="str">
        <f>IFERROR(INDEX(PACK!$D:$D,MATCH($A67,PACK!$A:$A,0)),"")</f>
        <v/>
      </c>
      <c r="H67" s="21" t="str">
        <f>IFERROR(INDEX(PACK!$E:$E,MATCH($A67,PACK!$A:$A,0)),"")</f>
        <v/>
      </c>
      <c r="I67" s="21" t="str">
        <f t="shared" ref="I67:I130" si="23">IFERROR(C67/F67,"")</f>
        <v/>
      </c>
      <c r="J67" s="21" t="str">
        <f t="shared" si="20"/>
        <v/>
      </c>
      <c r="K67" s="21" t="str">
        <f t="shared" ref="K67:K130" si="24">IFERROR(MOD(I67,H67),"")</f>
        <v/>
      </c>
      <c r="L67" s="21" t="str">
        <f t="shared" si="22"/>
        <v/>
      </c>
      <c r="R67" s="21" t="str">
        <f>IFERROR(INDEX(PACK!$C:$C,MATCH($P67,PACK!$A:$A,0)),"")</f>
        <v/>
      </c>
      <c r="S67" s="21" t="str">
        <f t="shared" ref="S67:S130" si="25">IFERROR(Q67/R67,"")</f>
        <v/>
      </c>
    </row>
    <row r="68" spans="6:19" x14ac:dyDescent="0.25">
      <c r="F68" s="21" t="str">
        <f>IFERROR(INDEX(PACK!$C:$C,MATCH($A68,PACK!$A:$A,0)),"")</f>
        <v/>
      </c>
      <c r="G68" s="21" t="str">
        <f>IFERROR(INDEX(PACK!$D:$D,MATCH($A68,PACK!$A:$A,0)),"")</f>
        <v/>
      </c>
      <c r="H68" s="21" t="str">
        <f>IFERROR(INDEX(PACK!$E:$E,MATCH($A68,PACK!$A:$A,0)),"")</f>
        <v/>
      </c>
      <c r="I68" s="21" t="str">
        <f t="shared" si="23"/>
        <v/>
      </c>
      <c r="J68" s="21" t="str">
        <f t="shared" si="20"/>
        <v/>
      </c>
      <c r="K68" s="21" t="str">
        <f t="shared" si="24"/>
        <v/>
      </c>
      <c r="L68" s="21" t="str">
        <f t="shared" si="22"/>
        <v/>
      </c>
      <c r="R68" s="21" t="str">
        <f>IFERROR(INDEX(PACK!$C:$C,MATCH($P68,PACK!$A:$A,0)),"")</f>
        <v/>
      </c>
      <c r="S68" s="21" t="str">
        <f t="shared" si="25"/>
        <v/>
      </c>
    </row>
    <row r="69" spans="6:19" x14ac:dyDescent="0.25">
      <c r="F69" s="21" t="str">
        <f>IFERROR(INDEX(PACK!$C:$C,MATCH($A69,PACK!$A:$A,0)),"")</f>
        <v/>
      </c>
      <c r="G69" s="21" t="str">
        <f>IFERROR(INDEX(PACK!$D:$D,MATCH($A69,PACK!$A:$A,0)),"")</f>
        <v/>
      </c>
      <c r="H69" s="21" t="str">
        <f>IFERROR(INDEX(PACK!$E:$E,MATCH($A69,PACK!$A:$A,0)),"")</f>
        <v/>
      </c>
      <c r="I69" s="21" t="str">
        <f t="shared" si="23"/>
        <v/>
      </c>
      <c r="J69" s="21" t="str">
        <f t="shared" si="20"/>
        <v/>
      </c>
      <c r="K69" s="21" t="str">
        <f t="shared" si="24"/>
        <v/>
      </c>
      <c r="L69" s="21" t="str">
        <f t="shared" si="22"/>
        <v/>
      </c>
      <c r="R69" s="21" t="str">
        <f>IFERROR(INDEX(PACK!$C:$C,MATCH($P69,PACK!$A:$A,0)),"")</f>
        <v/>
      </c>
      <c r="S69" s="21" t="str">
        <f t="shared" si="25"/>
        <v/>
      </c>
    </row>
    <row r="70" spans="6:19" x14ac:dyDescent="0.25">
      <c r="F70" s="21" t="str">
        <f>IFERROR(INDEX(PACK!$C:$C,MATCH($A70,PACK!$A:$A,0)),"")</f>
        <v/>
      </c>
      <c r="G70" s="21" t="str">
        <f>IFERROR(INDEX(PACK!$D:$D,MATCH($A70,PACK!$A:$A,0)),"")</f>
        <v/>
      </c>
      <c r="H70" s="21" t="str">
        <f>IFERROR(INDEX(PACK!$E:$E,MATCH($A70,PACK!$A:$A,0)),"")</f>
        <v/>
      </c>
      <c r="I70" s="21" t="str">
        <f t="shared" si="23"/>
        <v/>
      </c>
      <c r="J70" s="21" t="str">
        <f t="shared" si="20"/>
        <v/>
      </c>
      <c r="K70" s="21" t="str">
        <f t="shared" si="24"/>
        <v/>
      </c>
      <c r="L70" s="21" t="str">
        <f t="shared" si="22"/>
        <v/>
      </c>
      <c r="R70" s="21" t="str">
        <f>IFERROR(INDEX(PACK!$C:$C,MATCH($P70,PACK!$A:$A,0)),"")</f>
        <v/>
      </c>
      <c r="S70" s="21" t="str">
        <f t="shared" si="25"/>
        <v/>
      </c>
    </row>
    <row r="71" spans="6:19" x14ac:dyDescent="0.25">
      <c r="F71" s="21" t="str">
        <f>IFERROR(INDEX(PACK!$C:$C,MATCH($A71,PACK!$A:$A,0)),"")</f>
        <v/>
      </c>
      <c r="G71" s="21" t="str">
        <f>IFERROR(INDEX(PACK!$D:$D,MATCH($A71,PACK!$A:$A,0)),"")</f>
        <v/>
      </c>
      <c r="H71" s="21" t="str">
        <f>IFERROR(INDEX(PACK!$E:$E,MATCH($A71,PACK!$A:$A,0)),"")</f>
        <v/>
      </c>
      <c r="I71" s="21" t="str">
        <f t="shared" si="23"/>
        <v/>
      </c>
      <c r="J71" s="21" t="str">
        <f t="shared" si="20"/>
        <v/>
      </c>
      <c r="K71" s="21" t="str">
        <f t="shared" si="24"/>
        <v/>
      </c>
      <c r="L71" s="21" t="str">
        <f t="shared" si="22"/>
        <v/>
      </c>
      <c r="R71" s="21" t="str">
        <f>IFERROR(INDEX(PACK!$C:$C,MATCH($P71,PACK!$A:$A,0)),"")</f>
        <v/>
      </c>
      <c r="S71" s="21" t="str">
        <f t="shared" si="25"/>
        <v/>
      </c>
    </row>
    <row r="72" spans="6:19" x14ac:dyDescent="0.25">
      <c r="F72" s="21" t="str">
        <f>IFERROR(INDEX(PACK!$C:$C,MATCH($A72,PACK!$A:$A,0)),"")</f>
        <v/>
      </c>
      <c r="G72" s="21" t="str">
        <f>IFERROR(INDEX(PACK!$D:$D,MATCH($A72,PACK!$A:$A,0)),"")</f>
        <v/>
      </c>
      <c r="H72" s="21" t="str">
        <f>IFERROR(INDEX(PACK!$E:$E,MATCH($A72,PACK!$A:$A,0)),"")</f>
        <v/>
      </c>
      <c r="I72" s="21" t="str">
        <f t="shared" si="23"/>
        <v/>
      </c>
      <c r="J72" s="21" t="str">
        <f t="shared" si="20"/>
        <v/>
      </c>
      <c r="K72" s="21" t="str">
        <f t="shared" si="24"/>
        <v/>
      </c>
      <c r="L72" s="21" t="str">
        <f t="shared" si="22"/>
        <v/>
      </c>
      <c r="R72" s="21" t="str">
        <f>IFERROR(INDEX(PACK!$C:$C,MATCH($P72,PACK!$A:$A,0)),"")</f>
        <v/>
      </c>
      <c r="S72" s="21" t="str">
        <f t="shared" si="25"/>
        <v/>
      </c>
    </row>
    <row r="73" spans="6:19" x14ac:dyDescent="0.25">
      <c r="F73" s="21" t="str">
        <f>IFERROR(INDEX(PACK!$C:$C,MATCH($A73,PACK!$A:$A,0)),"")</f>
        <v/>
      </c>
      <c r="G73" s="21" t="str">
        <f>IFERROR(INDEX(PACK!$D:$D,MATCH($A73,PACK!$A:$A,0)),"")</f>
        <v/>
      </c>
      <c r="H73" s="21" t="str">
        <f>IFERROR(INDEX(PACK!$E:$E,MATCH($A73,PACK!$A:$A,0)),"")</f>
        <v/>
      </c>
      <c r="I73" s="21" t="str">
        <f t="shared" si="23"/>
        <v/>
      </c>
      <c r="J73" s="21" t="str">
        <f t="shared" si="20"/>
        <v/>
      </c>
      <c r="K73" s="21" t="str">
        <f t="shared" si="24"/>
        <v/>
      </c>
      <c r="L73" s="21" t="str">
        <f t="shared" si="22"/>
        <v/>
      </c>
      <c r="R73" s="21" t="str">
        <f>IFERROR(INDEX(PACK!$C:$C,MATCH($P73,PACK!$A:$A,0)),"")</f>
        <v/>
      </c>
      <c r="S73" s="21" t="str">
        <f t="shared" si="25"/>
        <v/>
      </c>
    </row>
    <row r="74" spans="6:19" x14ac:dyDescent="0.25">
      <c r="F74" s="21" t="str">
        <f>IFERROR(INDEX(PACK!$C:$C,MATCH($A74,PACK!$A:$A,0)),"")</f>
        <v/>
      </c>
      <c r="G74" s="21" t="str">
        <f>IFERROR(INDEX(PACK!$D:$D,MATCH($A74,PACK!$A:$A,0)),"")</f>
        <v/>
      </c>
      <c r="H74" s="21" t="str">
        <f>IFERROR(INDEX(PACK!$E:$E,MATCH($A74,PACK!$A:$A,0)),"")</f>
        <v/>
      </c>
      <c r="I74" s="21" t="str">
        <f t="shared" si="23"/>
        <v/>
      </c>
      <c r="J74" s="21" t="str">
        <f t="shared" si="20"/>
        <v/>
      </c>
      <c r="K74" s="21" t="str">
        <f t="shared" si="24"/>
        <v/>
      </c>
      <c r="L74" s="21" t="str">
        <f t="shared" si="22"/>
        <v/>
      </c>
      <c r="R74" s="21" t="str">
        <f>IFERROR(INDEX(PACK!$C:$C,MATCH($P74,PACK!$A:$A,0)),"")</f>
        <v/>
      </c>
      <c r="S74" s="21" t="str">
        <f t="shared" si="25"/>
        <v/>
      </c>
    </row>
    <row r="75" spans="6:19" x14ac:dyDescent="0.25">
      <c r="F75" s="21" t="str">
        <f>IFERROR(INDEX(PACK!$C:$C,MATCH($A75,PACK!$A:$A,0)),"")</f>
        <v/>
      </c>
      <c r="G75" s="21" t="str">
        <f>IFERROR(INDEX(PACK!$D:$D,MATCH($A75,PACK!$A:$A,0)),"")</f>
        <v/>
      </c>
      <c r="H75" s="21" t="str">
        <f>IFERROR(INDEX(PACK!$E:$E,MATCH($A75,PACK!$A:$A,0)),"")</f>
        <v/>
      </c>
      <c r="I75" s="21" t="str">
        <f t="shared" si="23"/>
        <v/>
      </c>
      <c r="J75" s="21" t="str">
        <f t="shared" si="20"/>
        <v/>
      </c>
      <c r="K75" s="21" t="str">
        <f t="shared" si="24"/>
        <v/>
      </c>
      <c r="L75" s="21" t="str">
        <f t="shared" si="22"/>
        <v/>
      </c>
      <c r="R75" s="21" t="str">
        <f>IFERROR(INDEX(PACK!$C:$C,MATCH($P75,PACK!$A:$A,0)),"")</f>
        <v/>
      </c>
      <c r="S75" s="21" t="str">
        <f t="shared" si="25"/>
        <v/>
      </c>
    </row>
    <row r="76" spans="6:19" x14ac:dyDescent="0.25">
      <c r="F76" s="21" t="str">
        <f>IFERROR(INDEX(PACK!$C:$C,MATCH($A76,PACK!$A:$A,0)),"")</f>
        <v/>
      </c>
      <c r="G76" s="21" t="str">
        <f>IFERROR(INDEX(PACK!$D:$D,MATCH($A76,PACK!$A:$A,0)),"")</f>
        <v/>
      </c>
      <c r="H76" s="21" t="str">
        <f>IFERROR(INDEX(PACK!$E:$E,MATCH($A76,PACK!$A:$A,0)),"")</f>
        <v/>
      </c>
      <c r="I76" s="21" t="str">
        <f t="shared" si="23"/>
        <v/>
      </c>
      <c r="J76" s="21" t="str">
        <f t="shared" si="20"/>
        <v/>
      </c>
      <c r="K76" s="21" t="str">
        <f t="shared" si="24"/>
        <v/>
      </c>
      <c r="L76" s="21" t="str">
        <f t="shared" si="22"/>
        <v/>
      </c>
      <c r="R76" s="21" t="str">
        <f>IFERROR(INDEX(PACK!$C:$C,MATCH($P76,PACK!$A:$A,0)),"")</f>
        <v/>
      </c>
      <c r="S76" s="21" t="str">
        <f t="shared" si="25"/>
        <v/>
      </c>
    </row>
    <row r="77" spans="6:19" x14ac:dyDescent="0.25">
      <c r="F77" s="21" t="str">
        <f>IFERROR(INDEX(PACK!$C:$C,MATCH($A77,PACK!$A:$A,0)),"")</f>
        <v/>
      </c>
      <c r="G77" s="21" t="str">
        <f>IFERROR(INDEX(PACK!$D:$D,MATCH($A77,PACK!$A:$A,0)),"")</f>
        <v/>
      </c>
      <c r="H77" s="21" t="str">
        <f>IFERROR(INDEX(PACK!$E:$E,MATCH($A77,PACK!$A:$A,0)),"")</f>
        <v/>
      </c>
      <c r="I77" s="21" t="str">
        <f t="shared" si="23"/>
        <v/>
      </c>
      <c r="J77" s="21" t="str">
        <f t="shared" si="20"/>
        <v/>
      </c>
      <c r="K77" s="21" t="str">
        <f t="shared" si="24"/>
        <v/>
      </c>
      <c r="L77" s="21" t="str">
        <f t="shared" si="22"/>
        <v/>
      </c>
      <c r="R77" s="21" t="str">
        <f>IFERROR(INDEX(PACK!$C:$C,MATCH($P77,PACK!$A:$A,0)),"")</f>
        <v/>
      </c>
      <c r="S77" s="21" t="str">
        <f t="shared" si="25"/>
        <v/>
      </c>
    </row>
    <row r="78" spans="6:19" x14ac:dyDescent="0.25">
      <c r="F78" s="21" t="str">
        <f>IFERROR(INDEX(PACK!$C:$C,MATCH($A78,PACK!$A:$A,0)),"")</f>
        <v/>
      </c>
      <c r="G78" s="21" t="str">
        <f>IFERROR(INDEX(PACK!$D:$D,MATCH($A78,PACK!$A:$A,0)),"")</f>
        <v/>
      </c>
      <c r="H78" s="21" t="str">
        <f>IFERROR(INDEX(PACK!$E:$E,MATCH($A78,PACK!$A:$A,0)),"")</f>
        <v/>
      </c>
      <c r="I78" s="21" t="str">
        <f t="shared" si="23"/>
        <v/>
      </c>
      <c r="J78" s="21" t="str">
        <f t="shared" si="20"/>
        <v/>
      </c>
      <c r="K78" s="21" t="str">
        <f t="shared" si="24"/>
        <v/>
      </c>
      <c r="L78" s="21" t="str">
        <f t="shared" si="22"/>
        <v/>
      </c>
      <c r="R78" s="21" t="str">
        <f>IFERROR(INDEX(PACK!$C:$C,MATCH($P78,PACK!$A:$A,0)),"")</f>
        <v/>
      </c>
      <c r="S78" s="21" t="str">
        <f t="shared" si="25"/>
        <v/>
      </c>
    </row>
    <row r="79" spans="6:19" x14ac:dyDescent="0.25">
      <c r="F79" s="21" t="str">
        <f>IFERROR(INDEX(PACK!$C:$C,MATCH($A79,PACK!$A:$A,0)),"")</f>
        <v/>
      </c>
      <c r="G79" s="21" t="str">
        <f>IFERROR(INDEX(PACK!$D:$D,MATCH($A79,PACK!$A:$A,0)),"")</f>
        <v/>
      </c>
      <c r="H79" s="21" t="str">
        <f>IFERROR(INDEX(PACK!$E:$E,MATCH($A79,PACK!$A:$A,0)),"")</f>
        <v/>
      </c>
      <c r="I79" s="21" t="str">
        <f t="shared" si="23"/>
        <v/>
      </c>
      <c r="J79" s="21" t="str">
        <f t="shared" si="20"/>
        <v/>
      </c>
      <c r="K79" s="21" t="str">
        <f t="shared" si="24"/>
        <v/>
      </c>
      <c r="L79" s="21" t="str">
        <f t="shared" si="22"/>
        <v/>
      </c>
      <c r="R79" s="21" t="str">
        <f>IFERROR(INDEX(PACK!$C:$C,MATCH($P79,PACK!$A:$A,0)),"")</f>
        <v/>
      </c>
      <c r="S79" s="21" t="str">
        <f t="shared" si="25"/>
        <v/>
      </c>
    </row>
    <row r="80" spans="6:19" x14ac:dyDescent="0.25">
      <c r="F80" s="21" t="str">
        <f>IFERROR(INDEX(PACK!$C:$C,MATCH($A80,PACK!$A:$A,0)),"")</f>
        <v/>
      </c>
      <c r="G80" s="21" t="str">
        <f>IFERROR(INDEX(PACK!$D:$D,MATCH($A80,PACK!$A:$A,0)),"")</f>
        <v/>
      </c>
      <c r="H80" s="21" t="str">
        <f>IFERROR(INDEX(PACK!$E:$E,MATCH($A80,PACK!$A:$A,0)),"")</f>
        <v/>
      </c>
      <c r="I80" s="21" t="str">
        <f t="shared" si="23"/>
        <v/>
      </c>
      <c r="J80" s="21" t="str">
        <f t="shared" si="20"/>
        <v/>
      </c>
      <c r="K80" s="21" t="str">
        <f t="shared" si="24"/>
        <v/>
      </c>
      <c r="L80" s="21" t="str">
        <f t="shared" si="22"/>
        <v/>
      </c>
      <c r="R80" s="21" t="str">
        <f>IFERROR(INDEX(PACK!$C:$C,MATCH($P80,PACK!$A:$A,0)),"")</f>
        <v/>
      </c>
      <c r="S80" s="21" t="str">
        <f t="shared" si="25"/>
        <v/>
      </c>
    </row>
    <row r="81" spans="6:19" x14ac:dyDescent="0.25">
      <c r="F81" s="21" t="str">
        <f>IFERROR(INDEX(PACK!$C:$C,MATCH($A81,PACK!$A:$A,0)),"")</f>
        <v/>
      </c>
      <c r="G81" s="21" t="str">
        <f>IFERROR(INDEX(PACK!$D:$D,MATCH($A81,PACK!$A:$A,0)),"")</f>
        <v/>
      </c>
      <c r="H81" s="21" t="str">
        <f>IFERROR(INDEX(PACK!$E:$E,MATCH($A81,PACK!$A:$A,0)),"")</f>
        <v/>
      </c>
      <c r="I81" s="21" t="str">
        <f t="shared" si="23"/>
        <v/>
      </c>
      <c r="J81" s="21" t="str">
        <f t="shared" si="20"/>
        <v/>
      </c>
      <c r="K81" s="21" t="str">
        <f t="shared" si="24"/>
        <v/>
      </c>
      <c r="L81" s="21" t="str">
        <f t="shared" si="22"/>
        <v/>
      </c>
      <c r="R81" s="21" t="str">
        <f>IFERROR(INDEX(PACK!$C:$C,MATCH($P81,PACK!$A:$A,0)),"")</f>
        <v/>
      </c>
      <c r="S81" s="21" t="str">
        <f t="shared" si="25"/>
        <v/>
      </c>
    </row>
    <row r="82" spans="6:19" x14ac:dyDescent="0.25">
      <c r="F82" s="21" t="str">
        <f>IFERROR(INDEX(PACK!$C:$C,MATCH($A82,PACK!$A:$A,0)),"")</f>
        <v/>
      </c>
      <c r="G82" s="21" t="str">
        <f>IFERROR(INDEX(PACK!$D:$D,MATCH($A82,PACK!$A:$A,0)),"")</f>
        <v/>
      </c>
      <c r="H82" s="21" t="str">
        <f>IFERROR(INDEX(PACK!$E:$E,MATCH($A82,PACK!$A:$A,0)),"")</f>
        <v/>
      </c>
      <c r="I82" s="21" t="str">
        <f t="shared" si="23"/>
        <v/>
      </c>
      <c r="J82" s="21" t="str">
        <f t="shared" si="20"/>
        <v/>
      </c>
      <c r="K82" s="21" t="str">
        <f t="shared" si="24"/>
        <v/>
      </c>
      <c r="L82" s="21" t="str">
        <f t="shared" si="22"/>
        <v/>
      </c>
      <c r="R82" s="21" t="str">
        <f>IFERROR(INDEX(PACK!$C:$C,MATCH($P82,PACK!$A:$A,0)),"")</f>
        <v/>
      </c>
      <c r="S82" s="21" t="str">
        <f t="shared" si="25"/>
        <v/>
      </c>
    </row>
    <row r="83" spans="6:19" x14ac:dyDescent="0.25">
      <c r="F83" s="21" t="str">
        <f>IFERROR(INDEX(PACK!$C:$C,MATCH($A83,PACK!$A:$A,0)),"")</f>
        <v/>
      </c>
      <c r="G83" s="21" t="str">
        <f>IFERROR(INDEX(PACK!$D:$D,MATCH($A83,PACK!$A:$A,0)),"")</f>
        <v/>
      </c>
      <c r="H83" s="21" t="str">
        <f>IFERROR(INDEX(PACK!$E:$E,MATCH($A83,PACK!$A:$A,0)),"")</f>
        <v/>
      </c>
      <c r="I83" s="21" t="str">
        <f t="shared" si="23"/>
        <v/>
      </c>
      <c r="J83" s="21" t="str">
        <f t="shared" si="20"/>
        <v/>
      </c>
      <c r="K83" s="21" t="str">
        <f t="shared" si="24"/>
        <v/>
      </c>
      <c r="L83" s="21" t="str">
        <f t="shared" si="22"/>
        <v/>
      </c>
      <c r="R83" s="21" t="str">
        <f>IFERROR(INDEX(PACK!$C:$C,MATCH($P83,PACK!$A:$A,0)),"")</f>
        <v/>
      </c>
      <c r="S83" s="21" t="str">
        <f t="shared" si="25"/>
        <v/>
      </c>
    </row>
    <row r="84" spans="6:19" x14ac:dyDescent="0.25">
      <c r="F84" s="21" t="str">
        <f>IFERROR(INDEX(PACK!$C:$C,MATCH($A84,PACK!$A:$A,0)),"")</f>
        <v/>
      </c>
      <c r="G84" s="21" t="str">
        <f>IFERROR(INDEX(PACK!$D:$D,MATCH($A84,PACK!$A:$A,0)),"")</f>
        <v/>
      </c>
      <c r="H84" s="21" t="str">
        <f>IFERROR(INDEX(PACK!$E:$E,MATCH($A84,PACK!$A:$A,0)),"")</f>
        <v/>
      </c>
      <c r="I84" s="21" t="str">
        <f t="shared" si="23"/>
        <v/>
      </c>
      <c r="J84" s="21" t="str">
        <f t="shared" si="20"/>
        <v/>
      </c>
      <c r="K84" s="21" t="str">
        <f t="shared" si="24"/>
        <v/>
      </c>
      <c r="L84" s="21" t="str">
        <f t="shared" si="22"/>
        <v/>
      </c>
      <c r="R84" s="21" t="str">
        <f>IFERROR(INDEX(PACK!$C:$C,MATCH($P84,PACK!$A:$A,0)),"")</f>
        <v/>
      </c>
      <c r="S84" s="21" t="str">
        <f t="shared" si="25"/>
        <v/>
      </c>
    </row>
    <row r="85" spans="6:19" x14ac:dyDescent="0.25">
      <c r="F85" s="21" t="str">
        <f>IFERROR(INDEX(PACK!$C:$C,MATCH($A85,PACK!$A:$A,0)),"")</f>
        <v/>
      </c>
      <c r="G85" s="21" t="str">
        <f>IFERROR(INDEX(PACK!$D:$D,MATCH($A85,PACK!$A:$A,0)),"")</f>
        <v/>
      </c>
      <c r="H85" s="21" t="str">
        <f>IFERROR(INDEX(PACK!$E:$E,MATCH($A85,PACK!$A:$A,0)),"")</f>
        <v/>
      </c>
      <c r="I85" s="21" t="str">
        <f t="shared" si="23"/>
        <v/>
      </c>
      <c r="J85" s="21" t="str">
        <f t="shared" si="20"/>
        <v/>
      </c>
      <c r="K85" s="21" t="str">
        <f t="shared" si="24"/>
        <v/>
      </c>
      <c r="L85" s="21" t="str">
        <f t="shared" si="22"/>
        <v/>
      </c>
      <c r="R85" s="21" t="str">
        <f>IFERROR(INDEX(PACK!$C:$C,MATCH($P85,PACK!$A:$A,0)),"")</f>
        <v/>
      </c>
      <c r="S85" s="21" t="str">
        <f t="shared" si="25"/>
        <v/>
      </c>
    </row>
    <row r="86" spans="6:19" x14ac:dyDescent="0.25">
      <c r="F86" s="21" t="str">
        <f>IFERROR(INDEX(PACK!$C:$C,MATCH($A86,PACK!$A:$A,0)),"")</f>
        <v/>
      </c>
      <c r="G86" s="21" t="str">
        <f>IFERROR(INDEX(PACK!$D:$D,MATCH($A86,PACK!$A:$A,0)),"")</f>
        <v/>
      </c>
      <c r="H86" s="21" t="str">
        <f>IFERROR(INDEX(PACK!$E:$E,MATCH($A86,PACK!$A:$A,0)),"")</f>
        <v/>
      </c>
      <c r="I86" s="21" t="str">
        <f t="shared" si="23"/>
        <v/>
      </c>
      <c r="J86" s="21" t="str">
        <f t="shared" si="20"/>
        <v/>
      </c>
      <c r="K86" s="21" t="str">
        <f t="shared" si="24"/>
        <v/>
      </c>
      <c r="L86" s="21" t="str">
        <f t="shared" si="22"/>
        <v/>
      </c>
      <c r="R86" s="21" t="str">
        <f>IFERROR(INDEX(PACK!$C:$C,MATCH($P86,PACK!$A:$A,0)),"")</f>
        <v/>
      </c>
      <c r="S86" s="21" t="str">
        <f t="shared" si="25"/>
        <v/>
      </c>
    </row>
    <row r="87" spans="6:19" x14ac:dyDescent="0.25">
      <c r="F87" s="21" t="str">
        <f>IFERROR(INDEX(PACK!$C:$C,MATCH($A87,PACK!$A:$A,0)),"")</f>
        <v/>
      </c>
      <c r="G87" s="21" t="str">
        <f>IFERROR(INDEX(PACK!$D:$D,MATCH($A87,PACK!$A:$A,0)),"")</f>
        <v/>
      </c>
      <c r="H87" s="21" t="str">
        <f>IFERROR(INDEX(PACK!$E:$E,MATCH($A87,PACK!$A:$A,0)),"")</f>
        <v/>
      </c>
      <c r="I87" s="21" t="str">
        <f t="shared" si="23"/>
        <v/>
      </c>
      <c r="J87" s="21" t="str">
        <f t="shared" ref="J87:J150" si="26">IFERROR(ROUNDDOWN(C87/G87,0),"")</f>
        <v/>
      </c>
      <c r="K87" s="21" t="str">
        <f t="shared" si="24"/>
        <v/>
      </c>
      <c r="L87" s="21" t="str">
        <f t="shared" ref="L87:L150" si="27">IFERROR(K87*F87,"")</f>
        <v/>
      </c>
      <c r="R87" s="21" t="str">
        <f>IFERROR(INDEX(PACK!$C:$C,MATCH($P87,PACK!$A:$A,0)),"")</f>
        <v/>
      </c>
      <c r="S87" s="21" t="str">
        <f t="shared" si="25"/>
        <v/>
      </c>
    </row>
    <row r="88" spans="6:19" x14ac:dyDescent="0.25">
      <c r="F88" s="21" t="str">
        <f>IFERROR(INDEX(PACK!$C:$C,MATCH($A88,PACK!$A:$A,0)),"")</f>
        <v/>
      </c>
      <c r="G88" s="21" t="str">
        <f>IFERROR(INDEX(PACK!$D:$D,MATCH($A88,PACK!$A:$A,0)),"")</f>
        <v/>
      </c>
      <c r="H88" s="21" t="str">
        <f>IFERROR(INDEX(PACK!$E:$E,MATCH($A88,PACK!$A:$A,0)),"")</f>
        <v/>
      </c>
      <c r="I88" s="21" t="str">
        <f t="shared" si="23"/>
        <v/>
      </c>
      <c r="J88" s="21" t="str">
        <f t="shared" si="26"/>
        <v/>
      </c>
      <c r="K88" s="21" t="str">
        <f t="shared" si="24"/>
        <v/>
      </c>
      <c r="L88" s="21" t="str">
        <f t="shared" si="27"/>
        <v/>
      </c>
      <c r="R88" s="21" t="str">
        <f>IFERROR(INDEX(PACK!$C:$C,MATCH($P88,PACK!$A:$A,0)),"")</f>
        <v/>
      </c>
      <c r="S88" s="21" t="str">
        <f t="shared" si="25"/>
        <v/>
      </c>
    </row>
    <row r="89" spans="6:19" x14ac:dyDescent="0.25">
      <c r="F89" s="21" t="str">
        <f>IFERROR(INDEX(PACK!$C:$C,MATCH($A89,PACK!$A:$A,0)),"")</f>
        <v/>
      </c>
      <c r="G89" s="21" t="str">
        <f>IFERROR(INDEX(PACK!$D:$D,MATCH($A89,PACK!$A:$A,0)),"")</f>
        <v/>
      </c>
      <c r="H89" s="21" t="str">
        <f>IFERROR(INDEX(PACK!$E:$E,MATCH($A89,PACK!$A:$A,0)),"")</f>
        <v/>
      </c>
      <c r="I89" s="21" t="str">
        <f t="shared" si="23"/>
        <v/>
      </c>
      <c r="J89" s="21" t="str">
        <f t="shared" si="26"/>
        <v/>
      </c>
      <c r="K89" s="21" t="str">
        <f t="shared" si="24"/>
        <v/>
      </c>
      <c r="L89" s="21" t="str">
        <f t="shared" si="27"/>
        <v/>
      </c>
      <c r="R89" s="21" t="str">
        <f>IFERROR(INDEX(PACK!$C:$C,MATCH($P89,PACK!$A:$A,0)),"")</f>
        <v/>
      </c>
      <c r="S89" s="21" t="str">
        <f t="shared" si="25"/>
        <v/>
      </c>
    </row>
    <row r="90" spans="6:19" x14ac:dyDescent="0.25">
      <c r="F90" s="21" t="str">
        <f>IFERROR(INDEX(PACK!$C:$C,MATCH($A90,PACK!$A:$A,0)),"")</f>
        <v/>
      </c>
      <c r="G90" s="21" t="str">
        <f>IFERROR(INDEX(PACK!$D:$D,MATCH($A90,PACK!$A:$A,0)),"")</f>
        <v/>
      </c>
      <c r="H90" s="21" t="str">
        <f>IFERROR(INDEX(PACK!$E:$E,MATCH($A90,PACK!$A:$A,0)),"")</f>
        <v/>
      </c>
      <c r="I90" s="21" t="str">
        <f t="shared" si="23"/>
        <v/>
      </c>
      <c r="J90" s="21" t="str">
        <f t="shared" si="26"/>
        <v/>
      </c>
      <c r="K90" s="21" t="str">
        <f t="shared" si="24"/>
        <v/>
      </c>
      <c r="L90" s="21" t="str">
        <f t="shared" si="27"/>
        <v/>
      </c>
      <c r="R90" s="21" t="str">
        <f>IFERROR(INDEX(PACK!$C:$C,MATCH($P90,PACK!$A:$A,0)),"")</f>
        <v/>
      </c>
      <c r="S90" s="21" t="str">
        <f t="shared" si="25"/>
        <v/>
      </c>
    </row>
    <row r="91" spans="6:19" x14ac:dyDescent="0.25">
      <c r="F91" s="21" t="str">
        <f>IFERROR(INDEX(PACK!$C:$C,MATCH($A91,PACK!$A:$A,0)),"")</f>
        <v/>
      </c>
      <c r="G91" s="21" t="str">
        <f>IFERROR(INDEX(PACK!$D:$D,MATCH($A91,PACK!$A:$A,0)),"")</f>
        <v/>
      </c>
      <c r="H91" s="21" t="str">
        <f>IFERROR(INDEX(PACK!$E:$E,MATCH($A91,PACK!$A:$A,0)),"")</f>
        <v/>
      </c>
      <c r="I91" s="21" t="str">
        <f t="shared" si="23"/>
        <v/>
      </c>
      <c r="J91" s="21" t="str">
        <f t="shared" si="26"/>
        <v/>
      </c>
      <c r="K91" s="21" t="str">
        <f t="shared" si="24"/>
        <v/>
      </c>
      <c r="L91" s="21" t="str">
        <f t="shared" si="27"/>
        <v/>
      </c>
      <c r="R91" s="21" t="str">
        <f>IFERROR(INDEX(PACK!$C:$C,MATCH($P91,PACK!$A:$A,0)),"")</f>
        <v/>
      </c>
      <c r="S91" s="21" t="str">
        <f t="shared" si="25"/>
        <v/>
      </c>
    </row>
    <row r="92" spans="6:19" x14ac:dyDescent="0.25">
      <c r="F92" s="21" t="str">
        <f>IFERROR(INDEX(PACK!$C:$C,MATCH($A92,PACK!$A:$A,0)),"")</f>
        <v/>
      </c>
      <c r="G92" s="21" t="str">
        <f>IFERROR(INDEX(PACK!$D:$D,MATCH($A92,PACK!$A:$A,0)),"")</f>
        <v/>
      </c>
      <c r="H92" s="21" t="str">
        <f>IFERROR(INDEX(PACK!$E:$E,MATCH($A92,PACK!$A:$A,0)),"")</f>
        <v/>
      </c>
      <c r="I92" s="21" t="str">
        <f t="shared" si="23"/>
        <v/>
      </c>
      <c r="J92" s="21" t="str">
        <f t="shared" si="26"/>
        <v/>
      </c>
      <c r="K92" s="21" t="str">
        <f t="shared" si="24"/>
        <v/>
      </c>
      <c r="L92" s="21" t="str">
        <f t="shared" si="27"/>
        <v/>
      </c>
      <c r="R92" s="21" t="str">
        <f>IFERROR(INDEX(PACK!$C:$C,MATCH($P92,PACK!$A:$A,0)),"")</f>
        <v/>
      </c>
      <c r="S92" s="21" t="str">
        <f t="shared" si="25"/>
        <v/>
      </c>
    </row>
    <row r="93" spans="6:19" x14ac:dyDescent="0.25">
      <c r="F93" s="21" t="str">
        <f>IFERROR(INDEX(PACK!$C:$C,MATCH($A93,PACK!$A:$A,0)),"")</f>
        <v/>
      </c>
      <c r="G93" s="21" t="str">
        <f>IFERROR(INDEX(PACK!$D:$D,MATCH($A93,PACK!$A:$A,0)),"")</f>
        <v/>
      </c>
      <c r="H93" s="21" t="str">
        <f>IFERROR(INDEX(PACK!$E:$E,MATCH($A93,PACK!$A:$A,0)),"")</f>
        <v/>
      </c>
      <c r="I93" s="21" t="str">
        <f t="shared" si="23"/>
        <v/>
      </c>
      <c r="J93" s="21" t="str">
        <f t="shared" si="26"/>
        <v/>
      </c>
      <c r="K93" s="21" t="str">
        <f t="shared" si="24"/>
        <v/>
      </c>
      <c r="L93" s="21" t="str">
        <f t="shared" si="27"/>
        <v/>
      </c>
      <c r="R93" s="21" t="str">
        <f>IFERROR(INDEX(PACK!$C:$C,MATCH($P93,PACK!$A:$A,0)),"")</f>
        <v/>
      </c>
      <c r="S93" s="21" t="str">
        <f t="shared" si="25"/>
        <v/>
      </c>
    </row>
    <row r="94" spans="6:19" x14ac:dyDescent="0.25">
      <c r="F94" s="21" t="str">
        <f>IFERROR(INDEX(PACK!$C:$C,MATCH($A94,PACK!$A:$A,0)),"")</f>
        <v/>
      </c>
      <c r="G94" s="21" t="str">
        <f>IFERROR(INDEX(PACK!$D:$D,MATCH($A94,PACK!$A:$A,0)),"")</f>
        <v/>
      </c>
      <c r="H94" s="21" t="str">
        <f>IFERROR(INDEX(PACK!$E:$E,MATCH($A94,PACK!$A:$A,0)),"")</f>
        <v/>
      </c>
      <c r="I94" s="21" t="str">
        <f t="shared" si="23"/>
        <v/>
      </c>
      <c r="J94" s="21" t="str">
        <f t="shared" si="26"/>
        <v/>
      </c>
      <c r="K94" s="21" t="str">
        <f t="shared" si="24"/>
        <v/>
      </c>
      <c r="L94" s="21" t="str">
        <f t="shared" si="27"/>
        <v/>
      </c>
      <c r="R94" s="21" t="str">
        <f>IFERROR(INDEX(PACK!$C:$C,MATCH($P94,PACK!$A:$A,0)),"")</f>
        <v/>
      </c>
      <c r="S94" s="21" t="str">
        <f t="shared" si="25"/>
        <v/>
      </c>
    </row>
    <row r="95" spans="6:19" x14ac:dyDescent="0.25">
      <c r="F95" s="21" t="str">
        <f>IFERROR(INDEX(PACK!$C:$C,MATCH($A95,PACK!$A:$A,0)),"")</f>
        <v/>
      </c>
      <c r="G95" s="21" t="str">
        <f>IFERROR(INDEX(PACK!$D:$D,MATCH($A95,PACK!$A:$A,0)),"")</f>
        <v/>
      </c>
      <c r="H95" s="21" t="str">
        <f>IFERROR(INDEX(PACK!$E:$E,MATCH($A95,PACK!$A:$A,0)),"")</f>
        <v/>
      </c>
      <c r="I95" s="21" t="str">
        <f t="shared" si="23"/>
        <v/>
      </c>
      <c r="J95" s="21" t="str">
        <f t="shared" si="26"/>
        <v/>
      </c>
      <c r="K95" s="21" t="str">
        <f t="shared" si="24"/>
        <v/>
      </c>
      <c r="L95" s="21" t="str">
        <f t="shared" si="27"/>
        <v/>
      </c>
      <c r="R95" s="21" t="str">
        <f>IFERROR(INDEX(PACK!$C:$C,MATCH($P95,PACK!$A:$A,0)),"")</f>
        <v/>
      </c>
      <c r="S95" s="21" t="str">
        <f t="shared" si="25"/>
        <v/>
      </c>
    </row>
    <row r="96" spans="6:19" x14ac:dyDescent="0.25">
      <c r="F96" s="21" t="str">
        <f>IFERROR(INDEX(PACK!$C:$C,MATCH($A96,PACK!$A:$A,0)),"")</f>
        <v/>
      </c>
      <c r="G96" s="21" t="str">
        <f>IFERROR(INDEX(PACK!$D:$D,MATCH($A96,PACK!$A:$A,0)),"")</f>
        <v/>
      </c>
      <c r="H96" s="21" t="str">
        <f>IFERROR(INDEX(PACK!$E:$E,MATCH($A96,PACK!$A:$A,0)),"")</f>
        <v/>
      </c>
      <c r="I96" s="21" t="str">
        <f t="shared" si="23"/>
        <v/>
      </c>
      <c r="J96" s="21" t="str">
        <f t="shared" si="26"/>
        <v/>
      </c>
      <c r="K96" s="21" t="str">
        <f t="shared" si="24"/>
        <v/>
      </c>
      <c r="L96" s="21" t="str">
        <f t="shared" si="27"/>
        <v/>
      </c>
      <c r="R96" s="21" t="str">
        <f>IFERROR(INDEX(PACK!$C:$C,MATCH($P96,PACK!$A:$A,0)),"")</f>
        <v/>
      </c>
      <c r="S96" s="21" t="str">
        <f t="shared" si="25"/>
        <v/>
      </c>
    </row>
    <row r="97" spans="6:19" x14ac:dyDescent="0.25">
      <c r="F97" s="21" t="str">
        <f>IFERROR(INDEX(PACK!$C:$C,MATCH($A97,PACK!$A:$A,0)),"")</f>
        <v/>
      </c>
      <c r="G97" s="21" t="str">
        <f>IFERROR(INDEX(PACK!$D:$D,MATCH($A97,PACK!$A:$A,0)),"")</f>
        <v/>
      </c>
      <c r="H97" s="21" t="str">
        <f>IFERROR(INDEX(PACK!$E:$E,MATCH($A97,PACK!$A:$A,0)),"")</f>
        <v/>
      </c>
      <c r="I97" s="21" t="str">
        <f t="shared" si="23"/>
        <v/>
      </c>
      <c r="J97" s="21" t="str">
        <f t="shared" si="26"/>
        <v/>
      </c>
      <c r="K97" s="21" t="str">
        <f t="shared" si="24"/>
        <v/>
      </c>
      <c r="L97" s="21" t="str">
        <f t="shared" si="27"/>
        <v/>
      </c>
      <c r="R97" s="21" t="str">
        <f>IFERROR(INDEX(PACK!$C:$C,MATCH($P97,PACK!$A:$A,0)),"")</f>
        <v/>
      </c>
      <c r="S97" s="21" t="str">
        <f t="shared" si="25"/>
        <v/>
      </c>
    </row>
    <row r="98" spans="6:19" x14ac:dyDescent="0.25">
      <c r="F98" s="21" t="str">
        <f>IFERROR(INDEX(PACK!$C:$C,MATCH($A98,PACK!$A:$A,0)),"")</f>
        <v/>
      </c>
      <c r="G98" s="21" t="str">
        <f>IFERROR(INDEX(PACK!$D:$D,MATCH($A98,PACK!$A:$A,0)),"")</f>
        <v/>
      </c>
      <c r="H98" s="21" t="str">
        <f>IFERROR(INDEX(PACK!$E:$E,MATCH($A98,PACK!$A:$A,0)),"")</f>
        <v/>
      </c>
      <c r="I98" s="21" t="str">
        <f t="shared" si="23"/>
        <v/>
      </c>
      <c r="J98" s="21" t="str">
        <f t="shared" si="26"/>
        <v/>
      </c>
      <c r="K98" s="21" t="str">
        <f t="shared" si="24"/>
        <v/>
      </c>
      <c r="L98" s="21" t="str">
        <f t="shared" si="27"/>
        <v/>
      </c>
      <c r="R98" s="21" t="str">
        <f>IFERROR(INDEX(PACK!$C:$C,MATCH($P98,PACK!$A:$A,0)),"")</f>
        <v/>
      </c>
      <c r="S98" s="21" t="str">
        <f t="shared" si="25"/>
        <v/>
      </c>
    </row>
    <row r="99" spans="6:19" x14ac:dyDescent="0.25">
      <c r="F99" s="21" t="str">
        <f>IFERROR(INDEX(PACK!$C:$C,MATCH($A99,PACK!$A:$A,0)),"")</f>
        <v/>
      </c>
      <c r="G99" s="21" t="str">
        <f>IFERROR(INDEX(PACK!$D:$D,MATCH($A99,PACK!$A:$A,0)),"")</f>
        <v/>
      </c>
      <c r="H99" s="21" t="str">
        <f>IFERROR(INDEX(PACK!$E:$E,MATCH($A99,PACK!$A:$A,0)),"")</f>
        <v/>
      </c>
      <c r="I99" s="21" t="str">
        <f t="shared" si="23"/>
        <v/>
      </c>
      <c r="J99" s="21" t="str">
        <f t="shared" si="26"/>
        <v/>
      </c>
      <c r="K99" s="21" t="str">
        <f t="shared" si="24"/>
        <v/>
      </c>
      <c r="L99" s="21" t="str">
        <f t="shared" si="27"/>
        <v/>
      </c>
      <c r="R99" s="21" t="str">
        <f>IFERROR(INDEX(PACK!$C:$C,MATCH($P99,PACK!$A:$A,0)),"")</f>
        <v/>
      </c>
      <c r="S99" s="21" t="str">
        <f t="shared" si="25"/>
        <v/>
      </c>
    </row>
    <row r="100" spans="6:19" x14ac:dyDescent="0.25">
      <c r="F100" s="21" t="str">
        <f>IFERROR(INDEX(PACK!$C:$C,MATCH($A100,PACK!$A:$A,0)),"")</f>
        <v/>
      </c>
      <c r="G100" s="21" t="str">
        <f>IFERROR(INDEX(PACK!$D:$D,MATCH($A100,PACK!$A:$A,0)),"")</f>
        <v/>
      </c>
      <c r="H100" s="21" t="str">
        <f>IFERROR(INDEX(PACK!$E:$E,MATCH($A100,PACK!$A:$A,0)),"")</f>
        <v/>
      </c>
      <c r="I100" s="21" t="str">
        <f t="shared" si="23"/>
        <v/>
      </c>
      <c r="J100" s="21" t="str">
        <f t="shared" si="26"/>
        <v/>
      </c>
      <c r="K100" s="21" t="str">
        <f t="shared" si="24"/>
        <v/>
      </c>
      <c r="L100" s="21" t="str">
        <f t="shared" si="27"/>
        <v/>
      </c>
      <c r="R100" s="21" t="str">
        <f>IFERROR(INDEX(PACK!$C:$C,MATCH($P100,PACK!$A:$A,0)),"")</f>
        <v/>
      </c>
      <c r="S100" s="21" t="str">
        <f t="shared" si="25"/>
        <v/>
      </c>
    </row>
    <row r="101" spans="6:19" x14ac:dyDescent="0.25">
      <c r="F101" s="21" t="str">
        <f>IFERROR(INDEX(PACK!$C:$C,MATCH($A101,PACK!$A:$A,0)),"")</f>
        <v/>
      </c>
      <c r="G101" s="21" t="str">
        <f>IFERROR(INDEX(PACK!$D:$D,MATCH($A101,PACK!$A:$A,0)),"")</f>
        <v/>
      </c>
      <c r="H101" s="21" t="str">
        <f>IFERROR(INDEX(PACK!$E:$E,MATCH($A101,PACK!$A:$A,0)),"")</f>
        <v/>
      </c>
      <c r="I101" s="21" t="str">
        <f t="shared" si="23"/>
        <v/>
      </c>
      <c r="J101" s="21" t="str">
        <f t="shared" si="26"/>
        <v/>
      </c>
      <c r="K101" s="21" t="str">
        <f t="shared" si="24"/>
        <v/>
      </c>
      <c r="L101" s="21" t="str">
        <f t="shared" si="27"/>
        <v/>
      </c>
      <c r="R101" s="21" t="str">
        <f>IFERROR(INDEX(PACK!$C:$C,MATCH($P101,PACK!$A:$A,0)),"")</f>
        <v/>
      </c>
      <c r="S101" s="21" t="str">
        <f t="shared" si="25"/>
        <v/>
      </c>
    </row>
    <row r="102" spans="6:19" x14ac:dyDescent="0.25">
      <c r="F102" s="21" t="str">
        <f>IFERROR(INDEX(PACK!$C:$C,MATCH($A102,PACK!$A:$A,0)),"")</f>
        <v/>
      </c>
      <c r="G102" s="21" t="str">
        <f>IFERROR(INDEX(PACK!$D:$D,MATCH($A102,PACK!$A:$A,0)),"")</f>
        <v/>
      </c>
      <c r="H102" s="21" t="str">
        <f>IFERROR(INDEX(PACK!$E:$E,MATCH($A102,PACK!$A:$A,0)),"")</f>
        <v/>
      </c>
      <c r="I102" s="21" t="str">
        <f t="shared" si="23"/>
        <v/>
      </c>
      <c r="J102" s="21" t="str">
        <f t="shared" si="26"/>
        <v/>
      </c>
      <c r="K102" s="21" t="str">
        <f t="shared" si="24"/>
        <v/>
      </c>
      <c r="L102" s="21" t="str">
        <f t="shared" si="27"/>
        <v/>
      </c>
      <c r="R102" s="21" t="str">
        <f>IFERROR(INDEX(PACK!$C:$C,MATCH($P102,PACK!$A:$A,0)),"")</f>
        <v/>
      </c>
      <c r="S102" s="21" t="str">
        <f t="shared" si="25"/>
        <v/>
      </c>
    </row>
    <row r="103" spans="6:19" x14ac:dyDescent="0.25">
      <c r="F103" s="21" t="str">
        <f>IFERROR(INDEX(PACK!$C:$C,MATCH($A103,PACK!$A:$A,0)),"")</f>
        <v/>
      </c>
      <c r="G103" s="21" t="str">
        <f>IFERROR(INDEX(PACK!$D:$D,MATCH($A103,PACK!$A:$A,0)),"")</f>
        <v/>
      </c>
      <c r="H103" s="21" t="str">
        <f>IFERROR(INDEX(PACK!$E:$E,MATCH($A103,PACK!$A:$A,0)),"")</f>
        <v/>
      </c>
      <c r="I103" s="21" t="str">
        <f t="shared" si="23"/>
        <v/>
      </c>
      <c r="J103" s="21" t="str">
        <f t="shared" si="26"/>
        <v/>
      </c>
      <c r="K103" s="21" t="str">
        <f t="shared" si="24"/>
        <v/>
      </c>
      <c r="L103" s="21" t="str">
        <f t="shared" si="27"/>
        <v/>
      </c>
      <c r="R103" s="21" t="str">
        <f>IFERROR(INDEX(PACK!$C:$C,MATCH($P103,PACK!$A:$A,0)),"")</f>
        <v/>
      </c>
      <c r="S103" s="21" t="str">
        <f t="shared" si="25"/>
        <v/>
      </c>
    </row>
    <row r="104" spans="6:19" x14ac:dyDescent="0.25">
      <c r="F104" s="21" t="str">
        <f>IFERROR(INDEX(PACK!$C:$C,MATCH($A104,PACK!$A:$A,0)),"")</f>
        <v/>
      </c>
      <c r="G104" s="21" t="str">
        <f>IFERROR(INDEX(PACK!$D:$D,MATCH($A104,PACK!$A:$A,0)),"")</f>
        <v/>
      </c>
      <c r="H104" s="21" t="str">
        <f>IFERROR(INDEX(PACK!$E:$E,MATCH($A104,PACK!$A:$A,0)),"")</f>
        <v/>
      </c>
      <c r="I104" s="21" t="str">
        <f t="shared" si="23"/>
        <v/>
      </c>
      <c r="J104" s="21" t="str">
        <f t="shared" si="26"/>
        <v/>
      </c>
      <c r="K104" s="21" t="str">
        <f t="shared" si="24"/>
        <v/>
      </c>
      <c r="L104" s="21" t="str">
        <f t="shared" si="27"/>
        <v/>
      </c>
      <c r="R104" s="21" t="str">
        <f>IFERROR(INDEX(PACK!$C:$C,MATCH($P104,PACK!$A:$A,0)),"")</f>
        <v/>
      </c>
      <c r="S104" s="21" t="str">
        <f t="shared" si="25"/>
        <v/>
      </c>
    </row>
    <row r="105" spans="6:19" x14ac:dyDescent="0.25">
      <c r="F105" s="21" t="str">
        <f>IFERROR(INDEX(PACK!$C:$C,MATCH($A105,PACK!$A:$A,0)),"")</f>
        <v/>
      </c>
      <c r="G105" s="21" t="str">
        <f>IFERROR(INDEX(PACK!$D:$D,MATCH($A105,PACK!$A:$A,0)),"")</f>
        <v/>
      </c>
      <c r="H105" s="21" t="str">
        <f>IFERROR(INDEX(PACK!$E:$E,MATCH($A105,PACK!$A:$A,0)),"")</f>
        <v/>
      </c>
      <c r="I105" s="21" t="str">
        <f t="shared" si="23"/>
        <v/>
      </c>
      <c r="J105" s="21" t="str">
        <f t="shared" si="26"/>
        <v/>
      </c>
      <c r="K105" s="21" t="str">
        <f t="shared" si="24"/>
        <v/>
      </c>
      <c r="L105" s="21" t="str">
        <f t="shared" si="27"/>
        <v/>
      </c>
      <c r="R105" s="21" t="str">
        <f>IFERROR(INDEX(PACK!$C:$C,MATCH($P105,PACK!$A:$A,0)),"")</f>
        <v/>
      </c>
      <c r="S105" s="21" t="str">
        <f t="shared" si="25"/>
        <v/>
      </c>
    </row>
    <row r="106" spans="6:19" x14ac:dyDescent="0.25">
      <c r="F106" s="21" t="str">
        <f>IFERROR(INDEX(PACK!$C:$C,MATCH($A106,PACK!$A:$A,0)),"")</f>
        <v/>
      </c>
      <c r="G106" s="21" t="str">
        <f>IFERROR(INDEX(PACK!$D:$D,MATCH($A106,PACK!$A:$A,0)),"")</f>
        <v/>
      </c>
      <c r="H106" s="21" t="str">
        <f>IFERROR(INDEX(PACK!$E:$E,MATCH($A106,PACK!$A:$A,0)),"")</f>
        <v/>
      </c>
      <c r="I106" s="21" t="str">
        <f t="shared" si="23"/>
        <v/>
      </c>
      <c r="J106" s="21" t="str">
        <f t="shared" si="26"/>
        <v/>
      </c>
      <c r="K106" s="21" t="str">
        <f t="shared" si="24"/>
        <v/>
      </c>
      <c r="L106" s="21" t="str">
        <f t="shared" si="27"/>
        <v/>
      </c>
      <c r="R106" s="21" t="str">
        <f>IFERROR(INDEX(PACK!$C:$C,MATCH($P106,PACK!$A:$A,0)),"")</f>
        <v/>
      </c>
      <c r="S106" s="21" t="str">
        <f t="shared" si="25"/>
        <v/>
      </c>
    </row>
    <row r="107" spans="6:19" x14ac:dyDescent="0.25">
      <c r="F107" s="21" t="str">
        <f>IFERROR(INDEX(PACK!$C:$C,MATCH($A107,PACK!$A:$A,0)),"")</f>
        <v/>
      </c>
      <c r="G107" s="21" t="str">
        <f>IFERROR(INDEX(PACK!$D:$D,MATCH($A107,PACK!$A:$A,0)),"")</f>
        <v/>
      </c>
      <c r="H107" s="21" t="str">
        <f>IFERROR(INDEX(PACK!$E:$E,MATCH($A107,PACK!$A:$A,0)),"")</f>
        <v/>
      </c>
      <c r="I107" s="21" t="str">
        <f t="shared" si="23"/>
        <v/>
      </c>
      <c r="J107" s="21" t="str">
        <f t="shared" si="26"/>
        <v/>
      </c>
      <c r="K107" s="21" t="str">
        <f t="shared" si="24"/>
        <v/>
      </c>
      <c r="L107" s="21" t="str">
        <f t="shared" si="27"/>
        <v/>
      </c>
      <c r="R107" s="21" t="str">
        <f>IFERROR(INDEX(PACK!$C:$C,MATCH($P107,PACK!$A:$A,0)),"")</f>
        <v/>
      </c>
      <c r="S107" s="21" t="str">
        <f t="shared" si="25"/>
        <v/>
      </c>
    </row>
    <row r="108" spans="6:19" x14ac:dyDescent="0.25">
      <c r="F108" s="21" t="str">
        <f>IFERROR(INDEX(PACK!$C:$C,MATCH($A108,PACK!$A:$A,0)),"")</f>
        <v/>
      </c>
      <c r="G108" s="21" t="str">
        <f>IFERROR(INDEX(PACK!$D:$D,MATCH($A108,PACK!$A:$A,0)),"")</f>
        <v/>
      </c>
      <c r="H108" s="21" t="str">
        <f>IFERROR(INDEX(PACK!$E:$E,MATCH($A108,PACK!$A:$A,0)),"")</f>
        <v/>
      </c>
      <c r="I108" s="21" t="str">
        <f t="shared" si="23"/>
        <v/>
      </c>
      <c r="J108" s="21" t="str">
        <f t="shared" si="26"/>
        <v/>
      </c>
      <c r="K108" s="21" t="str">
        <f t="shared" si="24"/>
        <v/>
      </c>
      <c r="L108" s="21" t="str">
        <f t="shared" si="27"/>
        <v/>
      </c>
      <c r="R108" s="21" t="str">
        <f>IFERROR(INDEX(PACK!$C:$C,MATCH($P108,PACK!$A:$A,0)),"")</f>
        <v/>
      </c>
      <c r="S108" s="21" t="str">
        <f t="shared" si="25"/>
        <v/>
      </c>
    </row>
    <row r="109" spans="6:19" x14ac:dyDescent="0.25">
      <c r="F109" s="21" t="str">
        <f>IFERROR(INDEX(PACK!$C:$C,MATCH($A109,PACK!$A:$A,0)),"")</f>
        <v/>
      </c>
      <c r="G109" s="21" t="str">
        <f>IFERROR(INDEX(PACK!$D:$D,MATCH($A109,PACK!$A:$A,0)),"")</f>
        <v/>
      </c>
      <c r="H109" s="21" t="str">
        <f>IFERROR(INDEX(PACK!$E:$E,MATCH($A109,PACK!$A:$A,0)),"")</f>
        <v/>
      </c>
      <c r="I109" s="21" t="str">
        <f t="shared" si="23"/>
        <v/>
      </c>
      <c r="J109" s="21" t="str">
        <f t="shared" si="26"/>
        <v/>
      </c>
      <c r="K109" s="21" t="str">
        <f t="shared" si="24"/>
        <v/>
      </c>
      <c r="L109" s="21" t="str">
        <f t="shared" si="27"/>
        <v/>
      </c>
      <c r="R109" s="21" t="str">
        <f>IFERROR(INDEX(PACK!$C:$C,MATCH($P109,PACK!$A:$A,0)),"")</f>
        <v/>
      </c>
      <c r="S109" s="21" t="str">
        <f t="shared" si="25"/>
        <v/>
      </c>
    </row>
    <row r="110" spans="6:19" x14ac:dyDescent="0.25">
      <c r="F110" s="21" t="str">
        <f>IFERROR(INDEX(PACK!$C:$C,MATCH($A110,PACK!$A:$A,0)),"")</f>
        <v/>
      </c>
      <c r="G110" s="21" t="str">
        <f>IFERROR(INDEX(PACK!$D:$D,MATCH($A110,PACK!$A:$A,0)),"")</f>
        <v/>
      </c>
      <c r="H110" s="21" t="str">
        <f>IFERROR(INDEX(PACK!$E:$E,MATCH($A110,PACK!$A:$A,0)),"")</f>
        <v/>
      </c>
      <c r="I110" s="21" t="str">
        <f t="shared" si="23"/>
        <v/>
      </c>
      <c r="J110" s="21" t="str">
        <f t="shared" si="26"/>
        <v/>
      </c>
      <c r="K110" s="21" t="str">
        <f t="shared" si="24"/>
        <v/>
      </c>
      <c r="L110" s="21" t="str">
        <f t="shared" si="27"/>
        <v/>
      </c>
      <c r="R110" s="21" t="str">
        <f>IFERROR(INDEX(PACK!$C:$C,MATCH($P110,PACK!$A:$A,0)),"")</f>
        <v/>
      </c>
      <c r="S110" s="21" t="str">
        <f t="shared" si="25"/>
        <v/>
      </c>
    </row>
    <row r="111" spans="6:19" x14ac:dyDescent="0.25">
      <c r="F111" s="21" t="str">
        <f>IFERROR(INDEX(PACK!$C:$C,MATCH($A111,PACK!$A:$A,0)),"")</f>
        <v/>
      </c>
      <c r="G111" s="21" t="str">
        <f>IFERROR(INDEX(PACK!$D:$D,MATCH($A111,PACK!$A:$A,0)),"")</f>
        <v/>
      </c>
      <c r="H111" s="21" t="str">
        <f>IFERROR(INDEX(PACK!$E:$E,MATCH($A111,PACK!$A:$A,0)),"")</f>
        <v/>
      </c>
      <c r="I111" s="21" t="str">
        <f t="shared" si="23"/>
        <v/>
      </c>
      <c r="J111" s="21" t="str">
        <f t="shared" si="26"/>
        <v/>
      </c>
      <c r="K111" s="21" t="str">
        <f t="shared" si="24"/>
        <v/>
      </c>
      <c r="L111" s="21" t="str">
        <f t="shared" si="27"/>
        <v/>
      </c>
      <c r="R111" s="21" t="str">
        <f>IFERROR(INDEX(PACK!$C:$C,MATCH($P111,PACK!$A:$A,0)),"")</f>
        <v/>
      </c>
      <c r="S111" s="21" t="str">
        <f t="shared" si="25"/>
        <v/>
      </c>
    </row>
    <row r="112" spans="6:19" x14ac:dyDescent="0.25">
      <c r="F112" s="21" t="str">
        <f>IFERROR(INDEX(PACK!$C:$C,MATCH($A112,PACK!$A:$A,0)),"")</f>
        <v/>
      </c>
      <c r="G112" s="21" t="str">
        <f>IFERROR(INDEX(PACK!$D:$D,MATCH($A112,PACK!$A:$A,0)),"")</f>
        <v/>
      </c>
      <c r="H112" s="21" t="str">
        <f>IFERROR(INDEX(PACK!$E:$E,MATCH($A112,PACK!$A:$A,0)),"")</f>
        <v/>
      </c>
      <c r="I112" s="21" t="str">
        <f t="shared" si="23"/>
        <v/>
      </c>
      <c r="J112" s="21" t="str">
        <f t="shared" si="26"/>
        <v/>
      </c>
      <c r="K112" s="21" t="str">
        <f t="shared" si="24"/>
        <v/>
      </c>
      <c r="L112" s="21" t="str">
        <f t="shared" si="27"/>
        <v/>
      </c>
      <c r="R112" s="21" t="str">
        <f>IFERROR(INDEX(PACK!$C:$C,MATCH($P112,PACK!$A:$A,0)),"")</f>
        <v/>
      </c>
      <c r="S112" s="21" t="str">
        <f t="shared" si="25"/>
        <v/>
      </c>
    </row>
    <row r="113" spans="6:19" x14ac:dyDescent="0.25">
      <c r="F113" s="21" t="str">
        <f>IFERROR(INDEX(PACK!$C:$C,MATCH($A113,PACK!$A:$A,0)),"")</f>
        <v/>
      </c>
      <c r="G113" s="21" t="str">
        <f>IFERROR(INDEX(PACK!$D:$D,MATCH($A113,PACK!$A:$A,0)),"")</f>
        <v/>
      </c>
      <c r="H113" s="21" t="str">
        <f>IFERROR(INDEX(PACK!$E:$E,MATCH($A113,PACK!$A:$A,0)),"")</f>
        <v/>
      </c>
      <c r="I113" s="21" t="str">
        <f t="shared" si="23"/>
        <v/>
      </c>
      <c r="J113" s="21" t="str">
        <f t="shared" si="26"/>
        <v/>
      </c>
      <c r="K113" s="21" t="str">
        <f t="shared" si="24"/>
        <v/>
      </c>
      <c r="L113" s="21" t="str">
        <f t="shared" si="27"/>
        <v/>
      </c>
      <c r="R113" s="21" t="str">
        <f>IFERROR(INDEX(PACK!$C:$C,MATCH($P113,PACK!$A:$A,0)),"")</f>
        <v/>
      </c>
      <c r="S113" s="21" t="str">
        <f t="shared" si="25"/>
        <v/>
      </c>
    </row>
    <row r="114" spans="6:19" x14ac:dyDescent="0.25">
      <c r="F114" s="21" t="str">
        <f>IFERROR(INDEX(PACK!$C:$C,MATCH($A114,PACK!$A:$A,0)),"")</f>
        <v/>
      </c>
      <c r="G114" s="21" t="str">
        <f>IFERROR(INDEX(PACK!$D:$D,MATCH($A114,PACK!$A:$A,0)),"")</f>
        <v/>
      </c>
      <c r="H114" s="21" t="str">
        <f>IFERROR(INDEX(PACK!$E:$E,MATCH($A114,PACK!$A:$A,0)),"")</f>
        <v/>
      </c>
      <c r="I114" s="21" t="str">
        <f t="shared" si="23"/>
        <v/>
      </c>
      <c r="J114" s="21" t="str">
        <f t="shared" si="26"/>
        <v/>
      </c>
      <c r="K114" s="21" t="str">
        <f t="shared" si="24"/>
        <v/>
      </c>
      <c r="L114" s="21" t="str">
        <f t="shared" si="27"/>
        <v/>
      </c>
      <c r="R114" s="21" t="str">
        <f>IFERROR(INDEX(PACK!$C:$C,MATCH($P114,PACK!$A:$A,0)),"")</f>
        <v/>
      </c>
      <c r="S114" s="21" t="str">
        <f t="shared" si="25"/>
        <v/>
      </c>
    </row>
    <row r="115" spans="6:19" x14ac:dyDescent="0.25">
      <c r="F115" s="21" t="str">
        <f>IFERROR(INDEX(PACK!$C:$C,MATCH($A115,PACK!$A:$A,0)),"")</f>
        <v/>
      </c>
      <c r="G115" s="21" t="str">
        <f>IFERROR(INDEX(PACK!$D:$D,MATCH($A115,PACK!$A:$A,0)),"")</f>
        <v/>
      </c>
      <c r="H115" s="21" t="str">
        <f>IFERROR(INDEX(PACK!$E:$E,MATCH($A115,PACK!$A:$A,0)),"")</f>
        <v/>
      </c>
      <c r="I115" s="21" t="str">
        <f t="shared" si="23"/>
        <v/>
      </c>
      <c r="J115" s="21" t="str">
        <f t="shared" si="26"/>
        <v/>
      </c>
      <c r="K115" s="21" t="str">
        <f t="shared" si="24"/>
        <v/>
      </c>
      <c r="L115" s="21" t="str">
        <f t="shared" si="27"/>
        <v/>
      </c>
      <c r="R115" s="21" t="str">
        <f>IFERROR(INDEX(PACK!$C:$C,MATCH($P115,PACK!$A:$A,0)),"")</f>
        <v/>
      </c>
      <c r="S115" s="21" t="str">
        <f t="shared" si="25"/>
        <v/>
      </c>
    </row>
    <row r="116" spans="6:19" x14ac:dyDescent="0.25">
      <c r="F116" s="21" t="str">
        <f>IFERROR(INDEX(PACK!$C:$C,MATCH($A116,PACK!$A:$A,0)),"")</f>
        <v/>
      </c>
      <c r="G116" s="21" t="str">
        <f>IFERROR(INDEX(PACK!$D:$D,MATCH($A116,PACK!$A:$A,0)),"")</f>
        <v/>
      </c>
      <c r="H116" s="21" t="str">
        <f>IFERROR(INDEX(PACK!$E:$E,MATCH($A116,PACK!$A:$A,0)),"")</f>
        <v/>
      </c>
      <c r="I116" s="21" t="str">
        <f t="shared" si="23"/>
        <v/>
      </c>
      <c r="J116" s="21" t="str">
        <f t="shared" si="26"/>
        <v/>
      </c>
      <c r="K116" s="21" t="str">
        <f t="shared" si="24"/>
        <v/>
      </c>
      <c r="L116" s="21" t="str">
        <f t="shared" si="27"/>
        <v/>
      </c>
      <c r="R116" s="21" t="str">
        <f>IFERROR(INDEX(PACK!$C:$C,MATCH($P116,PACK!$A:$A,0)),"")</f>
        <v/>
      </c>
      <c r="S116" s="21" t="str">
        <f t="shared" si="25"/>
        <v/>
      </c>
    </row>
    <row r="117" spans="6:19" x14ac:dyDescent="0.25">
      <c r="F117" s="21" t="str">
        <f>IFERROR(INDEX(PACK!$C:$C,MATCH($A117,PACK!$A:$A,0)),"")</f>
        <v/>
      </c>
      <c r="G117" s="21" t="str">
        <f>IFERROR(INDEX(PACK!$D:$D,MATCH($A117,PACK!$A:$A,0)),"")</f>
        <v/>
      </c>
      <c r="H117" s="21" t="str">
        <f>IFERROR(INDEX(PACK!$E:$E,MATCH($A117,PACK!$A:$A,0)),"")</f>
        <v/>
      </c>
      <c r="I117" s="21" t="str">
        <f t="shared" si="23"/>
        <v/>
      </c>
      <c r="J117" s="21" t="str">
        <f t="shared" si="26"/>
        <v/>
      </c>
      <c r="K117" s="21" t="str">
        <f t="shared" si="24"/>
        <v/>
      </c>
      <c r="L117" s="21" t="str">
        <f t="shared" si="27"/>
        <v/>
      </c>
      <c r="R117" s="21" t="str">
        <f>IFERROR(INDEX(PACK!$C:$C,MATCH($P117,PACK!$A:$A,0)),"")</f>
        <v/>
      </c>
      <c r="S117" s="21" t="str">
        <f t="shared" si="25"/>
        <v/>
      </c>
    </row>
    <row r="118" spans="6:19" x14ac:dyDescent="0.25">
      <c r="F118" s="21" t="str">
        <f>IFERROR(INDEX(PACK!$C:$C,MATCH($A118,PACK!$A:$A,0)),"")</f>
        <v/>
      </c>
      <c r="G118" s="21" t="str">
        <f>IFERROR(INDEX(PACK!$D:$D,MATCH($A118,PACK!$A:$A,0)),"")</f>
        <v/>
      </c>
      <c r="H118" s="21" t="str">
        <f>IFERROR(INDEX(PACK!$E:$E,MATCH($A118,PACK!$A:$A,0)),"")</f>
        <v/>
      </c>
      <c r="I118" s="21" t="str">
        <f t="shared" si="23"/>
        <v/>
      </c>
      <c r="J118" s="21" t="str">
        <f t="shared" si="26"/>
        <v/>
      </c>
      <c r="K118" s="21" t="str">
        <f t="shared" si="24"/>
        <v/>
      </c>
      <c r="L118" s="21" t="str">
        <f t="shared" si="27"/>
        <v/>
      </c>
      <c r="R118" s="21" t="str">
        <f>IFERROR(INDEX(PACK!$C:$C,MATCH($P118,PACK!$A:$A,0)),"")</f>
        <v/>
      </c>
      <c r="S118" s="21" t="str">
        <f t="shared" si="25"/>
        <v/>
      </c>
    </row>
    <row r="119" spans="6:19" x14ac:dyDescent="0.25">
      <c r="F119" s="21" t="str">
        <f>IFERROR(INDEX(PACK!$C:$C,MATCH($A119,PACK!$A:$A,0)),"")</f>
        <v/>
      </c>
      <c r="G119" s="21" t="str">
        <f>IFERROR(INDEX(PACK!$D:$D,MATCH($A119,PACK!$A:$A,0)),"")</f>
        <v/>
      </c>
      <c r="H119" s="21" t="str">
        <f>IFERROR(INDEX(PACK!$E:$E,MATCH($A119,PACK!$A:$A,0)),"")</f>
        <v/>
      </c>
      <c r="I119" s="21" t="str">
        <f t="shared" si="23"/>
        <v/>
      </c>
      <c r="J119" s="21" t="str">
        <f t="shared" si="26"/>
        <v/>
      </c>
      <c r="K119" s="21" t="str">
        <f t="shared" si="24"/>
        <v/>
      </c>
      <c r="L119" s="21" t="str">
        <f t="shared" si="27"/>
        <v/>
      </c>
      <c r="R119" s="21" t="str">
        <f>IFERROR(INDEX(PACK!$C:$C,MATCH($P119,PACK!$A:$A,0)),"")</f>
        <v/>
      </c>
      <c r="S119" s="21" t="str">
        <f t="shared" si="25"/>
        <v/>
      </c>
    </row>
    <row r="120" spans="6:19" x14ac:dyDescent="0.25">
      <c r="F120" s="21" t="str">
        <f>IFERROR(INDEX(PACK!$C:$C,MATCH($A120,PACK!$A:$A,0)),"")</f>
        <v/>
      </c>
      <c r="G120" s="21" t="str">
        <f>IFERROR(INDEX(PACK!$D:$D,MATCH($A120,PACK!$A:$A,0)),"")</f>
        <v/>
      </c>
      <c r="H120" s="21" t="str">
        <f>IFERROR(INDEX(PACK!$E:$E,MATCH($A120,PACK!$A:$A,0)),"")</f>
        <v/>
      </c>
      <c r="I120" s="21" t="str">
        <f t="shared" si="23"/>
        <v/>
      </c>
      <c r="J120" s="21" t="str">
        <f t="shared" si="26"/>
        <v/>
      </c>
      <c r="K120" s="21" t="str">
        <f t="shared" si="24"/>
        <v/>
      </c>
      <c r="L120" s="21" t="str">
        <f t="shared" si="27"/>
        <v/>
      </c>
      <c r="R120" s="21" t="str">
        <f>IFERROR(INDEX(PACK!$C:$C,MATCH($P120,PACK!$A:$A,0)),"")</f>
        <v/>
      </c>
      <c r="S120" s="21" t="str">
        <f t="shared" si="25"/>
        <v/>
      </c>
    </row>
    <row r="121" spans="6:19" x14ac:dyDescent="0.25">
      <c r="F121" s="21" t="str">
        <f>IFERROR(INDEX(PACK!$C:$C,MATCH($A121,PACK!$A:$A,0)),"")</f>
        <v/>
      </c>
      <c r="G121" s="21" t="str">
        <f>IFERROR(INDEX(PACK!$D:$D,MATCH($A121,PACK!$A:$A,0)),"")</f>
        <v/>
      </c>
      <c r="H121" s="21" t="str">
        <f>IFERROR(INDEX(PACK!$E:$E,MATCH($A121,PACK!$A:$A,0)),"")</f>
        <v/>
      </c>
      <c r="I121" s="21" t="str">
        <f t="shared" si="23"/>
        <v/>
      </c>
      <c r="J121" s="21" t="str">
        <f t="shared" si="26"/>
        <v/>
      </c>
      <c r="K121" s="21" t="str">
        <f t="shared" si="24"/>
        <v/>
      </c>
      <c r="L121" s="21" t="str">
        <f t="shared" si="27"/>
        <v/>
      </c>
      <c r="R121" s="21" t="str">
        <f>IFERROR(INDEX(PACK!$C:$C,MATCH($P121,PACK!$A:$A,0)),"")</f>
        <v/>
      </c>
      <c r="S121" s="21" t="str">
        <f t="shared" si="25"/>
        <v/>
      </c>
    </row>
    <row r="122" spans="6:19" x14ac:dyDescent="0.25">
      <c r="F122" s="21" t="str">
        <f>IFERROR(INDEX(PACK!$C:$C,MATCH($A122,PACK!$A:$A,0)),"")</f>
        <v/>
      </c>
      <c r="G122" s="21" t="str">
        <f>IFERROR(INDEX(PACK!$D:$D,MATCH($A122,PACK!$A:$A,0)),"")</f>
        <v/>
      </c>
      <c r="H122" s="21" t="str">
        <f>IFERROR(INDEX(PACK!$E:$E,MATCH($A122,PACK!$A:$A,0)),"")</f>
        <v/>
      </c>
      <c r="I122" s="21" t="str">
        <f t="shared" si="23"/>
        <v/>
      </c>
      <c r="J122" s="21" t="str">
        <f t="shared" si="26"/>
        <v/>
      </c>
      <c r="K122" s="21" t="str">
        <f t="shared" si="24"/>
        <v/>
      </c>
      <c r="L122" s="21" t="str">
        <f t="shared" si="27"/>
        <v/>
      </c>
      <c r="R122" s="21" t="str">
        <f>IFERROR(INDEX(PACK!$C:$C,MATCH($P122,PACK!$A:$A,0)),"")</f>
        <v/>
      </c>
      <c r="S122" s="21" t="str">
        <f t="shared" si="25"/>
        <v/>
      </c>
    </row>
    <row r="123" spans="6:19" x14ac:dyDescent="0.25">
      <c r="F123" s="21" t="str">
        <f>IFERROR(INDEX(PACK!$C:$C,MATCH($A123,PACK!$A:$A,0)),"")</f>
        <v/>
      </c>
      <c r="G123" s="21" t="str">
        <f>IFERROR(INDEX(PACK!$D:$D,MATCH($A123,PACK!$A:$A,0)),"")</f>
        <v/>
      </c>
      <c r="H123" s="21" t="str">
        <f>IFERROR(INDEX(PACK!$E:$E,MATCH($A123,PACK!$A:$A,0)),"")</f>
        <v/>
      </c>
      <c r="I123" s="21" t="str">
        <f t="shared" si="23"/>
        <v/>
      </c>
      <c r="J123" s="21" t="str">
        <f t="shared" si="26"/>
        <v/>
      </c>
      <c r="K123" s="21" t="str">
        <f t="shared" si="24"/>
        <v/>
      </c>
      <c r="L123" s="21" t="str">
        <f t="shared" si="27"/>
        <v/>
      </c>
      <c r="R123" s="21" t="str">
        <f>IFERROR(INDEX(PACK!$C:$C,MATCH($P123,PACK!$A:$A,0)),"")</f>
        <v/>
      </c>
      <c r="S123" s="21" t="str">
        <f t="shared" si="25"/>
        <v/>
      </c>
    </row>
    <row r="124" spans="6:19" x14ac:dyDescent="0.25">
      <c r="F124" s="21" t="str">
        <f>IFERROR(INDEX(PACK!$C:$C,MATCH($A124,PACK!$A:$A,0)),"")</f>
        <v/>
      </c>
      <c r="G124" s="21" t="str">
        <f>IFERROR(INDEX(PACK!$D:$D,MATCH($A124,PACK!$A:$A,0)),"")</f>
        <v/>
      </c>
      <c r="H124" s="21" t="str">
        <f>IFERROR(INDEX(PACK!$E:$E,MATCH($A124,PACK!$A:$A,0)),"")</f>
        <v/>
      </c>
      <c r="I124" s="21" t="str">
        <f t="shared" si="23"/>
        <v/>
      </c>
      <c r="J124" s="21" t="str">
        <f t="shared" si="26"/>
        <v/>
      </c>
      <c r="K124" s="21" t="str">
        <f t="shared" si="24"/>
        <v/>
      </c>
      <c r="L124" s="21" t="str">
        <f t="shared" si="27"/>
        <v/>
      </c>
      <c r="R124" s="21" t="str">
        <f>IFERROR(INDEX(PACK!$C:$C,MATCH($P124,PACK!$A:$A,0)),"")</f>
        <v/>
      </c>
      <c r="S124" s="21" t="str">
        <f t="shared" si="25"/>
        <v/>
      </c>
    </row>
    <row r="125" spans="6:19" x14ac:dyDescent="0.25">
      <c r="F125" s="21" t="str">
        <f>IFERROR(INDEX(PACK!$C:$C,MATCH($A125,PACK!$A:$A,0)),"")</f>
        <v/>
      </c>
      <c r="G125" s="21" t="str">
        <f>IFERROR(INDEX(PACK!$D:$D,MATCH($A125,PACK!$A:$A,0)),"")</f>
        <v/>
      </c>
      <c r="H125" s="21" t="str">
        <f>IFERROR(INDEX(PACK!$E:$E,MATCH($A125,PACK!$A:$A,0)),"")</f>
        <v/>
      </c>
      <c r="I125" s="21" t="str">
        <f t="shared" si="23"/>
        <v/>
      </c>
      <c r="J125" s="21" t="str">
        <f t="shared" si="26"/>
        <v/>
      </c>
      <c r="K125" s="21" t="str">
        <f t="shared" si="24"/>
        <v/>
      </c>
      <c r="L125" s="21" t="str">
        <f t="shared" si="27"/>
        <v/>
      </c>
      <c r="R125" s="21" t="str">
        <f>IFERROR(INDEX(PACK!$C:$C,MATCH($P125,PACK!$A:$A,0)),"")</f>
        <v/>
      </c>
      <c r="S125" s="21" t="str">
        <f t="shared" si="25"/>
        <v/>
      </c>
    </row>
    <row r="126" spans="6:19" x14ac:dyDescent="0.25">
      <c r="F126" s="21" t="str">
        <f>IFERROR(INDEX(PACK!$C:$C,MATCH($A126,PACK!$A:$A,0)),"")</f>
        <v/>
      </c>
      <c r="G126" s="21" t="str">
        <f>IFERROR(INDEX(PACK!$D:$D,MATCH($A126,PACK!$A:$A,0)),"")</f>
        <v/>
      </c>
      <c r="H126" s="21" t="str">
        <f>IFERROR(INDEX(PACK!$E:$E,MATCH($A126,PACK!$A:$A,0)),"")</f>
        <v/>
      </c>
      <c r="I126" s="21" t="str">
        <f t="shared" si="23"/>
        <v/>
      </c>
      <c r="J126" s="21" t="str">
        <f t="shared" si="26"/>
        <v/>
      </c>
      <c r="K126" s="21" t="str">
        <f t="shared" si="24"/>
        <v/>
      </c>
      <c r="L126" s="21" t="str">
        <f t="shared" si="27"/>
        <v/>
      </c>
      <c r="R126" s="21" t="str">
        <f>IFERROR(INDEX(PACK!$C:$C,MATCH($P126,PACK!$A:$A,0)),"")</f>
        <v/>
      </c>
      <c r="S126" s="21" t="str">
        <f t="shared" si="25"/>
        <v/>
      </c>
    </row>
    <row r="127" spans="6:19" x14ac:dyDescent="0.25">
      <c r="F127" s="21" t="str">
        <f>IFERROR(INDEX(PACK!$C:$C,MATCH($A127,PACK!$A:$A,0)),"")</f>
        <v/>
      </c>
      <c r="G127" s="21" t="str">
        <f>IFERROR(INDEX(PACK!$D:$D,MATCH($A127,PACK!$A:$A,0)),"")</f>
        <v/>
      </c>
      <c r="H127" s="21" t="str">
        <f>IFERROR(INDEX(PACK!$E:$E,MATCH($A127,PACK!$A:$A,0)),"")</f>
        <v/>
      </c>
      <c r="I127" s="21" t="str">
        <f t="shared" si="23"/>
        <v/>
      </c>
      <c r="J127" s="21" t="str">
        <f t="shared" si="26"/>
        <v/>
      </c>
      <c r="K127" s="21" t="str">
        <f t="shared" si="24"/>
        <v/>
      </c>
      <c r="L127" s="21" t="str">
        <f t="shared" si="27"/>
        <v/>
      </c>
      <c r="R127" s="21" t="str">
        <f>IFERROR(INDEX(PACK!$C:$C,MATCH($P127,PACK!$A:$A,0)),"")</f>
        <v/>
      </c>
      <c r="S127" s="21" t="str">
        <f t="shared" si="25"/>
        <v/>
      </c>
    </row>
    <row r="128" spans="6:19" x14ac:dyDescent="0.25">
      <c r="F128" s="21" t="str">
        <f>IFERROR(INDEX(PACK!$C:$C,MATCH($A128,PACK!$A:$A,0)),"")</f>
        <v/>
      </c>
      <c r="G128" s="21" t="str">
        <f>IFERROR(INDEX(PACK!$D:$D,MATCH($A128,PACK!$A:$A,0)),"")</f>
        <v/>
      </c>
      <c r="H128" s="21" t="str">
        <f>IFERROR(INDEX(PACK!$E:$E,MATCH($A128,PACK!$A:$A,0)),"")</f>
        <v/>
      </c>
      <c r="I128" s="21" t="str">
        <f t="shared" si="23"/>
        <v/>
      </c>
      <c r="J128" s="21" t="str">
        <f t="shared" si="26"/>
        <v/>
      </c>
      <c r="K128" s="21" t="str">
        <f t="shared" si="24"/>
        <v/>
      </c>
      <c r="L128" s="21" t="str">
        <f t="shared" si="27"/>
        <v/>
      </c>
      <c r="R128" s="21" t="str">
        <f>IFERROR(INDEX(PACK!$C:$C,MATCH($P128,PACK!$A:$A,0)),"")</f>
        <v/>
      </c>
      <c r="S128" s="21" t="str">
        <f t="shared" si="25"/>
        <v/>
      </c>
    </row>
    <row r="129" spans="6:19" x14ac:dyDescent="0.25">
      <c r="F129" s="21" t="str">
        <f>IFERROR(INDEX(PACK!$C:$C,MATCH($A129,PACK!$A:$A,0)),"")</f>
        <v/>
      </c>
      <c r="G129" s="21" t="str">
        <f>IFERROR(INDEX(PACK!$D:$D,MATCH($A129,PACK!$A:$A,0)),"")</f>
        <v/>
      </c>
      <c r="H129" s="21" t="str">
        <f>IFERROR(INDEX(PACK!$E:$E,MATCH($A129,PACK!$A:$A,0)),"")</f>
        <v/>
      </c>
      <c r="I129" s="21" t="str">
        <f t="shared" si="23"/>
        <v/>
      </c>
      <c r="J129" s="21" t="str">
        <f t="shared" si="26"/>
        <v/>
      </c>
      <c r="K129" s="21" t="str">
        <f t="shared" si="24"/>
        <v/>
      </c>
      <c r="L129" s="21" t="str">
        <f t="shared" si="27"/>
        <v/>
      </c>
      <c r="R129" s="21" t="str">
        <f>IFERROR(INDEX(PACK!$C:$C,MATCH($P129,PACK!$A:$A,0)),"")</f>
        <v/>
      </c>
      <c r="S129" s="21" t="str">
        <f t="shared" si="25"/>
        <v/>
      </c>
    </row>
    <row r="130" spans="6:19" x14ac:dyDescent="0.25">
      <c r="F130" s="21" t="str">
        <f>IFERROR(INDEX(PACK!$C:$C,MATCH($A130,PACK!$A:$A,0)),"")</f>
        <v/>
      </c>
      <c r="G130" s="21" t="str">
        <f>IFERROR(INDEX(PACK!$D:$D,MATCH($A130,PACK!$A:$A,0)),"")</f>
        <v/>
      </c>
      <c r="H130" s="21" t="str">
        <f>IFERROR(INDEX(PACK!$E:$E,MATCH($A130,PACK!$A:$A,0)),"")</f>
        <v/>
      </c>
      <c r="I130" s="21" t="str">
        <f t="shared" si="23"/>
        <v/>
      </c>
      <c r="J130" s="21" t="str">
        <f t="shared" si="26"/>
        <v/>
      </c>
      <c r="K130" s="21" t="str">
        <f t="shared" si="24"/>
        <v/>
      </c>
      <c r="L130" s="21" t="str">
        <f t="shared" si="27"/>
        <v/>
      </c>
      <c r="R130" s="21" t="str">
        <f>IFERROR(INDEX(PACK!$C:$C,MATCH($P130,PACK!$A:$A,0)),"")</f>
        <v/>
      </c>
      <c r="S130" s="21" t="str">
        <f t="shared" si="25"/>
        <v/>
      </c>
    </row>
    <row r="131" spans="6:19" x14ac:dyDescent="0.25">
      <c r="F131" s="21" t="str">
        <f>IFERROR(INDEX(PACK!$C:$C,MATCH($A131,PACK!$A:$A,0)),"")</f>
        <v/>
      </c>
      <c r="G131" s="21" t="str">
        <f>IFERROR(INDEX(PACK!$D:$D,MATCH($A131,PACK!$A:$A,0)),"")</f>
        <v/>
      </c>
      <c r="H131" s="21" t="str">
        <f>IFERROR(INDEX(PACK!$E:$E,MATCH($A131,PACK!$A:$A,0)),"")</f>
        <v/>
      </c>
      <c r="I131" s="21" t="str">
        <f t="shared" ref="I131:I194" si="28">IFERROR(C131/F131,"")</f>
        <v/>
      </c>
      <c r="J131" s="21" t="str">
        <f t="shared" si="26"/>
        <v/>
      </c>
      <c r="K131" s="21" t="str">
        <f t="shared" ref="K131:K194" si="29">IFERROR(MOD(I131,H131),"")</f>
        <v/>
      </c>
      <c r="L131" s="21" t="str">
        <f t="shared" si="27"/>
        <v/>
      </c>
      <c r="R131" s="21" t="str">
        <f>IFERROR(INDEX(PACK!$C:$C,MATCH($P131,PACK!$A:$A,0)),"")</f>
        <v/>
      </c>
      <c r="S131" s="21" t="str">
        <f t="shared" ref="S131:S194" si="30">IFERROR(Q131/R131,"")</f>
        <v/>
      </c>
    </row>
    <row r="132" spans="6:19" x14ac:dyDescent="0.25">
      <c r="F132" s="21" t="str">
        <f>IFERROR(INDEX(PACK!$C:$C,MATCH($A132,PACK!$A:$A,0)),"")</f>
        <v/>
      </c>
      <c r="G132" s="21" t="str">
        <f>IFERROR(INDEX(PACK!$D:$D,MATCH($A132,PACK!$A:$A,0)),"")</f>
        <v/>
      </c>
      <c r="H132" s="21" t="str">
        <f>IFERROR(INDEX(PACK!$E:$E,MATCH($A132,PACK!$A:$A,0)),"")</f>
        <v/>
      </c>
      <c r="I132" s="21" t="str">
        <f t="shared" si="28"/>
        <v/>
      </c>
      <c r="J132" s="21" t="str">
        <f t="shared" si="26"/>
        <v/>
      </c>
      <c r="K132" s="21" t="str">
        <f t="shared" si="29"/>
        <v/>
      </c>
      <c r="L132" s="21" t="str">
        <f t="shared" si="27"/>
        <v/>
      </c>
      <c r="R132" s="21" t="str">
        <f>IFERROR(INDEX(PACK!$C:$C,MATCH($P132,PACK!$A:$A,0)),"")</f>
        <v/>
      </c>
      <c r="S132" s="21" t="str">
        <f t="shared" si="30"/>
        <v/>
      </c>
    </row>
    <row r="133" spans="6:19" x14ac:dyDescent="0.25">
      <c r="F133" s="21" t="str">
        <f>IFERROR(INDEX(PACK!$C:$C,MATCH($A133,PACK!$A:$A,0)),"")</f>
        <v/>
      </c>
      <c r="G133" s="21" t="str">
        <f>IFERROR(INDEX(PACK!$D:$D,MATCH($A133,PACK!$A:$A,0)),"")</f>
        <v/>
      </c>
      <c r="H133" s="21" t="str">
        <f>IFERROR(INDEX(PACK!$E:$E,MATCH($A133,PACK!$A:$A,0)),"")</f>
        <v/>
      </c>
      <c r="I133" s="21" t="str">
        <f t="shared" si="28"/>
        <v/>
      </c>
      <c r="J133" s="21" t="str">
        <f t="shared" si="26"/>
        <v/>
      </c>
      <c r="K133" s="21" t="str">
        <f t="shared" si="29"/>
        <v/>
      </c>
      <c r="L133" s="21" t="str">
        <f t="shared" si="27"/>
        <v/>
      </c>
      <c r="R133" s="21" t="str">
        <f>IFERROR(INDEX(PACK!$C:$C,MATCH($P133,PACK!$A:$A,0)),"")</f>
        <v/>
      </c>
      <c r="S133" s="21" t="str">
        <f t="shared" si="30"/>
        <v/>
      </c>
    </row>
    <row r="134" spans="6:19" x14ac:dyDescent="0.25">
      <c r="F134" s="21" t="str">
        <f>IFERROR(INDEX(PACK!$C:$C,MATCH($A134,PACK!$A:$A,0)),"")</f>
        <v/>
      </c>
      <c r="G134" s="21" t="str">
        <f>IFERROR(INDEX(PACK!$D:$D,MATCH($A134,PACK!$A:$A,0)),"")</f>
        <v/>
      </c>
      <c r="H134" s="21" t="str">
        <f>IFERROR(INDEX(PACK!$E:$E,MATCH($A134,PACK!$A:$A,0)),"")</f>
        <v/>
      </c>
      <c r="I134" s="21" t="str">
        <f t="shared" si="28"/>
        <v/>
      </c>
      <c r="J134" s="21" t="str">
        <f t="shared" si="26"/>
        <v/>
      </c>
      <c r="K134" s="21" t="str">
        <f t="shared" si="29"/>
        <v/>
      </c>
      <c r="L134" s="21" t="str">
        <f t="shared" si="27"/>
        <v/>
      </c>
      <c r="R134" s="21" t="str">
        <f>IFERROR(INDEX(PACK!$C:$C,MATCH($P134,PACK!$A:$A,0)),"")</f>
        <v/>
      </c>
      <c r="S134" s="21" t="str">
        <f t="shared" si="30"/>
        <v/>
      </c>
    </row>
    <row r="135" spans="6:19" x14ac:dyDescent="0.25">
      <c r="F135" s="21" t="str">
        <f>IFERROR(INDEX(PACK!$C:$C,MATCH($A135,PACK!$A:$A,0)),"")</f>
        <v/>
      </c>
      <c r="G135" s="21" t="str">
        <f>IFERROR(INDEX(PACK!$D:$D,MATCH($A135,PACK!$A:$A,0)),"")</f>
        <v/>
      </c>
      <c r="H135" s="21" t="str">
        <f>IFERROR(INDEX(PACK!$E:$E,MATCH($A135,PACK!$A:$A,0)),"")</f>
        <v/>
      </c>
      <c r="I135" s="21" t="str">
        <f t="shared" si="28"/>
        <v/>
      </c>
      <c r="J135" s="21" t="str">
        <f t="shared" si="26"/>
        <v/>
      </c>
      <c r="K135" s="21" t="str">
        <f t="shared" si="29"/>
        <v/>
      </c>
      <c r="L135" s="21" t="str">
        <f t="shared" si="27"/>
        <v/>
      </c>
      <c r="R135" s="21" t="str">
        <f>IFERROR(INDEX(PACK!$C:$C,MATCH($P135,PACK!$A:$A,0)),"")</f>
        <v/>
      </c>
      <c r="S135" s="21" t="str">
        <f t="shared" si="30"/>
        <v/>
      </c>
    </row>
    <row r="136" spans="6:19" x14ac:dyDescent="0.25">
      <c r="F136" s="21" t="str">
        <f>IFERROR(INDEX(PACK!$C:$C,MATCH($A136,PACK!$A:$A,0)),"")</f>
        <v/>
      </c>
      <c r="G136" s="21" t="str">
        <f>IFERROR(INDEX(PACK!$D:$D,MATCH($A136,PACK!$A:$A,0)),"")</f>
        <v/>
      </c>
      <c r="H136" s="21" t="str">
        <f>IFERROR(INDEX(PACK!$E:$E,MATCH($A136,PACK!$A:$A,0)),"")</f>
        <v/>
      </c>
      <c r="I136" s="21" t="str">
        <f t="shared" si="28"/>
        <v/>
      </c>
      <c r="J136" s="21" t="str">
        <f t="shared" si="26"/>
        <v/>
      </c>
      <c r="K136" s="21" t="str">
        <f t="shared" si="29"/>
        <v/>
      </c>
      <c r="L136" s="21" t="str">
        <f t="shared" si="27"/>
        <v/>
      </c>
      <c r="R136" s="21" t="str">
        <f>IFERROR(INDEX(PACK!$C:$C,MATCH($P136,PACK!$A:$A,0)),"")</f>
        <v/>
      </c>
      <c r="S136" s="21" t="str">
        <f t="shared" si="30"/>
        <v/>
      </c>
    </row>
    <row r="137" spans="6:19" x14ac:dyDescent="0.25">
      <c r="F137" s="21" t="str">
        <f>IFERROR(INDEX(PACK!$C:$C,MATCH($A137,PACK!$A:$A,0)),"")</f>
        <v/>
      </c>
      <c r="G137" s="21" t="str">
        <f>IFERROR(INDEX(PACK!$D:$D,MATCH($A137,PACK!$A:$A,0)),"")</f>
        <v/>
      </c>
      <c r="H137" s="21" t="str">
        <f>IFERROR(INDEX(PACK!$E:$E,MATCH($A137,PACK!$A:$A,0)),"")</f>
        <v/>
      </c>
      <c r="I137" s="21" t="str">
        <f t="shared" si="28"/>
        <v/>
      </c>
      <c r="J137" s="21" t="str">
        <f t="shared" si="26"/>
        <v/>
      </c>
      <c r="K137" s="21" t="str">
        <f t="shared" si="29"/>
        <v/>
      </c>
      <c r="L137" s="21" t="str">
        <f t="shared" si="27"/>
        <v/>
      </c>
      <c r="R137" s="21" t="str">
        <f>IFERROR(INDEX(PACK!$C:$C,MATCH($P137,PACK!$A:$A,0)),"")</f>
        <v/>
      </c>
      <c r="S137" s="21" t="str">
        <f t="shared" si="30"/>
        <v/>
      </c>
    </row>
    <row r="138" spans="6:19" x14ac:dyDescent="0.25">
      <c r="F138" s="21" t="str">
        <f>IFERROR(INDEX(PACK!$C:$C,MATCH($A138,PACK!$A:$A,0)),"")</f>
        <v/>
      </c>
      <c r="G138" s="21" t="str">
        <f>IFERROR(INDEX(PACK!$D:$D,MATCH($A138,PACK!$A:$A,0)),"")</f>
        <v/>
      </c>
      <c r="H138" s="21" t="str">
        <f>IFERROR(INDEX(PACK!$E:$E,MATCH($A138,PACK!$A:$A,0)),"")</f>
        <v/>
      </c>
      <c r="I138" s="21" t="str">
        <f t="shared" si="28"/>
        <v/>
      </c>
      <c r="J138" s="21" t="str">
        <f t="shared" si="26"/>
        <v/>
      </c>
      <c r="K138" s="21" t="str">
        <f t="shared" si="29"/>
        <v/>
      </c>
      <c r="L138" s="21" t="str">
        <f t="shared" si="27"/>
        <v/>
      </c>
      <c r="R138" s="21" t="str">
        <f>IFERROR(INDEX(PACK!$C:$C,MATCH($P138,PACK!$A:$A,0)),"")</f>
        <v/>
      </c>
      <c r="S138" s="21" t="str">
        <f t="shared" si="30"/>
        <v/>
      </c>
    </row>
    <row r="139" spans="6:19" x14ac:dyDescent="0.25">
      <c r="F139" s="21" t="str">
        <f>IFERROR(INDEX(PACK!$C:$C,MATCH($A139,PACK!$A:$A,0)),"")</f>
        <v/>
      </c>
      <c r="G139" s="21" t="str">
        <f>IFERROR(INDEX(PACK!$D:$D,MATCH($A139,PACK!$A:$A,0)),"")</f>
        <v/>
      </c>
      <c r="H139" s="21" t="str">
        <f>IFERROR(INDEX(PACK!$E:$E,MATCH($A139,PACK!$A:$A,0)),"")</f>
        <v/>
      </c>
      <c r="I139" s="21" t="str">
        <f t="shared" si="28"/>
        <v/>
      </c>
      <c r="J139" s="21" t="str">
        <f t="shared" si="26"/>
        <v/>
      </c>
      <c r="K139" s="21" t="str">
        <f t="shared" si="29"/>
        <v/>
      </c>
      <c r="L139" s="21" t="str">
        <f t="shared" si="27"/>
        <v/>
      </c>
      <c r="R139" s="21" t="str">
        <f>IFERROR(INDEX(PACK!$C:$C,MATCH($P139,PACK!$A:$A,0)),"")</f>
        <v/>
      </c>
      <c r="S139" s="21" t="str">
        <f t="shared" si="30"/>
        <v/>
      </c>
    </row>
    <row r="140" spans="6:19" x14ac:dyDescent="0.25">
      <c r="F140" s="21" t="str">
        <f>IFERROR(INDEX(PACK!$C:$C,MATCH($A140,PACK!$A:$A,0)),"")</f>
        <v/>
      </c>
      <c r="G140" s="21" t="str">
        <f>IFERROR(INDEX(PACK!$D:$D,MATCH($A140,PACK!$A:$A,0)),"")</f>
        <v/>
      </c>
      <c r="H140" s="21" t="str">
        <f>IFERROR(INDEX(PACK!$E:$E,MATCH($A140,PACK!$A:$A,0)),"")</f>
        <v/>
      </c>
      <c r="I140" s="21" t="str">
        <f t="shared" si="28"/>
        <v/>
      </c>
      <c r="J140" s="21" t="str">
        <f t="shared" si="26"/>
        <v/>
      </c>
      <c r="K140" s="21" t="str">
        <f t="shared" si="29"/>
        <v/>
      </c>
      <c r="L140" s="21" t="str">
        <f t="shared" si="27"/>
        <v/>
      </c>
      <c r="R140" s="21" t="str">
        <f>IFERROR(INDEX(PACK!$C:$C,MATCH($P140,PACK!$A:$A,0)),"")</f>
        <v/>
      </c>
      <c r="S140" s="21" t="str">
        <f t="shared" si="30"/>
        <v/>
      </c>
    </row>
    <row r="141" spans="6:19" x14ac:dyDescent="0.25">
      <c r="F141" s="21" t="str">
        <f>IFERROR(INDEX(PACK!$C:$C,MATCH($A141,PACK!$A:$A,0)),"")</f>
        <v/>
      </c>
      <c r="G141" s="21" t="str">
        <f>IFERROR(INDEX(PACK!$D:$D,MATCH($A141,PACK!$A:$A,0)),"")</f>
        <v/>
      </c>
      <c r="H141" s="21" t="str">
        <f>IFERROR(INDEX(PACK!$E:$E,MATCH($A141,PACK!$A:$A,0)),"")</f>
        <v/>
      </c>
      <c r="I141" s="21" t="str">
        <f t="shared" si="28"/>
        <v/>
      </c>
      <c r="J141" s="21" t="str">
        <f t="shared" si="26"/>
        <v/>
      </c>
      <c r="K141" s="21" t="str">
        <f t="shared" si="29"/>
        <v/>
      </c>
      <c r="L141" s="21" t="str">
        <f t="shared" si="27"/>
        <v/>
      </c>
      <c r="R141" s="21" t="str">
        <f>IFERROR(INDEX(PACK!$C:$C,MATCH($P141,PACK!$A:$A,0)),"")</f>
        <v/>
      </c>
      <c r="S141" s="21" t="str">
        <f t="shared" si="30"/>
        <v/>
      </c>
    </row>
    <row r="142" spans="6:19" x14ac:dyDescent="0.25">
      <c r="F142" s="21" t="str">
        <f>IFERROR(INDEX(PACK!$C:$C,MATCH($A142,PACK!$A:$A,0)),"")</f>
        <v/>
      </c>
      <c r="G142" s="21" t="str">
        <f>IFERROR(INDEX(PACK!$D:$D,MATCH($A142,PACK!$A:$A,0)),"")</f>
        <v/>
      </c>
      <c r="H142" s="21" t="str">
        <f>IFERROR(INDEX(PACK!$E:$E,MATCH($A142,PACK!$A:$A,0)),"")</f>
        <v/>
      </c>
      <c r="I142" s="21" t="str">
        <f t="shared" si="28"/>
        <v/>
      </c>
      <c r="J142" s="21" t="str">
        <f t="shared" si="26"/>
        <v/>
      </c>
      <c r="K142" s="21" t="str">
        <f t="shared" si="29"/>
        <v/>
      </c>
      <c r="L142" s="21" t="str">
        <f t="shared" si="27"/>
        <v/>
      </c>
      <c r="R142" s="21" t="str">
        <f>IFERROR(INDEX(PACK!$C:$C,MATCH($P142,PACK!$A:$A,0)),"")</f>
        <v/>
      </c>
      <c r="S142" s="21" t="str">
        <f t="shared" si="30"/>
        <v/>
      </c>
    </row>
    <row r="143" spans="6:19" x14ac:dyDescent="0.25">
      <c r="F143" s="21" t="str">
        <f>IFERROR(INDEX(PACK!$C:$C,MATCH($A143,PACK!$A:$A,0)),"")</f>
        <v/>
      </c>
      <c r="G143" s="21" t="str">
        <f>IFERROR(INDEX(PACK!$D:$D,MATCH($A143,PACK!$A:$A,0)),"")</f>
        <v/>
      </c>
      <c r="H143" s="21" t="str">
        <f>IFERROR(INDEX(PACK!$E:$E,MATCH($A143,PACK!$A:$A,0)),"")</f>
        <v/>
      </c>
      <c r="I143" s="21" t="str">
        <f t="shared" si="28"/>
        <v/>
      </c>
      <c r="J143" s="21" t="str">
        <f t="shared" si="26"/>
        <v/>
      </c>
      <c r="K143" s="21" t="str">
        <f t="shared" si="29"/>
        <v/>
      </c>
      <c r="L143" s="21" t="str">
        <f t="shared" si="27"/>
        <v/>
      </c>
      <c r="R143" s="21" t="str">
        <f>IFERROR(INDEX(PACK!$C:$C,MATCH($P143,PACK!$A:$A,0)),"")</f>
        <v/>
      </c>
      <c r="S143" s="21" t="str">
        <f t="shared" si="30"/>
        <v/>
      </c>
    </row>
    <row r="144" spans="6:19" x14ac:dyDescent="0.25">
      <c r="F144" s="21" t="str">
        <f>IFERROR(INDEX(PACK!$C:$C,MATCH($A144,PACK!$A:$A,0)),"")</f>
        <v/>
      </c>
      <c r="G144" s="21" t="str">
        <f>IFERROR(INDEX(PACK!$D:$D,MATCH($A144,PACK!$A:$A,0)),"")</f>
        <v/>
      </c>
      <c r="H144" s="21" t="str">
        <f>IFERROR(INDEX(PACK!$E:$E,MATCH($A144,PACK!$A:$A,0)),"")</f>
        <v/>
      </c>
      <c r="I144" s="21" t="str">
        <f t="shared" si="28"/>
        <v/>
      </c>
      <c r="J144" s="21" t="str">
        <f t="shared" si="26"/>
        <v/>
      </c>
      <c r="K144" s="21" t="str">
        <f t="shared" si="29"/>
        <v/>
      </c>
      <c r="L144" s="21" t="str">
        <f t="shared" si="27"/>
        <v/>
      </c>
      <c r="R144" s="21" t="str">
        <f>IFERROR(INDEX(PACK!$C:$C,MATCH($P144,PACK!$A:$A,0)),"")</f>
        <v/>
      </c>
      <c r="S144" s="21" t="str">
        <f t="shared" si="30"/>
        <v/>
      </c>
    </row>
    <row r="145" spans="6:19" x14ac:dyDescent="0.25">
      <c r="F145" s="21" t="str">
        <f>IFERROR(INDEX(PACK!$C:$C,MATCH($A145,PACK!$A:$A,0)),"")</f>
        <v/>
      </c>
      <c r="G145" s="21" t="str">
        <f>IFERROR(INDEX(PACK!$D:$D,MATCH($A145,PACK!$A:$A,0)),"")</f>
        <v/>
      </c>
      <c r="H145" s="21" t="str">
        <f>IFERROR(INDEX(PACK!$E:$E,MATCH($A145,PACK!$A:$A,0)),"")</f>
        <v/>
      </c>
      <c r="I145" s="21" t="str">
        <f t="shared" si="28"/>
        <v/>
      </c>
      <c r="J145" s="21" t="str">
        <f t="shared" si="26"/>
        <v/>
      </c>
      <c r="K145" s="21" t="str">
        <f t="shared" si="29"/>
        <v/>
      </c>
      <c r="L145" s="21" t="str">
        <f t="shared" si="27"/>
        <v/>
      </c>
      <c r="R145" s="21" t="str">
        <f>IFERROR(INDEX(PACK!$C:$C,MATCH($P145,PACK!$A:$A,0)),"")</f>
        <v/>
      </c>
      <c r="S145" s="21" t="str">
        <f t="shared" si="30"/>
        <v/>
      </c>
    </row>
    <row r="146" spans="6:19" x14ac:dyDescent="0.25">
      <c r="F146" s="21" t="str">
        <f>IFERROR(INDEX(PACK!$C:$C,MATCH($A146,PACK!$A:$A,0)),"")</f>
        <v/>
      </c>
      <c r="G146" s="21" t="str">
        <f>IFERROR(INDEX(PACK!$D:$D,MATCH($A146,PACK!$A:$A,0)),"")</f>
        <v/>
      </c>
      <c r="H146" s="21" t="str">
        <f>IFERROR(INDEX(PACK!$E:$E,MATCH($A146,PACK!$A:$A,0)),"")</f>
        <v/>
      </c>
      <c r="I146" s="21" t="str">
        <f t="shared" si="28"/>
        <v/>
      </c>
      <c r="J146" s="21" t="str">
        <f t="shared" si="26"/>
        <v/>
      </c>
      <c r="K146" s="21" t="str">
        <f t="shared" si="29"/>
        <v/>
      </c>
      <c r="L146" s="21" t="str">
        <f t="shared" si="27"/>
        <v/>
      </c>
      <c r="R146" s="21" t="str">
        <f>IFERROR(INDEX(PACK!$C:$C,MATCH($P146,PACK!$A:$A,0)),"")</f>
        <v/>
      </c>
      <c r="S146" s="21" t="str">
        <f t="shared" si="30"/>
        <v/>
      </c>
    </row>
    <row r="147" spans="6:19" x14ac:dyDescent="0.25">
      <c r="F147" s="21" t="str">
        <f>IFERROR(INDEX(PACK!$C:$C,MATCH($A147,PACK!$A:$A,0)),"")</f>
        <v/>
      </c>
      <c r="G147" s="21" t="str">
        <f>IFERROR(INDEX(PACK!$D:$D,MATCH($A147,PACK!$A:$A,0)),"")</f>
        <v/>
      </c>
      <c r="H147" s="21" t="str">
        <f>IFERROR(INDEX(PACK!$E:$E,MATCH($A147,PACK!$A:$A,0)),"")</f>
        <v/>
      </c>
      <c r="I147" s="21" t="str">
        <f t="shared" si="28"/>
        <v/>
      </c>
      <c r="J147" s="21" t="str">
        <f t="shared" si="26"/>
        <v/>
      </c>
      <c r="K147" s="21" t="str">
        <f t="shared" si="29"/>
        <v/>
      </c>
      <c r="L147" s="21" t="str">
        <f t="shared" si="27"/>
        <v/>
      </c>
      <c r="R147" s="21" t="str">
        <f>IFERROR(INDEX(PACK!$C:$C,MATCH($P147,PACK!$A:$A,0)),"")</f>
        <v/>
      </c>
      <c r="S147" s="21" t="str">
        <f t="shared" si="30"/>
        <v/>
      </c>
    </row>
    <row r="148" spans="6:19" x14ac:dyDescent="0.25">
      <c r="F148" s="21" t="str">
        <f>IFERROR(INDEX(PACK!$C:$C,MATCH($A148,PACK!$A:$A,0)),"")</f>
        <v/>
      </c>
      <c r="G148" s="21" t="str">
        <f>IFERROR(INDEX(PACK!$D:$D,MATCH($A148,PACK!$A:$A,0)),"")</f>
        <v/>
      </c>
      <c r="H148" s="21" t="str">
        <f>IFERROR(INDEX(PACK!$E:$E,MATCH($A148,PACK!$A:$A,0)),"")</f>
        <v/>
      </c>
      <c r="I148" s="21" t="str">
        <f t="shared" si="28"/>
        <v/>
      </c>
      <c r="J148" s="21" t="str">
        <f t="shared" si="26"/>
        <v/>
      </c>
      <c r="K148" s="21" t="str">
        <f t="shared" si="29"/>
        <v/>
      </c>
      <c r="L148" s="21" t="str">
        <f t="shared" si="27"/>
        <v/>
      </c>
      <c r="R148" s="21" t="str">
        <f>IFERROR(INDEX(PACK!$C:$C,MATCH($P148,PACK!$A:$A,0)),"")</f>
        <v/>
      </c>
      <c r="S148" s="21" t="str">
        <f t="shared" si="30"/>
        <v/>
      </c>
    </row>
    <row r="149" spans="6:19" x14ac:dyDescent="0.25">
      <c r="F149" s="21" t="str">
        <f>IFERROR(INDEX(PACK!$C:$C,MATCH($A149,PACK!$A:$A,0)),"")</f>
        <v/>
      </c>
      <c r="G149" s="21" t="str">
        <f>IFERROR(INDEX(PACK!$D:$D,MATCH($A149,PACK!$A:$A,0)),"")</f>
        <v/>
      </c>
      <c r="H149" s="21" t="str">
        <f>IFERROR(INDEX(PACK!$E:$E,MATCH($A149,PACK!$A:$A,0)),"")</f>
        <v/>
      </c>
      <c r="I149" s="21" t="str">
        <f t="shared" si="28"/>
        <v/>
      </c>
      <c r="J149" s="21" t="str">
        <f t="shared" si="26"/>
        <v/>
      </c>
      <c r="K149" s="21" t="str">
        <f t="shared" si="29"/>
        <v/>
      </c>
      <c r="L149" s="21" t="str">
        <f t="shared" si="27"/>
        <v/>
      </c>
      <c r="R149" s="21" t="str">
        <f>IFERROR(INDEX(PACK!$C:$C,MATCH($P149,PACK!$A:$A,0)),"")</f>
        <v/>
      </c>
      <c r="S149" s="21" t="str">
        <f t="shared" si="30"/>
        <v/>
      </c>
    </row>
    <row r="150" spans="6:19" x14ac:dyDescent="0.25">
      <c r="F150" s="21" t="str">
        <f>IFERROR(INDEX(PACK!$C:$C,MATCH($A150,PACK!$A:$A,0)),"")</f>
        <v/>
      </c>
      <c r="G150" s="21" t="str">
        <f>IFERROR(INDEX(PACK!$D:$D,MATCH($A150,PACK!$A:$A,0)),"")</f>
        <v/>
      </c>
      <c r="H150" s="21" t="str">
        <f>IFERROR(INDEX(PACK!$E:$E,MATCH($A150,PACK!$A:$A,0)),"")</f>
        <v/>
      </c>
      <c r="I150" s="21" t="str">
        <f t="shared" si="28"/>
        <v/>
      </c>
      <c r="J150" s="21" t="str">
        <f t="shared" si="26"/>
        <v/>
      </c>
      <c r="K150" s="21" t="str">
        <f t="shared" si="29"/>
        <v/>
      </c>
      <c r="L150" s="21" t="str">
        <f t="shared" si="27"/>
        <v/>
      </c>
      <c r="R150" s="21" t="str">
        <f>IFERROR(INDEX(PACK!$C:$C,MATCH($P150,PACK!$A:$A,0)),"")</f>
        <v/>
      </c>
      <c r="S150" s="21" t="str">
        <f t="shared" si="30"/>
        <v/>
      </c>
    </row>
    <row r="151" spans="6:19" x14ac:dyDescent="0.25">
      <c r="F151" s="21" t="str">
        <f>IFERROR(INDEX(PACK!$C:$C,MATCH($A151,PACK!$A:$A,0)),"")</f>
        <v/>
      </c>
      <c r="G151" s="21" t="str">
        <f>IFERROR(INDEX(PACK!$D:$D,MATCH($A151,PACK!$A:$A,0)),"")</f>
        <v/>
      </c>
      <c r="H151" s="21" t="str">
        <f>IFERROR(INDEX(PACK!$E:$E,MATCH($A151,PACK!$A:$A,0)),"")</f>
        <v/>
      </c>
      <c r="I151" s="21" t="str">
        <f t="shared" si="28"/>
        <v/>
      </c>
      <c r="J151" s="21" t="str">
        <f t="shared" ref="J151:J214" si="31">IFERROR(ROUNDDOWN(C151/G151,0),"")</f>
        <v/>
      </c>
      <c r="K151" s="21" t="str">
        <f t="shared" si="29"/>
        <v/>
      </c>
      <c r="L151" s="21" t="str">
        <f t="shared" ref="L151:L214" si="32">IFERROR(K151*F151,"")</f>
        <v/>
      </c>
      <c r="R151" s="21" t="str">
        <f>IFERROR(INDEX(PACK!$C:$C,MATCH($P151,PACK!$A:$A,0)),"")</f>
        <v/>
      </c>
      <c r="S151" s="21" t="str">
        <f t="shared" si="30"/>
        <v/>
      </c>
    </row>
    <row r="152" spans="6:19" x14ac:dyDescent="0.25">
      <c r="F152" s="21" t="str">
        <f>IFERROR(INDEX(PACK!$C:$C,MATCH($A152,PACK!$A:$A,0)),"")</f>
        <v/>
      </c>
      <c r="G152" s="21" t="str">
        <f>IFERROR(INDEX(PACK!$D:$D,MATCH($A152,PACK!$A:$A,0)),"")</f>
        <v/>
      </c>
      <c r="H152" s="21" t="str">
        <f>IFERROR(INDEX(PACK!$E:$E,MATCH($A152,PACK!$A:$A,0)),"")</f>
        <v/>
      </c>
      <c r="I152" s="21" t="str">
        <f t="shared" si="28"/>
        <v/>
      </c>
      <c r="J152" s="21" t="str">
        <f t="shared" si="31"/>
        <v/>
      </c>
      <c r="K152" s="21" t="str">
        <f t="shared" si="29"/>
        <v/>
      </c>
      <c r="L152" s="21" t="str">
        <f t="shared" si="32"/>
        <v/>
      </c>
      <c r="R152" s="21" t="str">
        <f>IFERROR(INDEX(PACK!$C:$C,MATCH($P152,PACK!$A:$A,0)),"")</f>
        <v/>
      </c>
      <c r="S152" s="21" t="str">
        <f t="shared" si="30"/>
        <v/>
      </c>
    </row>
    <row r="153" spans="6:19" x14ac:dyDescent="0.25">
      <c r="F153" s="21" t="str">
        <f>IFERROR(INDEX(PACK!$C:$C,MATCH($A153,PACK!$A:$A,0)),"")</f>
        <v/>
      </c>
      <c r="G153" s="21" t="str">
        <f>IFERROR(INDEX(PACK!$D:$D,MATCH($A153,PACK!$A:$A,0)),"")</f>
        <v/>
      </c>
      <c r="H153" s="21" t="str">
        <f>IFERROR(INDEX(PACK!$E:$E,MATCH($A153,PACK!$A:$A,0)),"")</f>
        <v/>
      </c>
      <c r="I153" s="21" t="str">
        <f t="shared" si="28"/>
        <v/>
      </c>
      <c r="J153" s="21" t="str">
        <f t="shared" si="31"/>
        <v/>
      </c>
      <c r="K153" s="21" t="str">
        <f t="shared" si="29"/>
        <v/>
      </c>
      <c r="L153" s="21" t="str">
        <f t="shared" si="32"/>
        <v/>
      </c>
      <c r="R153" s="21" t="str">
        <f>IFERROR(INDEX(PACK!$C:$C,MATCH($P153,PACK!$A:$A,0)),"")</f>
        <v/>
      </c>
      <c r="S153" s="21" t="str">
        <f t="shared" si="30"/>
        <v/>
      </c>
    </row>
    <row r="154" spans="6:19" x14ac:dyDescent="0.25">
      <c r="F154" s="21" t="str">
        <f>IFERROR(INDEX(PACK!$C:$C,MATCH($A154,PACK!$A:$A,0)),"")</f>
        <v/>
      </c>
      <c r="G154" s="21" t="str">
        <f>IFERROR(INDEX(PACK!$D:$D,MATCH($A154,PACK!$A:$A,0)),"")</f>
        <v/>
      </c>
      <c r="H154" s="21" t="str">
        <f>IFERROR(INDEX(PACK!$E:$E,MATCH($A154,PACK!$A:$A,0)),"")</f>
        <v/>
      </c>
      <c r="I154" s="21" t="str">
        <f t="shared" si="28"/>
        <v/>
      </c>
      <c r="J154" s="21" t="str">
        <f t="shared" si="31"/>
        <v/>
      </c>
      <c r="K154" s="21" t="str">
        <f t="shared" si="29"/>
        <v/>
      </c>
      <c r="L154" s="21" t="str">
        <f t="shared" si="32"/>
        <v/>
      </c>
      <c r="R154" s="21" t="str">
        <f>IFERROR(INDEX(PACK!$C:$C,MATCH($P154,PACK!$A:$A,0)),"")</f>
        <v/>
      </c>
      <c r="S154" s="21" t="str">
        <f t="shared" si="30"/>
        <v/>
      </c>
    </row>
    <row r="155" spans="6:19" x14ac:dyDescent="0.25">
      <c r="F155" s="21" t="str">
        <f>IFERROR(INDEX(PACK!$C:$C,MATCH($A155,PACK!$A:$A,0)),"")</f>
        <v/>
      </c>
      <c r="G155" s="21" t="str">
        <f>IFERROR(INDEX(PACK!$D:$D,MATCH($A155,PACK!$A:$A,0)),"")</f>
        <v/>
      </c>
      <c r="H155" s="21" t="str">
        <f>IFERROR(INDEX(PACK!$E:$E,MATCH($A155,PACK!$A:$A,0)),"")</f>
        <v/>
      </c>
      <c r="I155" s="21" t="str">
        <f t="shared" si="28"/>
        <v/>
      </c>
      <c r="J155" s="21" t="str">
        <f t="shared" si="31"/>
        <v/>
      </c>
      <c r="K155" s="21" t="str">
        <f t="shared" si="29"/>
        <v/>
      </c>
      <c r="L155" s="21" t="str">
        <f t="shared" si="32"/>
        <v/>
      </c>
      <c r="R155" s="21" t="str">
        <f>IFERROR(INDEX(PACK!$C:$C,MATCH($P155,PACK!$A:$A,0)),"")</f>
        <v/>
      </c>
      <c r="S155" s="21" t="str">
        <f t="shared" si="30"/>
        <v/>
      </c>
    </row>
    <row r="156" spans="6:19" x14ac:dyDescent="0.25">
      <c r="F156" s="21" t="str">
        <f>IFERROR(INDEX(PACK!$C:$C,MATCH($A156,PACK!$A:$A,0)),"")</f>
        <v/>
      </c>
      <c r="G156" s="21" t="str">
        <f>IFERROR(INDEX(PACK!$D:$D,MATCH($A156,PACK!$A:$A,0)),"")</f>
        <v/>
      </c>
      <c r="H156" s="21" t="str">
        <f>IFERROR(INDEX(PACK!$E:$E,MATCH($A156,PACK!$A:$A,0)),"")</f>
        <v/>
      </c>
      <c r="I156" s="21" t="str">
        <f t="shared" si="28"/>
        <v/>
      </c>
      <c r="J156" s="21" t="str">
        <f t="shared" si="31"/>
        <v/>
      </c>
      <c r="K156" s="21" t="str">
        <f t="shared" si="29"/>
        <v/>
      </c>
      <c r="L156" s="21" t="str">
        <f t="shared" si="32"/>
        <v/>
      </c>
      <c r="R156" s="21" t="str">
        <f>IFERROR(INDEX(PACK!$C:$C,MATCH($P156,PACK!$A:$A,0)),"")</f>
        <v/>
      </c>
      <c r="S156" s="21" t="str">
        <f t="shared" si="30"/>
        <v/>
      </c>
    </row>
    <row r="157" spans="6:19" x14ac:dyDescent="0.25">
      <c r="F157" s="21" t="str">
        <f>IFERROR(INDEX(PACK!$C:$C,MATCH($A157,PACK!$A:$A,0)),"")</f>
        <v/>
      </c>
      <c r="G157" s="21" t="str">
        <f>IFERROR(INDEX(PACK!$D:$D,MATCH($A157,PACK!$A:$A,0)),"")</f>
        <v/>
      </c>
      <c r="H157" s="21" t="str">
        <f>IFERROR(INDEX(PACK!$E:$E,MATCH($A157,PACK!$A:$A,0)),"")</f>
        <v/>
      </c>
      <c r="I157" s="21" t="str">
        <f t="shared" si="28"/>
        <v/>
      </c>
      <c r="J157" s="21" t="str">
        <f t="shared" si="31"/>
        <v/>
      </c>
      <c r="K157" s="21" t="str">
        <f t="shared" si="29"/>
        <v/>
      </c>
      <c r="L157" s="21" t="str">
        <f t="shared" si="32"/>
        <v/>
      </c>
      <c r="R157" s="21" t="str">
        <f>IFERROR(INDEX(PACK!$C:$C,MATCH($P157,PACK!$A:$A,0)),"")</f>
        <v/>
      </c>
      <c r="S157" s="21" t="str">
        <f t="shared" si="30"/>
        <v/>
      </c>
    </row>
    <row r="158" spans="6:19" x14ac:dyDescent="0.25">
      <c r="F158" s="21" t="str">
        <f>IFERROR(INDEX(PACK!$C:$C,MATCH($A158,PACK!$A:$A,0)),"")</f>
        <v/>
      </c>
      <c r="G158" s="21" t="str">
        <f>IFERROR(INDEX(PACK!$D:$D,MATCH($A158,PACK!$A:$A,0)),"")</f>
        <v/>
      </c>
      <c r="H158" s="21" t="str">
        <f>IFERROR(INDEX(PACK!$E:$E,MATCH($A158,PACK!$A:$A,0)),"")</f>
        <v/>
      </c>
      <c r="I158" s="21" t="str">
        <f t="shared" si="28"/>
        <v/>
      </c>
      <c r="J158" s="21" t="str">
        <f t="shared" si="31"/>
        <v/>
      </c>
      <c r="K158" s="21" t="str">
        <f t="shared" si="29"/>
        <v/>
      </c>
      <c r="L158" s="21" t="str">
        <f t="shared" si="32"/>
        <v/>
      </c>
      <c r="R158" s="21" t="str">
        <f>IFERROR(INDEX(PACK!$C:$C,MATCH($P158,PACK!$A:$A,0)),"")</f>
        <v/>
      </c>
      <c r="S158" s="21" t="str">
        <f t="shared" si="30"/>
        <v/>
      </c>
    </row>
    <row r="159" spans="6:19" x14ac:dyDescent="0.25">
      <c r="F159" s="21" t="str">
        <f>IFERROR(INDEX(PACK!$C:$C,MATCH($A159,PACK!$A:$A,0)),"")</f>
        <v/>
      </c>
      <c r="G159" s="21" t="str">
        <f>IFERROR(INDEX(PACK!$D:$D,MATCH($A159,PACK!$A:$A,0)),"")</f>
        <v/>
      </c>
      <c r="H159" s="21" t="str">
        <f>IFERROR(INDEX(PACK!$E:$E,MATCH($A159,PACK!$A:$A,0)),"")</f>
        <v/>
      </c>
      <c r="I159" s="21" t="str">
        <f t="shared" si="28"/>
        <v/>
      </c>
      <c r="J159" s="21" t="str">
        <f t="shared" si="31"/>
        <v/>
      </c>
      <c r="K159" s="21" t="str">
        <f t="shared" si="29"/>
        <v/>
      </c>
      <c r="L159" s="21" t="str">
        <f t="shared" si="32"/>
        <v/>
      </c>
      <c r="R159" s="21" t="str">
        <f>IFERROR(INDEX(PACK!$C:$C,MATCH($P159,PACK!$A:$A,0)),"")</f>
        <v/>
      </c>
      <c r="S159" s="21" t="str">
        <f t="shared" si="30"/>
        <v/>
      </c>
    </row>
    <row r="160" spans="6:19" x14ac:dyDescent="0.25">
      <c r="F160" s="21" t="str">
        <f>IFERROR(INDEX(PACK!$C:$C,MATCH($A160,PACK!$A:$A,0)),"")</f>
        <v/>
      </c>
      <c r="G160" s="21" t="str">
        <f>IFERROR(INDEX(PACK!$D:$D,MATCH($A160,PACK!$A:$A,0)),"")</f>
        <v/>
      </c>
      <c r="H160" s="21" t="str">
        <f>IFERROR(INDEX(PACK!$E:$E,MATCH($A160,PACK!$A:$A,0)),"")</f>
        <v/>
      </c>
      <c r="I160" s="21" t="str">
        <f t="shared" si="28"/>
        <v/>
      </c>
      <c r="J160" s="21" t="str">
        <f t="shared" si="31"/>
        <v/>
      </c>
      <c r="K160" s="21" t="str">
        <f t="shared" si="29"/>
        <v/>
      </c>
      <c r="L160" s="21" t="str">
        <f t="shared" si="32"/>
        <v/>
      </c>
      <c r="R160" s="21" t="str">
        <f>IFERROR(INDEX(PACK!$C:$C,MATCH($P160,PACK!$A:$A,0)),"")</f>
        <v/>
      </c>
      <c r="S160" s="21" t="str">
        <f t="shared" si="30"/>
        <v/>
      </c>
    </row>
    <row r="161" spans="6:19" x14ac:dyDescent="0.25">
      <c r="F161" s="21" t="str">
        <f>IFERROR(INDEX(PACK!$C:$C,MATCH($A161,PACK!$A:$A,0)),"")</f>
        <v/>
      </c>
      <c r="G161" s="21" t="str">
        <f>IFERROR(INDEX(PACK!$D:$D,MATCH($A161,PACK!$A:$A,0)),"")</f>
        <v/>
      </c>
      <c r="H161" s="21" t="str">
        <f>IFERROR(INDEX(PACK!$E:$E,MATCH($A161,PACK!$A:$A,0)),"")</f>
        <v/>
      </c>
      <c r="I161" s="21" t="str">
        <f t="shared" si="28"/>
        <v/>
      </c>
      <c r="J161" s="21" t="str">
        <f t="shared" si="31"/>
        <v/>
      </c>
      <c r="K161" s="21" t="str">
        <f t="shared" si="29"/>
        <v/>
      </c>
      <c r="L161" s="21" t="str">
        <f t="shared" si="32"/>
        <v/>
      </c>
      <c r="R161" s="21" t="str">
        <f>IFERROR(INDEX(PACK!$C:$C,MATCH($P161,PACK!$A:$A,0)),"")</f>
        <v/>
      </c>
      <c r="S161" s="21" t="str">
        <f t="shared" si="30"/>
        <v/>
      </c>
    </row>
    <row r="162" spans="6:19" x14ac:dyDescent="0.25">
      <c r="F162" s="21" t="str">
        <f>IFERROR(INDEX(PACK!$C:$C,MATCH($A162,PACK!$A:$A,0)),"")</f>
        <v/>
      </c>
      <c r="G162" s="21" t="str">
        <f>IFERROR(INDEX(PACK!$D:$D,MATCH($A162,PACK!$A:$A,0)),"")</f>
        <v/>
      </c>
      <c r="H162" s="21" t="str">
        <f>IFERROR(INDEX(PACK!$E:$E,MATCH($A162,PACK!$A:$A,0)),"")</f>
        <v/>
      </c>
      <c r="I162" s="21" t="str">
        <f t="shared" si="28"/>
        <v/>
      </c>
      <c r="J162" s="21" t="str">
        <f t="shared" si="31"/>
        <v/>
      </c>
      <c r="K162" s="21" t="str">
        <f t="shared" si="29"/>
        <v/>
      </c>
      <c r="L162" s="21" t="str">
        <f t="shared" si="32"/>
        <v/>
      </c>
      <c r="R162" s="21" t="str">
        <f>IFERROR(INDEX(PACK!$C:$C,MATCH($P162,PACK!$A:$A,0)),"")</f>
        <v/>
      </c>
      <c r="S162" s="21" t="str">
        <f t="shared" si="30"/>
        <v/>
      </c>
    </row>
    <row r="163" spans="6:19" x14ac:dyDescent="0.25">
      <c r="F163" s="21" t="str">
        <f>IFERROR(INDEX(PACK!$C:$C,MATCH($A163,PACK!$A:$A,0)),"")</f>
        <v/>
      </c>
      <c r="G163" s="21" t="str">
        <f>IFERROR(INDEX(PACK!$D:$D,MATCH($A163,PACK!$A:$A,0)),"")</f>
        <v/>
      </c>
      <c r="H163" s="21" t="str">
        <f>IFERROR(INDEX(PACK!$E:$E,MATCH($A163,PACK!$A:$A,0)),"")</f>
        <v/>
      </c>
      <c r="I163" s="21" t="str">
        <f t="shared" si="28"/>
        <v/>
      </c>
      <c r="J163" s="21" t="str">
        <f t="shared" si="31"/>
        <v/>
      </c>
      <c r="K163" s="21" t="str">
        <f t="shared" si="29"/>
        <v/>
      </c>
      <c r="L163" s="21" t="str">
        <f t="shared" si="32"/>
        <v/>
      </c>
      <c r="R163" s="21" t="str">
        <f>IFERROR(INDEX(PACK!$C:$C,MATCH($P163,PACK!$A:$A,0)),"")</f>
        <v/>
      </c>
      <c r="S163" s="21" t="str">
        <f t="shared" si="30"/>
        <v/>
      </c>
    </row>
    <row r="164" spans="6:19" x14ac:dyDescent="0.25">
      <c r="F164" s="21" t="str">
        <f>IFERROR(INDEX(PACK!$C:$C,MATCH($A164,PACK!$A:$A,0)),"")</f>
        <v/>
      </c>
      <c r="G164" s="21" t="str">
        <f>IFERROR(INDEX(PACK!$D:$D,MATCH($A164,PACK!$A:$A,0)),"")</f>
        <v/>
      </c>
      <c r="H164" s="21" t="str">
        <f>IFERROR(INDEX(PACK!$E:$E,MATCH($A164,PACK!$A:$A,0)),"")</f>
        <v/>
      </c>
      <c r="I164" s="21" t="str">
        <f t="shared" si="28"/>
        <v/>
      </c>
      <c r="J164" s="21" t="str">
        <f t="shared" si="31"/>
        <v/>
      </c>
      <c r="K164" s="21" t="str">
        <f t="shared" si="29"/>
        <v/>
      </c>
      <c r="L164" s="21" t="str">
        <f t="shared" si="32"/>
        <v/>
      </c>
      <c r="R164" s="21" t="str">
        <f>IFERROR(INDEX(PACK!$C:$C,MATCH($P164,PACK!$A:$A,0)),"")</f>
        <v/>
      </c>
      <c r="S164" s="21" t="str">
        <f t="shared" si="30"/>
        <v/>
      </c>
    </row>
    <row r="165" spans="6:19" x14ac:dyDescent="0.25">
      <c r="F165" s="21" t="str">
        <f>IFERROR(INDEX(PACK!$C:$C,MATCH($A165,PACK!$A:$A,0)),"")</f>
        <v/>
      </c>
      <c r="G165" s="21" t="str">
        <f>IFERROR(INDEX(PACK!$D:$D,MATCH($A165,PACK!$A:$A,0)),"")</f>
        <v/>
      </c>
      <c r="H165" s="21" t="str">
        <f>IFERROR(INDEX(PACK!$E:$E,MATCH($A165,PACK!$A:$A,0)),"")</f>
        <v/>
      </c>
      <c r="I165" s="21" t="str">
        <f t="shared" si="28"/>
        <v/>
      </c>
      <c r="J165" s="21" t="str">
        <f t="shared" si="31"/>
        <v/>
      </c>
      <c r="K165" s="21" t="str">
        <f t="shared" si="29"/>
        <v/>
      </c>
      <c r="L165" s="21" t="str">
        <f t="shared" si="32"/>
        <v/>
      </c>
      <c r="R165" s="21" t="str">
        <f>IFERROR(INDEX(PACK!$C:$C,MATCH($P165,PACK!$A:$A,0)),"")</f>
        <v/>
      </c>
      <c r="S165" s="21" t="str">
        <f t="shared" si="30"/>
        <v/>
      </c>
    </row>
    <row r="166" spans="6:19" x14ac:dyDescent="0.25">
      <c r="F166" s="21" t="str">
        <f>IFERROR(INDEX(PACK!$C:$C,MATCH($A166,PACK!$A:$A,0)),"")</f>
        <v/>
      </c>
      <c r="G166" s="21" t="str">
        <f>IFERROR(INDEX(PACK!$D:$D,MATCH($A166,PACK!$A:$A,0)),"")</f>
        <v/>
      </c>
      <c r="H166" s="21" t="str">
        <f>IFERROR(INDEX(PACK!$E:$E,MATCH($A166,PACK!$A:$A,0)),"")</f>
        <v/>
      </c>
      <c r="I166" s="21" t="str">
        <f t="shared" si="28"/>
        <v/>
      </c>
      <c r="J166" s="21" t="str">
        <f t="shared" si="31"/>
        <v/>
      </c>
      <c r="K166" s="21" t="str">
        <f t="shared" si="29"/>
        <v/>
      </c>
      <c r="L166" s="21" t="str">
        <f t="shared" si="32"/>
        <v/>
      </c>
      <c r="R166" s="21" t="str">
        <f>IFERROR(INDEX(PACK!$C:$C,MATCH($P166,PACK!$A:$A,0)),"")</f>
        <v/>
      </c>
      <c r="S166" s="21" t="str">
        <f t="shared" si="30"/>
        <v/>
      </c>
    </row>
    <row r="167" spans="6:19" x14ac:dyDescent="0.25">
      <c r="F167" s="21" t="str">
        <f>IFERROR(INDEX(PACK!$C:$C,MATCH($A167,PACK!$A:$A,0)),"")</f>
        <v/>
      </c>
      <c r="G167" s="21" t="str">
        <f>IFERROR(INDEX(PACK!$D:$D,MATCH($A167,PACK!$A:$A,0)),"")</f>
        <v/>
      </c>
      <c r="H167" s="21" t="str">
        <f>IFERROR(INDEX(PACK!$E:$E,MATCH($A167,PACK!$A:$A,0)),"")</f>
        <v/>
      </c>
      <c r="I167" s="21" t="str">
        <f t="shared" si="28"/>
        <v/>
      </c>
      <c r="J167" s="21" t="str">
        <f t="shared" si="31"/>
        <v/>
      </c>
      <c r="K167" s="21" t="str">
        <f t="shared" si="29"/>
        <v/>
      </c>
      <c r="L167" s="21" t="str">
        <f t="shared" si="32"/>
        <v/>
      </c>
      <c r="R167" s="21" t="str">
        <f>IFERROR(INDEX(PACK!$C:$C,MATCH($P167,PACK!$A:$A,0)),"")</f>
        <v/>
      </c>
      <c r="S167" s="21" t="str">
        <f t="shared" si="30"/>
        <v/>
      </c>
    </row>
    <row r="168" spans="6:19" x14ac:dyDescent="0.25">
      <c r="F168" s="21" t="str">
        <f>IFERROR(INDEX(PACK!$C:$C,MATCH($A168,PACK!$A:$A,0)),"")</f>
        <v/>
      </c>
      <c r="G168" s="21" t="str">
        <f>IFERROR(INDEX(PACK!$D:$D,MATCH($A168,PACK!$A:$A,0)),"")</f>
        <v/>
      </c>
      <c r="H168" s="21" t="str">
        <f>IFERROR(INDEX(PACK!$E:$E,MATCH($A168,PACK!$A:$A,0)),"")</f>
        <v/>
      </c>
      <c r="I168" s="21" t="str">
        <f t="shared" si="28"/>
        <v/>
      </c>
      <c r="J168" s="21" t="str">
        <f t="shared" si="31"/>
        <v/>
      </c>
      <c r="K168" s="21" t="str">
        <f t="shared" si="29"/>
        <v/>
      </c>
      <c r="L168" s="21" t="str">
        <f t="shared" si="32"/>
        <v/>
      </c>
      <c r="R168" s="21" t="str">
        <f>IFERROR(INDEX(PACK!$C:$C,MATCH($P168,PACK!$A:$A,0)),"")</f>
        <v/>
      </c>
      <c r="S168" s="21" t="str">
        <f t="shared" si="30"/>
        <v/>
      </c>
    </row>
    <row r="169" spans="6:19" x14ac:dyDescent="0.25">
      <c r="F169" s="21" t="str">
        <f>IFERROR(INDEX(PACK!$C:$C,MATCH($A169,PACK!$A:$A,0)),"")</f>
        <v/>
      </c>
      <c r="G169" s="21" t="str">
        <f>IFERROR(INDEX(PACK!$D:$D,MATCH($A169,PACK!$A:$A,0)),"")</f>
        <v/>
      </c>
      <c r="H169" s="21" t="str">
        <f>IFERROR(INDEX(PACK!$E:$E,MATCH($A169,PACK!$A:$A,0)),"")</f>
        <v/>
      </c>
      <c r="I169" s="21" t="str">
        <f t="shared" si="28"/>
        <v/>
      </c>
      <c r="J169" s="21" t="str">
        <f t="shared" si="31"/>
        <v/>
      </c>
      <c r="K169" s="21" t="str">
        <f t="shared" si="29"/>
        <v/>
      </c>
      <c r="L169" s="21" t="str">
        <f t="shared" si="32"/>
        <v/>
      </c>
      <c r="R169" s="21" t="str">
        <f>IFERROR(INDEX(PACK!$C:$C,MATCH($P169,PACK!$A:$A,0)),"")</f>
        <v/>
      </c>
      <c r="S169" s="21" t="str">
        <f t="shared" si="30"/>
        <v/>
      </c>
    </row>
    <row r="170" spans="6:19" x14ac:dyDescent="0.25">
      <c r="F170" s="21" t="str">
        <f>IFERROR(INDEX(PACK!$C:$C,MATCH($A170,PACK!$A:$A,0)),"")</f>
        <v/>
      </c>
      <c r="G170" s="21" t="str">
        <f>IFERROR(INDEX(PACK!$D:$D,MATCH($A170,PACK!$A:$A,0)),"")</f>
        <v/>
      </c>
      <c r="H170" s="21" t="str">
        <f>IFERROR(INDEX(PACK!$E:$E,MATCH($A170,PACK!$A:$A,0)),"")</f>
        <v/>
      </c>
      <c r="I170" s="21" t="str">
        <f t="shared" si="28"/>
        <v/>
      </c>
      <c r="J170" s="21" t="str">
        <f t="shared" si="31"/>
        <v/>
      </c>
      <c r="K170" s="21" t="str">
        <f t="shared" si="29"/>
        <v/>
      </c>
      <c r="L170" s="21" t="str">
        <f t="shared" si="32"/>
        <v/>
      </c>
      <c r="R170" s="21" t="str">
        <f>IFERROR(INDEX(PACK!$C:$C,MATCH($P170,PACK!$A:$A,0)),"")</f>
        <v/>
      </c>
      <c r="S170" s="21" t="str">
        <f t="shared" si="30"/>
        <v/>
      </c>
    </row>
    <row r="171" spans="6:19" x14ac:dyDescent="0.25">
      <c r="F171" s="21" t="str">
        <f>IFERROR(INDEX(PACK!$C:$C,MATCH($A171,PACK!$A:$A,0)),"")</f>
        <v/>
      </c>
      <c r="G171" s="21" t="str">
        <f>IFERROR(INDEX(PACK!$D:$D,MATCH($A171,PACK!$A:$A,0)),"")</f>
        <v/>
      </c>
      <c r="H171" s="21" t="str">
        <f>IFERROR(INDEX(PACK!$E:$E,MATCH($A171,PACK!$A:$A,0)),"")</f>
        <v/>
      </c>
      <c r="I171" s="21" t="str">
        <f t="shared" si="28"/>
        <v/>
      </c>
      <c r="J171" s="21" t="str">
        <f t="shared" si="31"/>
        <v/>
      </c>
      <c r="K171" s="21" t="str">
        <f t="shared" si="29"/>
        <v/>
      </c>
      <c r="L171" s="21" t="str">
        <f t="shared" si="32"/>
        <v/>
      </c>
      <c r="R171" s="21" t="str">
        <f>IFERROR(INDEX(PACK!$C:$C,MATCH($P171,PACK!$A:$A,0)),"")</f>
        <v/>
      </c>
      <c r="S171" s="21" t="str">
        <f t="shared" si="30"/>
        <v/>
      </c>
    </row>
    <row r="172" spans="6:19" x14ac:dyDescent="0.25">
      <c r="F172" s="21" t="str">
        <f>IFERROR(INDEX(PACK!$C:$C,MATCH($A172,PACK!$A:$A,0)),"")</f>
        <v/>
      </c>
      <c r="G172" s="21" t="str">
        <f>IFERROR(INDEX(PACK!$D:$D,MATCH($A172,PACK!$A:$A,0)),"")</f>
        <v/>
      </c>
      <c r="H172" s="21" t="str">
        <f>IFERROR(INDEX(PACK!$E:$E,MATCH($A172,PACK!$A:$A,0)),"")</f>
        <v/>
      </c>
      <c r="I172" s="21" t="str">
        <f t="shared" si="28"/>
        <v/>
      </c>
      <c r="J172" s="21" t="str">
        <f t="shared" si="31"/>
        <v/>
      </c>
      <c r="K172" s="21" t="str">
        <f t="shared" si="29"/>
        <v/>
      </c>
      <c r="L172" s="21" t="str">
        <f t="shared" si="32"/>
        <v/>
      </c>
      <c r="R172" s="21" t="str">
        <f>IFERROR(INDEX(PACK!$C:$C,MATCH($P172,PACK!$A:$A,0)),"")</f>
        <v/>
      </c>
      <c r="S172" s="21" t="str">
        <f t="shared" si="30"/>
        <v/>
      </c>
    </row>
    <row r="173" spans="6:19" x14ac:dyDescent="0.25">
      <c r="F173" s="21" t="str">
        <f>IFERROR(INDEX(PACK!$C:$C,MATCH($A173,PACK!$A:$A,0)),"")</f>
        <v/>
      </c>
      <c r="G173" s="21" t="str">
        <f>IFERROR(INDEX(PACK!$D:$D,MATCH($A173,PACK!$A:$A,0)),"")</f>
        <v/>
      </c>
      <c r="H173" s="21" t="str">
        <f>IFERROR(INDEX(PACK!$E:$E,MATCH($A173,PACK!$A:$A,0)),"")</f>
        <v/>
      </c>
      <c r="I173" s="21" t="str">
        <f t="shared" si="28"/>
        <v/>
      </c>
      <c r="J173" s="21" t="str">
        <f t="shared" si="31"/>
        <v/>
      </c>
      <c r="K173" s="21" t="str">
        <f t="shared" si="29"/>
        <v/>
      </c>
      <c r="L173" s="21" t="str">
        <f t="shared" si="32"/>
        <v/>
      </c>
      <c r="R173" s="21" t="str">
        <f>IFERROR(INDEX(PACK!$C:$C,MATCH($P173,PACK!$A:$A,0)),"")</f>
        <v/>
      </c>
      <c r="S173" s="21" t="str">
        <f t="shared" si="30"/>
        <v/>
      </c>
    </row>
    <row r="174" spans="6:19" x14ac:dyDescent="0.25">
      <c r="F174" s="21" t="str">
        <f>IFERROR(INDEX(PACK!$C:$C,MATCH($A174,PACK!$A:$A,0)),"")</f>
        <v/>
      </c>
      <c r="G174" s="21" t="str">
        <f>IFERROR(INDEX(PACK!$D:$D,MATCH($A174,PACK!$A:$A,0)),"")</f>
        <v/>
      </c>
      <c r="H174" s="21" t="str">
        <f>IFERROR(INDEX(PACK!$E:$E,MATCH($A174,PACK!$A:$A,0)),"")</f>
        <v/>
      </c>
      <c r="I174" s="21" t="str">
        <f t="shared" si="28"/>
        <v/>
      </c>
      <c r="J174" s="21" t="str">
        <f t="shared" si="31"/>
        <v/>
      </c>
      <c r="K174" s="21" t="str">
        <f t="shared" si="29"/>
        <v/>
      </c>
      <c r="L174" s="21" t="str">
        <f t="shared" si="32"/>
        <v/>
      </c>
      <c r="R174" s="21" t="str">
        <f>IFERROR(INDEX(PACK!$C:$C,MATCH($P174,PACK!$A:$A,0)),"")</f>
        <v/>
      </c>
      <c r="S174" s="21" t="str">
        <f t="shared" si="30"/>
        <v/>
      </c>
    </row>
    <row r="175" spans="6:19" x14ac:dyDescent="0.25">
      <c r="F175" s="21" t="str">
        <f>IFERROR(INDEX(PACK!$C:$C,MATCH($A175,PACK!$A:$A,0)),"")</f>
        <v/>
      </c>
      <c r="G175" s="21" t="str">
        <f>IFERROR(INDEX(PACK!$D:$D,MATCH($A175,PACK!$A:$A,0)),"")</f>
        <v/>
      </c>
      <c r="H175" s="21" t="str">
        <f>IFERROR(INDEX(PACK!$E:$E,MATCH($A175,PACK!$A:$A,0)),"")</f>
        <v/>
      </c>
      <c r="I175" s="21" t="str">
        <f t="shared" si="28"/>
        <v/>
      </c>
      <c r="J175" s="21" t="str">
        <f t="shared" si="31"/>
        <v/>
      </c>
      <c r="K175" s="21" t="str">
        <f t="shared" si="29"/>
        <v/>
      </c>
      <c r="L175" s="21" t="str">
        <f t="shared" si="32"/>
        <v/>
      </c>
      <c r="R175" s="21" t="str">
        <f>IFERROR(INDEX(PACK!$C:$C,MATCH($P175,PACK!$A:$A,0)),"")</f>
        <v/>
      </c>
      <c r="S175" s="21" t="str">
        <f t="shared" si="30"/>
        <v/>
      </c>
    </row>
    <row r="176" spans="6:19" x14ac:dyDescent="0.25">
      <c r="F176" s="21" t="str">
        <f>IFERROR(INDEX(PACK!$C:$C,MATCH($A176,PACK!$A:$A,0)),"")</f>
        <v/>
      </c>
      <c r="G176" s="21" t="str">
        <f>IFERROR(INDEX(PACK!$D:$D,MATCH($A176,PACK!$A:$A,0)),"")</f>
        <v/>
      </c>
      <c r="H176" s="21" t="str">
        <f>IFERROR(INDEX(PACK!$E:$E,MATCH($A176,PACK!$A:$A,0)),"")</f>
        <v/>
      </c>
      <c r="I176" s="21" t="str">
        <f t="shared" si="28"/>
        <v/>
      </c>
      <c r="J176" s="21" t="str">
        <f t="shared" si="31"/>
        <v/>
      </c>
      <c r="K176" s="21" t="str">
        <f t="shared" si="29"/>
        <v/>
      </c>
      <c r="L176" s="21" t="str">
        <f t="shared" si="32"/>
        <v/>
      </c>
      <c r="R176" s="21" t="str">
        <f>IFERROR(INDEX(PACK!$C:$C,MATCH($P176,PACK!$A:$A,0)),"")</f>
        <v/>
      </c>
      <c r="S176" s="21" t="str">
        <f t="shared" si="30"/>
        <v/>
      </c>
    </row>
    <row r="177" spans="6:19" x14ac:dyDescent="0.25">
      <c r="F177" s="21" t="str">
        <f>IFERROR(INDEX(PACK!$C:$C,MATCH($A177,PACK!$A:$A,0)),"")</f>
        <v/>
      </c>
      <c r="G177" s="21" t="str">
        <f>IFERROR(INDEX(PACK!$D:$D,MATCH($A177,PACK!$A:$A,0)),"")</f>
        <v/>
      </c>
      <c r="H177" s="21" t="str">
        <f>IFERROR(INDEX(PACK!$E:$E,MATCH($A177,PACK!$A:$A,0)),"")</f>
        <v/>
      </c>
      <c r="I177" s="21" t="str">
        <f t="shared" si="28"/>
        <v/>
      </c>
      <c r="J177" s="21" t="str">
        <f t="shared" si="31"/>
        <v/>
      </c>
      <c r="K177" s="21" t="str">
        <f t="shared" si="29"/>
        <v/>
      </c>
      <c r="L177" s="21" t="str">
        <f t="shared" si="32"/>
        <v/>
      </c>
      <c r="R177" s="21" t="str">
        <f>IFERROR(INDEX(PACK!$C:$C,MATCH($P177,PACK!$A:$A,0)),"")</f>
        <v/>
      </c>
      <c r="S177" s="21" t="str">
        <f t="shared" si="30"/>
        <v/>
      </c>
    </row>
    <row r="178" spans="6:19" x14ac:dyDescent="0.25">
      <c r="F178" s="21" t="str">
        <f>IFERROR(INDEX(PACK!$C:$C,MATCH($A178,PACK!$A:$A,0)),"")</f>
        <v/>
      </c>
      <c r="G178" s="21" t="str">
        <f>IFERROR(INDEX(PACK!$D:$D,MATCH($A178,PACK!$A:$A,0)),"")</f>
        <v/>
      </c>
      <c r="H178" s="21" t="str">
        <f>IFERROR(INDEX(PACK!$E:$E,MATCH($A178,PACK!$A:$A,0)),"")</f>
        <v/>
      </c>
      <c r="I178" s="21" t="str">
        <f t="shared" si="28"/>
        <v/>
      </c>
      <c r="J178" s="21" t="str">
        <f t="shared" si="31"/>
        <v/>
      </c>
      <c r="K178" s="21" t="str">
        <f t="shared" si="29"/>
        <v/>
      </c>
      <c r="L178" s="21" t="str">
        <f t="shared" si="32"/>
        <v/>
      </c>
      <c r="R178" s="21" t="str">
        <f>IFERROR(INDEX(PACK!$C:$C,MATCH($P178,PACK!$A:$A,0)),"")</f>
        <v/>
      </c>
      <c r="S178" s="21" t="str">
        <f t="shared" si="30"/>
        <v/>
      </c>
    </row>
    <row r="179" spans="6:19" x14ac:dyDescent="0.25">
      <c r="F179" s="21" t="str">
        <f>IFERROR(INDEX(PACK!$C:$C,MATCH($A179,PACK!$A:$A,0)),"")</f>
        <v/>
      </c>
      <c r="G179" s="21" t="str">
        <f>IFERROR(INDEX(PACK!$D:$D,MATCH($A179,PACK!$A:$A,0)),"")</f>
        <v/>
      </c>
      <c r="H179" s="21" t="str">
        <f>IFERROR(INDEX(PACK!$E:$E,MATCH($A179,PACK!$A:$A,0)),"")</f>
        <v/>
      </c>
      <c r="I179" s="21" t="str">
        <f t="shared" si="28"/>
        <v/>
      </c>
      <c r="J179" s="21" t="str">
        <f t="shared" si="31"/>
        <v/>
      </c>
      <c r="K179" s="21" t="str">
        <f t="shared" si="29"/>
        <v/>
      </c>
      <c r="L179" s="21" t="str">
        <f t="shared" si="32"/>
        <v/>
      </c>
      <c r="R179" s="21" t="str">
        <f>IFERROR(INDEX(PACK!$C:$C,MATCH($P179,PACK!$A:$A,0)),"")</f>
        <v/>
      </c>
      <c r="S179" s="21" t="str">
        <f t="shared" si="30"/>
        <v/>
      </c>
    </row>
    <row r="180" spans="6:19" x14ac:dyDescent="0.25">
      <c r="F180" s="21" t="str">
        <f>IFERROR(INDEX(PACK!$C:$C,MATCH($A180,PACK!$A:$A,0)),"")</f>
        <v/>
      </c>
      <c r="G180" s="21" t="str">
        <f>IFERROR(INDEX(PACK!$D:$D,MATCH($A180,PACK!$A:$A,0)),"")</f>
        <v/>
      </c>
      <c r="H180" s="21" t="str">
        <f>IFERROR(INDEX(PACK!$E:$E,MATCH($A180,PACK!$A:$A,0)),"")</f>
        <v/>
      </c>
      <c r="I180" s="21" t="str">
        <f t="shared" si="28"/>
        <v/>
      </c>
      <c r="J180" s="21" t="str">
        <f t="shared" si="31"/>
        <v/>
      </c>
      <c r="K180" s="21" t="str">
        <f t="shared" si="29"/>
        <v/>
      </c>
      <c r="L180" s="21" t="str">
        <f t="shared" si="32"/>
        <v/>
      </c>
      <c r="R180" s="21" t="str">
        <f>IFERROR(INDEX(PACK!$C:$C,MATCH($P180,PACK!$A:$A,0)),"")</f>
        <v/>
      </c>
      <c r="S180" s="21" t="str">
        <f t="shared" si="30"/>
        <v/>
      </c>
    </row>
    <row r="181" spans="6:19" x14ac:dyDescent="0.25">
      <c r="F181" s="21" t="str">
        <f>IFERROR(INDEX(PACK!$C:$C,MATCH($A181,PACK!$A:$A,0)),"")</f>
        <v/>
      </c>
      <c r="G181" s="21" t="str">
        <f>IFERROR(INDEX(PACK!$D:$D,MATCH($A181,PACK!$A:$A,0)),"")</f>
        <v/>
      </c>
      <c r="H181" s="21" t="str">
        <f>IFERROR(INDEX(PACK!$E:$E,MATCH($A181,PACK!$A:$A,0)),"")</f>
        <v/>
      </c>
      <c r="I181" s="21" t="str">
        <f t="shared" si="28"/>
        <v/>
      </c>
      <c r="J181" s="21" t="str">
        <f t="shared" si="31"/>
        <v/>
      </c>
      <c r="K181" s="21" t="str">
        <f t="shared" si="29"/>
        <v/>
      </c>
      <c r="L181" s="21" t="str">
        <f t="shared" si="32"/>
        <v/>
      </c>
      <c r="R181" s="21" t="str">
        <f>IFERROR(INDEX(PACK!$C:$C,MATCH($P181,PACK!$A:$A,0)),"")</f>
        <v/>
      </c>
      <c r="S181" s="21" t="str">
        <f t="shared" si="30"/>
        <v/>
      </c>
    </row>
    <row r="182" spans="6:19" x14ac:dyDescent="0.25">
      <c r="F182" s="21" t="str">
        <f>IFERROR(INDEX(PACK!$C:$C,MATCH($A182,PACK!$A:$A,0)),"")</f>
        <v/>
      </c>
      <c r="G182" s="21" t="str">
        <f>IFERROR(INDEX(PACK!$D:$D,MATCH($A182,PACK!$A:$A,0)),"")</f>
        <v/>
      </c>
      <c r="H182" s="21" t="str">
        <f>IFERROR(INDEX(PACK!$E:$E,MATCH($A182,PACK!$A:$A,0)),"")</f>
        <v/>
      </c>
      <c r="I182" s="21" t="str">
        <f t="shared" si="28"/>
        <v/>
      </c>
      <c r="J182" s="21" t="str">
        <f t="shared" si="31"/>
        <v/>
      </c>
      <c r="K182" s="21" t="str">
        <f t="shared" si="29"/>
        <v/>
      </c>
      <c r="L182" s="21" t="str">
        <f t="shared" si="32"/>
        <v/>
      </c>
      <c r="R182" s="21" t="str">
        <f>IFERROR(INDEX(PACK!$C:$C,MATCH($P182,PACK!$A:$A,0)),"")</f>
        <v/>
      </c>
      <c r="S182" s="21" t="str">
        <f t="shared" si="30"/>
        <v/>
      </c>
    </row>
    <row r="183" spans="6:19" x14ac:dyDescent="0.25">
      <c r="F183" s="21" t="str">
        <f>IFERROR(INDEX(PACK!$C:$C,MATCH($A183,PACK!$A:$A,0)),"")</f>
        <v/>
      </c>
      <c r="G183" s="21" t="str">
        <f>IFERROR(INDEX(PACK!$D:$D,MATCH($A183,PACK!$A:$A,0)),"")</f>
        <v/>
      </c>
      <c r="H183" s="21" t="str">
        <f>IFERROR(INDEX(PACK!$E:$E,MATCH($A183,PACK!$A:$A,0)),"")</f>
        <v/>
      </c>
      <c r="I183" s="21" t="str">
        <f t="shared" si="28"/>
        <v/>
      </c>
      <c r="J183" s="21" t="str">
        <f t="shared" si="31"/>
        <v/>
      </c>
      <c r="K183" s="21" t="str">
        <f t="shared" si="29"/>
        <v/>
      </c>
      <c r="L183" s="21" t="str">
        <f t="shared" si="32"/>
        <v/>
      </c>
      <c r="R183" s="21" t="str">
        <f>IFERROR(INDEX(PACK!$C:$C,MATCH($P183,PACK!$A:$A,0)),"")</f>
        <v/>
      </c>
      <c r="S183" s="21" t="str">
        <f t="shared" si="30"/>
        <v/>
      </c>
    </row>
    <row r="184" spans="6:19" x14ac:dyDescent="0.25">
      <c r="F184" s="21" t="str">
        <f>IFERROR(INDEX(PACK!$C:$C,MATCH($A184,PACK!$A:$A,0)),"")</f>
        <v/>
      </c>
      <c r="G184" s="21" t="str">
        <f>IFERROR(INDEX(PACK!$D:$D,MATCH($A184,PACK!$A:$A,0)),"")</f>
        <v/>
      </c>
      <c r="H184" s="21" t="str">
        <f>IFERROR(INDEX(PACK!$E:$E,MATCH($A184,PACK!$A:$A,0)),"")</f>
        <v/>
      </c>
      <c r="I184" s="21" t="str">
        <f t="shared" si="28"/>
        <v/>
      </c>
      <c r="J184" s="21" t="str">
        <f t="shared" si="31"/>
        <v/>
      </c>
      <c r="K184" s="21" t="str">
        <f t="shared" si="29"/>
        <v/>
      </c>
      <c r="L184" s="21" t="str">
        <f t="shared" si="32"/>
        <v/>
      </c>
      <c r="R184" s="21" t="str">
        <f>IFERROR(INDEX(PACK!$C:$C,MATCH($P184,PACK!$A:$A,0)),"")</f>
        <v/>
      </c>
      <c r="S184" s="21" t="str">
        <f t="shared" si="30"/>
        <v/>
      </c>
    </row>
    <row r="185" spans="6:19" x14ac:dyDescent="0.25">
      <c r="F185" s="21" t="str">
        <f>IFERROR(INDEX(PACK!$C:$C,MATCH($A185,PACK!$A:$A,0)),"")</f>
        <v/>
      </c>
      <c r="G185" s="21" t="str">
        <f>IFERROR(INDEX(PACK!$D:$D,MATCH($A185,PACK!$A:$A,0)),"")</f>
        <v/>
      </c>
      <c r="H185" s="21" t="str">
        <f>IFERROR(INDEX(PACK!$E:$E,MATCH($A185,PACK!$A:$A,0)),"")</f>
        <v/>
      </c>
      <c r="I185" s="21" t="str">
        <f t="shared" si="28"/>
        <v/>
      </c>
      <c r="J185" s="21" t="str">
        <f t="shared" si="31"/>
        <v/>
      </c>
      <c r="K185" s="21" t="str">
        <f t="shared" si="29"/>
        <v/>
      </c>
      <c r="L185" s="21" t="str">
        <f t="shared" si="32"/>
        <v/>
      </c>
      <c r="R185" s="21" t="str">
        <f>IFERROR(INDEX(PACK!$C:$C,MATCH($P185,PACK!$A:$A,0)),"")</f>
        <v/>
      </c>
      <c r="S185" s="21" t="str">
        <f t="shared" si="30"/>
        <v/>
      </c>
    </row>
    <row r="186" spans="6:19" x14ac:dyDescent="0.25">
      <c r="F186" s="21" t="str">
        <f>IFERROR(INDEX(PACK!$C:$C,MATCH($A186,PACK!$A:$A,0)),"")</f>
        <v/>
      </c>
      <c r="G186" s="21" t="str">
        <f>IFERROR(INDEX(PACK!$D:$D,MATCH($A186,PACK!$A:$A,0)),"")</f>
        <v/>
      </c>
      <c r="H186" s="21" t="str">
        <f>IFERROR(INDEX(PACK!$E:$E,MATCH($A186,PACK!$A:$A,0)),"")</f>
        <v/>
      </c>
      <c r="I186" s="21" t="str">
        <f t="shared" si="28"/>
        <v/>
      </c>
      <c r="J186" s="21" t="str">
        <f t="shared" si="31"/>
        <v/>
      </c>
      <c r="K186" s="21" t="str">
        <f t="shared" si="29"/>
        <v/>
      </c>
      <c r="L186" s="21" t="str">
        <f t="shared" si="32"/>
        <v/>
      </c>
      <c r="R186" s="21" t="str">
        <f>IFERROR(INDEX(PACK!$C:$C,MATCH($P186,PACK!$A:$A,0)),"")</f>
        <v/>
      </c>
      <c r="S186" s="21" t="str">
        <f t="shared" si="30"/>
        <v/>
      </c>
    </row>
    <row r="187" spans="6:19" x14ac:dyDescent="0.25">
      <c r="F187" s="21" t="str">
        <f>IFERROR(INDEX(PACK!$C:$C,MATCH($A187,PACK!$A:$A,0)),"")</f>
        <v/>
      </c>
      <c r="G187" s="21" t="str">
        <f>IFERROR(INDEX(PACK!$D:$D,MATCH($A187,PACK!$A:$A,0)),"")</f>
        <v/>
      </c>
      <c r="H187" s="21" t="str">
        <f>IFERROR(INDEX(PACK!$E:$E,MATCH($A187,PACK!$A:$A,0)),"")</f>
        <v/>
      </c>
      <c r="I187" s="21" t="str">
        <f t="shared" si="28"/>
        <v/>
      </c>
      <c r="J187" s="21" t="str">
        <f t="shared" si="31"/>
        <v/>
      </c>
      <c r="K187" s="21" t="str">
        <f t="shared" si="29"/>
        <v/>
      </c>
      <c r="L187" s="21" t="str">
        <f t="shared" si="32"/>
        <v/>
      </c>
      <c r="R187" s="21" t="str">
        <f>IFERROR(INDEX(PACK!$C:$C,MATCH($P187,PACK!$A:$A,0)),"")</f>
        <v/>
      </c>
      <c r="S187" s="21" t="str">
        <f t="shared" si="30"/>
        <v/>
      </c>
    </row>
    <row r="188" spans="6:19" x14ac:dyDescent="0.25">
      <c r="F188" s="21" t="str">
        <f>IFERROR(INDEX(PACK!$C:$C,MATCH($A188,PACK!$A:$A,0)),"")</f>
        <v/>
      </c>
      <c r="G188" s="21" t="str">
        <f>IFERROR(INDEX(PACK!$D:$D,MATCH($A188,PACK!$A:$A,0)),"")</f>
        <v/>
      </c>
      <c r="H188" s="21" t="str">
        <f>IFERROR(INDEX(PACK!$E:$E,MATCH($A188,PACK!$A:$A,0)),"")</f>
        <v/>
      </c>
      <c r="I188" s="21" t="str">
        <f t="shared" si="28"/>
        <v/>
      </c>
      <c r="J188" s="21" t="str">
        <f t="shared" si="31"/>
        <v/>
      </c>
      <c r="K188" s="21" t="str">
        <f t="shared" si="29"/>
        <v/>
      </c>
      <c r="L188" s="21" t="str">
        <f t="shared" si="32"/>
        <v/>
      </c>
      <c r="R188" s="21" t="str">
        <f>IFERROR(INDEX(PACK!$C:$C,MATCH($P188,PACK!$A:$A,0)),"")</f>
        <v/>
      </c>
      <c r="S188" s="21" t="str">
        <f t="shared" si="30"/>
        <v/>
      </c>
    </row>
    <row r="189" spans="6:19" x14ac:dyDescent="0.25">
      <c r="F189" s="21" t="str">
        <f>IFERROR(INDEX(PACK!$C:$C,MATCH($A189,PACK!$A:$A,0)),"")</f>
        <v/>
      </c>
      <c r="G189" s="21" t="str">
        <f>IFERROR(INDEX(PACK!$D:$D,MATCH($A189,PACK!$A:$A,0)),"")</f>
        <v/>
      </c>
      <c r="H189" s="21" t="str">
        <f>IFERROR(INDEX(PACK!$E:$E,MATCH($A189,PACK!$A:$A,0)),"")</f>
        <v/>
      </c>
      <c r="I189" s="21" t="str">
        <f t="shared" si="28"/>
        <v/>
      </c>
      <c r="J189" s="21" t="str">
        <f t="shared" si="31"/>
        <v/>
      </c>
      <c r="K189" s="21" t="str">
        <f t="shared" si="29"/>
        <v/>
      </c>
      <c r="L189" s="21" t="str">
        <f t="shared" si="32"/>
        <v/>
      </c>
      <c r="R189" s="21" t="str">
        <f>IFERROR(INDEX(PACK!$C:$C,MATCH($P189,PACK!$A:$A,0)),"")</f>
        <v/>
      </c>
      <c r="S189" s="21" t="str">
        <f t="shared" si="30"/>
        <v/>
      </c>
    </row>
    <row r="190" spans="6:19" x14ac:dyDescent="0.25">
      <c r="F190" s="21" t="str">
        <f>IFERROR(INDEX(PACK!$C:$C,MATCH($A190,PACK!$A:$A,0)),"")</f>
        <v/>
      </c>
      <c r="G190" s="21" t="str">
        <f>IFERROR(INDEX(PACK!$D:$D,MATCH($A190,PACK!$A:$A,0)),"")</f>
        <v/>
      </c>
      <c r="H190" s="21" t="str">
        <f>IFERROR(INDEX(PACK!$E:$E,MATCH($A190,PACK!$A:$A,0)),"")</f>
        <v/>
      </c>
      <c r="I190" s="21" t="str">
        <f t="shared" si="28"/>
        <v/>
      </c>
      <c r="J190" s="21" t="str">
        <f t="shared" si="31"/>
        <v/>
      </c>
      <c r="K190" s="21" t="str">
        <f t="shared" si="29"/>
        <v/>
      </c>
      <c r="L190" s="21" t="str">
        <f t="shared" si="32"/>
        <v/>
      </c>
      <c r="R190" s="21" t="str">
        <f>IFERROR(INDEX(PACK!$C:$C,MATCH($P190,PACK!$A:$A,0)),"")</f>
        <v/>
      </c>
      <c r="S190" s="21" t="str">
        <f t="shared" si="30"/>
        <v/>
      </c>
    </row>
    <row r="191" spans="6:19" x14ac:dyDescent="0.25">
      <c r="F191" s="21" t="str">
        <f>IFERROR(INDEX(PACK!$C:$C,MATCH($A191,PACK!$A:$A,0)),"")</f>
        <v/>
      </c>
      <c r="G191" s="21" t="str">
        <f>IFERROR(INDEX(PACK!$D:$D,MATCH($A191,PACK!$A:$A,0)),"")</f>
        <v/>
      </c>
      <c r="H191" s="21" t="str">
        <f>IFERROR(INDEX(PACK!$E:$E,MATCH($A191,PACK!$A:$A,0)),"")</f>
        <v/>
      </c>
      <c r="I191" s="21" t="str">
        <f t="shared" si="28"/>
        <v/>
      </c>
      <c r="J191" s="21" t="str">
        <f t="shared" si="31"/>
        <v/>
      </c>
      <c r="K191" s="21" t="str">
        <f t="shared" si="29"/>
        <v/>
      </c>
      <c r="L191" s="21" t="str">
        <f t="shared" si="32"/>
        <v/>
      </c>
      <c r="R191" s="21" t="str">
        <f>IFERROR(INDEX(PACK!$C:$C,MATCH($P191,PACK!$A:$A,0)),"")</f>
        <v/>
      </c>
      <c r="S191" s="21" t="str">
        <f t="shared" si="30"/>
        <v/>
      </c>
    </row>
    <row r="192" spans="6:19" x14ac:dyDescent="0.25">
      <c r="F192" s="21" t="str">
        <f>IFERROR(INDEX(PACK!$C:$C,MATCH($A192,PACK!$A:$A,0)),"")</f>
        <v/>
      </c>
      <c r="G192" s="21" t="str">
        <f>IFERROR(INDEX(PACK!$D:$D,MATCH($A192,PACK!$A:$A,0)),"")</f>
        <v/>
      </c>
      <c r="H192" s="21" t="str">
        <f>IFERROR(INDEX(PACK!$E:$E,MATCH($A192,PACK!$A:$A,0)),"")</f>
        <v/>
      </c>
      <c r="I192" s="21" t="str">
        <f t="shared" si="28"/>
        <v/>
      </c>
      <c r="J192" s="21" t="str">
        <f t="shared" si="31"/>
        <v/>
      </c>
      <c r="K192" s="21" t="str">
        <f t="shared" si="29"/>
        <v/>
      </c>
      <c r="L192" s="21" t="str">
        <f t="shared" si="32"/>
        <v/>
      </c>
      <c r="R192" s="21" t="str">
        <f>IFERROR(INDEX(PACK!$C:$C,MATCH($P192,PACK!$A:$A,0)),"")</f>
        <v/>
      </c>
      <c r="S192" s="21" t="str">
        <f t="shared" si="30"/>
        <v/>
      </c>
    </row>
    <row r="193" spans="6:19" x14ac:dyDescent="0.25">
      <c r="F193" s="21" t="str">
        <f>IFERROR(INDEX(PACK!$C:$C,MATCH($A193,PACK!$A:$A,0)),"")</f>
        <v/>
      </c>
      <c r="G193" s="21" t="str">
        <f>IFERROR(INDEX(PACK!$D:$D,MATCH($A193,PACK!$A:$A,0)),"")</f>
        <v/>
      </c>
      <c r="H193" s="21" t="str">
        <f>IFERROR(INDEX(PACK!$E:$E,MATCH($A193,PACK!$A:$A,0)),"")</f>
        <v/>
      </c>
      <c r="I193" s="21" t="str">
        <f t="shared" si="28"/>
        <v/>
      </c>
      <c r="J193" s="21" t="str">
        <f t="shared" si="31"/>
        <v/>
      </c>
      <c r="K193" s="21" t="str">
        <f t="shared" si="29"/>
        <v/>
      </c>
      <c r="L193" s="21" t="str">
        <f t="shared" si="32"/>
        <v/>
      </c>
      <c r="R193" s="21" t="str">
        <f>IFERROR(INDEX(PACK!$C:$C,MATCH($P193,PACK!$A:$A,0)),"")</f>
        <v/>
      </c>
      <c r="S193" s="21" t="str">
        <f t="shared" si="30"/>
        <v/>
      </c>
    </row>
    <row r="194" spans="6:19" x14ac:dyDescent="0.25">
      <c r="F194" s="21" t="str">
        <f>IFERROR(INDEX(PACK!$C:$C,MATCH($A194,PACK!$A:$A,0)),"")</f>
        <v/>
      </c>
      <c r="G194" s="21" t="str">
        <f>IFERROR(INDEX(PACK!$D:$D,MATCH($A194,PACK!$A:$A,0)),"")</f>
        <v/>
      </c>
      <c r="H194" s="21" t="str">
        <f>IFERROR(INDEX(PACK!$E:$E,MATCH($A194,PACK!$A:$A,0)),"")</f>
        <v/>
      </c>
      <c r="I194" s="21" t="str">
        <f t="shared" si="28"/>
        <v/>
      </c>
      <c r="J194" s="21" t="str">
        <f t="shared" si="31"/>
        <v/>
      </c>
      <c r="K194" s="21" t="str">
        <f t="shared" si="29"/>
        <v/>
      </c>
      <c r="L194" s="21" t="str">
        <f t="shared" si="32"/>
        <v/>
      </c>
      <c r="R194" s="21" t="str">
        <f>IFERROR(INDEX(PACK!$C:$C,MATCH($P194,PACK!$A:$A,0)),"")</f>
        <v/>
      </c>
      <c r="S194" s="21" t="str">
        <f t="shared" si="30"/>
        <v/>
      </c>
    </row>
    <row r="195" spans="6:19" x14ac:dyDescent="0.25">
      <c r="F195" s="21" t="str">
        <f>IFERROR(INDEX(PACK!$C:$C,MATCH($A195,PACK!$A:$A,0)),"")</f>
        <v/>
      </c>
      <c r="G195" s="21" t="str">
        <f>IFERROR(INDEX(PACK!$D:$D,MATCH($A195,PACK!$A:$A,0)),"")</f>
        <v/>
      </c>
      <c r="H195" s="21" t="str">
        <f>IFERROR(INDEX(PACK!$E:$E,MATCH($A195,PACK!$A:$A,0)),"")</f>
        <v/>
      </c>
      <c r="I195" s="21" t="str">
        <f t="shared" ref="I195:I258" si="33">IFERROR(C195/F195,"")</f>
        <v/>
      </c>
      <c r="J195" s="21" t="str">
        <f t="shared" si="31"/>
        <v/>
      </c>
      <c r="K195" s="21" t="str">
        <f t="shared" ref="K195:K258" si="34">IFERROR(MOD(I195,H195),"")</f>
        <v/>
      </c>
      <c r="L195" s="21" t="str">
        <f t="shared" si="32"/>
        <v/>
      </c>
      <c r="R195" s="21" t="str">
        <f>IFERROR(INDEX(PACK!$C:$C,MATCH($P195,PACK!$A:$A,0)),"")</f>
        <v/>
      </c>
      <c r="S195" s="21" t="str">
        <f t="shared" ref="S195:S258" si="35">IFERROR(Q195/R195,"")</f>
        <v/>
      </c>
    </row>
    <row r="196" spans="6:19" x14ac:dyDescent="0.25">
      <c r="F196" s="21" t="str">
        <f>IFERROR(INDEX(PACK!$C:$C,MATCH($A196,PACK!$A:$A,0)),"")</f>
        <v/>
      </c>
      <c r="G196" s="21" t="str">
        <f>IFERROR(INDEX(PACK!$D:$D,MATCH($A196,PACK!$A:$A,0)),"")</f>
        <v/>
      </c>
      <c r="H196" s="21" t="str">
        <f>IFERROR(INDEX(PACK!$E:$E,MATCH($A196,PACK!$A:$A,0)),"")</f>
        <v/>
      </c>
      <c r="I196" s="21" t="str">
        <f t="shared" si="33"/>
        <v/>
      </c>
      <c r="J196" s="21" t="str">
        <f t="shared" si="31"/>
        <v/>
      </c>
      <c r="K196" s="21" t="str">
        <f t="shared" si="34"/>
        <v/>
      </c>
      <c r="L196" s="21" t="str">
        <f t="shared" si="32"/>
        <v/>
      </c>
      <c r="R196" s="21" t="str">
        <f>IFERROR(INDEX(PACK!$C:$C,MATCH($P196,PACK!$A:$A,0)),"")</f>
        <v/>
      </c>
      <c r="S196" s="21" t="str">
        <f t="shared" si="35"/>
        <v/>
      </c>
    </row>
    <row r="197" spans="6:19" x14ac:dyDescent="0.25">
      <c r="F197" s="21" t="str">
        <f>IFERROR(INDEX(PACK!$C:$C,MATCH($A197,PACK!$A:$A,0)),"")</f>
        <v/>
      </c>
      <c r="G197" s="21" t="str">
        <f>IFERROR(INDEX(PACK!$D:$D,MATCH($A197,PACK!$A:$A,0)),"")</f>
        <v/>
      </c>
      <c r="H197" s="21" t="str">
        <f>IFERROR(INDEX(PACK!$E:$E,MATCH($A197,PACK!$A:$A,0)),"")</f>
        <v/>
      </c>
      <c r="I197" s="21" t="str">
        <f t="shared" si="33"/>
        <v/>
      </c>
      <c r="J197" s="21" t="str">
        <f t="shared" si="31"/>
        <v/>
      </c>
      <c r="K197" s="21" t="str">
        <f t="shared" si="34"/>
        <v/>
      </c>
      <c r="L197" s="21" t="str">
        <f t="shared" si="32"/>
        <v/>
      </c>
      <c r="R197" s="21" t="str">
        <f>IFERROR(INDEX(PACK!$C:$C,MATCH($P197,PACK!$A:$A,0)),"")</f>
        <v/>
      </c>
      <c r="S197" s="21" t="str">
        <f t="shared" si="35"/>
        <v/>
      </c>
    </row>
    <row r="198" spans="6:19" x14ac:dyDescent="0.25">
      <c r="F198" s="21" t="str">
        <f>IFERROR(INDEX(PACK!$C:$C,MATCH($A198,PACK!$A:$A,0)),"")</f>
        <v/>
      </c>
      <c r="G198" s="21" t="str">
        <f>IFERROR(INDEX(PACK!$D:$D,MATCH($A198,PACK!$A:$A,0)),"")</f>
        <v/>
      </c>
      <c r="H198" s="21" t="str">
        <f>IFERROR(INDEX(PACK!$E:$E,MATCH($A198,PACK!$A:$A,0)),"")</f>
        <v/>
      </c>
      <c r="I198" s="21" t="str">
        <f t="shared" si="33"/>
        <v/>
      </c>
      <c r="J198" s="21" t="str">
        <f t="shared" si="31"/>
        <v/>
      </c>
      <c r="K198" s="21" t="str">
        <f t="shared" si="34"/>
        <v/>
      </c>
      <c r="L198" s="21" t="str">
        <f t="shared" si="32"/>
        <v/>
      </c>
      <c r="R198" s="21" t="str">
        <f>IFERROR(INDEX(PACK!$C:$C,MATCH($P198,PACK!$A:$A,0)),"")</f>
        <v/>
      </c>
      <c r="S198" s="21" t="str">
        <f t="shared" si="35"/>
        <v/>
      </c>
    </row>
    <row r="199" spans="6:19" x14ac:dyDescent="0.25">
      <c r="F199" s="21" t="str">
        <f>IFERROR(INDEX(PACK!$C:$C,MATCH($A199,PACK!$A:$A,0)),"")</f>
        <v/>
      </c>
      <c r="G199" s="21" t="str">
        <f>IFERROR(INDEX(PACK!$D:$D,MATCH($A199,PACK!$A:$A,0)),"")</f>
        <v/>
      </c>
      <c r="H199" s="21" t="str">
        <f>IFERROR(INDEX(PACK!$E:$E,MATCH($A199,PACK!$A:$A,0)),"")</f>
        <v/>
      </c>
      <c r="I199" s="21" t="str">
        <f t="shared" si="33"/>
        <v/>
      </c>
      <c r="J199" s="21" t="str">
        <f t="shared" si="31"/>
        <v/>
      </c>
      <c r="K199" s="21" t="str">
        <f t="shared" si="34"/>
        <v/>
      </c>
      <c r="L199" s="21" t="str">
        <f t="shared" si="32"/>
        <v/>
      </c>
      <c r="R199" s="21" t="str">
        <f>IFERROR(INDEX(PACK!$C:$C,MATCH($P199,PACK!$A:$A,0)),"")</f>
        <v/>
      </c>
      <c r="S199" s="21" t="str">
        <f t="shared" si="35"/>
        <v/>
      </c>
    </row>
    <row r="200" spans="6:19" x14ac:dyDescent="0.25">
      <c r="F200" s="21" t="str">
        <f>IFERROR(INDEX(PACK!$C:$C,MATCH($A200,PACK!$A:$A,0)),"")</f>
        <v/>
      </c>
      <c r="G200" s="21" t="str">
        <f>IFERROR(INDEX(PACK!$D:$D,MATCH($A200,PACK!$A:$A,0)),"")</f>
        <v/>
      </c>
      <c r="H200" s="21" t="str">
        <f>IFERROR(INDEX(PACK!$E:$E,MATCH($A200,PACK!$A:$A,0)),"")</f>
        <v/>
      </c>
      <c r="I200" s="21" t="str">
        <f t="shared" si="33"/>
        <v/>
      </c>
      <c r="J200" s="21" t="str">
        <f t="shared" si="31"/>
        <v/>
      </c>
      <c r="K200" s="21" t="str">
        <f t="shared" si="34"/>
        <v/>
      </c>
      <c r="L200" s="21" t="str">
        <f t="shared" si="32"/>
        <v/>
      </c>
      <c r="R200" s="21" t="str">
        <f>IFERROR(INDEX(PACK!$C:$C,MATCH($P200,PACK!$A:$A,0)),"")</f>
        <v/>
      </c>
      <c r="S200" s="21" t="str">
        <f t="shared" si="35"/>
        <v/>
      </c>
    </row>
    <row r="201" spans="6:19" x14ac:dyDescent="0.25">
      <c r="F201" s="21" t="str">
        <f>IFERROR(INDEX(PACK!$C:$C,MATCH($A201,PACK!$A:$A,0)),"")</f>
        <v/>
      </c>
      <c r="G201" s="21" t="str">
        <f>IFERROR(INDEX(PACK!$D:$D,MATCH($A201,PACK!$A:$A,0)),"")</f>
        <v/>
      </c>
      <c r="H201" s="21" t="str">
        <f>IFERROR(INDEX(PACK!$E:$E,MATCH($A201,PACK!$A:$A,0)),"")</f>
        <v/>
      </c>
      <c r="I201" s="21" t="str">
        <f t="shared" si="33"/>
        <v/>
      </c>
      <c r="J201" s="21" t="str">
        <f t="shared" si="31"/>
        <v/>
      </c>
      <c r="K201" s="21" t="str">
        <f t="shared" si="34"/>
        <v/>
      </c>
      <c r="L201" s="21" t="str">
        <f t="shared" si="32"/>
        <v/>
      </c>
      <c r="R201" s="21" t="str">
        <f>IFERROR(INDEX(PACK!$C:$C,MATCH($P201,PACK!$A:$A,0)),"")</f>
        <v/>
      </c>
      <c r="S201" s="21" t="str">
        <f t="shared" si="35"/>
        <v/>
      </c>
    </row>
    <row r="202" spans="6:19" x14ac:dyDescent="0.25">
      <c r="F202" s="21" t="str">
        <f>IFERROR(INDEX(PACK!$C:$C,MATCH($A202,PACK!$A:$A,0)),"")</f>
        <v/>
      </c>
      <c r="G202" s="21" t="str">
        <f>IFERROR(INDEX(PACK!$D:$D,MATCH($A202,PACK!$A:$A,0)),"")</f>
        <v/>
      </c>
      <c r="H202" s="21" t="str">
        <f>IFERROR(INDEX(PACK!$E:$E,MATCH($A202,PACK!$A:$A,0)),"")</f>
        <v/>
      </c>
      <c r="I202" s="21" t="str">
        <f t="shared" si="33"/>
        <v/>
      </c>
      <c r="J202" s="21" t="str">
        <f t="shared" si="31"/>
        <v/>
      </c>
      <c r="K202" s="21" t="str">
        <f t="shared" si="34"/>
        <v/>
      </c>
      <c r="L202" s="21" t="str">
        <f t="shared" si="32"/>
        <v/>
      </c>
      <c r="R202" s="21" t="str">
        <f>IFERROR(INDEX(PACK!$C:$C,MATCH($P202,PACK!$A:$A,0)),"")</f>
        <v/>
      </c>
      <c r="S202" s="21" t="str">
        <f t="shared" si="35"/>
        <v/>
      </c>
    </row>
    <row r="203" spans="6:19" x14ac:dyDescent="0.25">
      <c r="F203" s="21" t="str">
        <f>IFERROR(INDEX(PACK!$C:$C,MATCH($A203,PACK!$A:$A,0)),"")</f>
        <v/>
      </c>
      <c r="G203" s="21" t="str">
        <f>IFERROR(INDEX(PACK!$D:$D,MATCH($A203,PACK!$A:$A,0)),"")</f>
        <v/>
      </c>
      <c r="H203" s="21" t="str">
        <f>IFERROR(INDEX(PACK!$E:$E,MATCH($A203,PACK!$A:$A,0)),"")</f>
        <v/>
      </c>
      <c r="I203" s="21" t="str">
        <f t="shared" si="33"/>
        <v/>
      </c>
      <c r="J203" s="21" t="str">
        <f t="shared" si="31"/>
        <v/>
      </c>
      <c r="K203" s="21" t="str">
        <f t="shared" si="34"/>
        <v/>
      </c>
      <c r="L203" s="21" t="str">
        <f t="shared" si="32"/>
        <v/>
      </c>
      <c r="R203" s="21" t="str">
        <f>IFERROR(INDEX(PACK!$C:$C,MATCH($P203,PACK!$A:$A,0)),"")</f>
        <v/>
      </c>
      <c r="S203" s="21" t="str">
        <f t="shared" si="35"/>
        <v/>
      </c>
    </row>
    <row r="204" spans="6:19" x14ac:dyDescent="0.25">
      <c r="F204" s="21" t="str">
        <f>IFERROR(INDEX(PACK!$C:$C,MATCH($A204,PACK!$A:$A,0)),"")</f>
        <v/>
      </c>
      <c r="G204" s="21" t="str">
        <f>IFERROR(INDEX(PACK!$D:$D,MATCH($A204,PACK!$A:$A,0)),"")</f>
        <v/>
      </c>
      <c r="H204" s="21" t="str">
        <f>IFERROR(INDEX(PACK!$E:$E,MATCH($A204,PACK!$A:$A,0)),"")</f>
        <v/>
      </c>
      <c r="I204" s="21" t="str">
        <f t="shared" si="33"/>
        <v/>
      </c>
      <c r="J204" s="21" t="str">
        <f t="shared" si="31"/>
        <v/>
      </c>
      <c r="K204" s="21" t="str">
        <f t="shared" si="34"/>
        <v/>
      </c>
      <c r="L204" s="21" t="str">
        <f t="shared" si="32"/>
        <v/>
      </c>
      <c r="R204" s="21" t="str">
        <f>IFERROR(INDEX(PACK!$C:$C,MATCH($P204,PACK!$A:$A,0)),"")</f>
        <v/>
      </c>
      <c r="S204" s="21" t="str">
        <f t="shared" si="35"/>
        <v/>
      </c>
    </row>
    <row r="205" spans="6:19" x14ac:dyDescent="0.25">
      <c r="F205" s="21" t="str">
        <f>IFERROR(INDEX(PACK!$C:$C,MATCH($A205,PACK!$A:$A,0)),"")</f>
        <v/>
      </c>
      <c r="G205" s="21" t="str">
        <f>IFERROR(INDEX(PACK!$D:$D,MATCH($A205,PACK!$A:$A,0)),"")</f>
        <v/>
      </c>
      <c r="H205" s="21" t="str">
        <f>IFERROR(INDEX(PACK!$E:$E,MATCH($A205,PACK!$A:$A,0)),"")</f>
        <v/>
      </c>
      <c r="I205" s="21" t="str">
        <f t="shared" si="33"/>
        <v/>
      </c>
      <c r="J205" s="21" t="str">
        <f t="shared" si="31"/>
        <v/>
      </c>
      <c r="K205" s="21" t="str">
        <f t="shared" si="34"/>
        <v/>
      </c>
      <c r="L205" s="21" t="str">
        <f t="shared" si="32"/>
        <v/>
      </c>
      <c r="R205" s="21" t="str">
        <f>IFERROR(INDEX(PACK!$C:$C,MATCH($P205,PACK!$A:$A,0)),"")</f>
        <v/>
      </c>
      <c r="S205" s="21" t="str">
        <f t="shared" si="35"/>
        <v/>
      </c>
    </row>
    <row r="206" spans="6:19" x14ac:dyDescent="0.25">
      <c r="F206" s="21" t="str">
        <f>IFERROR(INDEX(PACK!$C:$C,MATCH($A206,PACK!$A:$A,0)),"")</f>
        <v/>
      </c>
      <c r="G206" s="21" t="str">
        <f>IFERROR(INDEX(PACK!$D:$D,MATCH($A206,PACK!$A:$A,0)),"")</f>
        <v/>
      </c>
      <c r="H206" s="21" t="str">
        <f>IFERROR(INDEX(PACK!$E:$E,MATCH($A206,PACK!$A:$A,0)),"")</f>
        <v/>
      </c>
      <c r="I206" s="21" t="str">
        <f t="shared" si="33"/>
        <v/>
      </c>
      <c r="J206" s="21" t="str">
        <f t="shared" si="31"/>
        <v/>
      </c>
      <c r="K206" s="21" t="str">
        <f t="shared" si="34"/>
        <v/>
      </c>
      <c r="L206" s="21" t="str">
        <f t="shared" si="32"/>
        <v/>
      </c>
      <c r="R206" s="21" t="str">
        <f>IFERROR(INDEX(PACK!$C:$C,MATCH($P206,PACK!$A:$A,0)),"")</f>
        <v/>
      </c>
      <c r="S206" s="21" t="str">
        <f t="shared" si="35"/>
        <v/>
      </c>
    </row>
    <row r="207" spans="6:19" x14ac:dyDescent="0.25">
      <c r="F207" s="21" t="str">
        <f>IFERROR(INDEX(PACK!$C:$C,MATCH($A207,PACK!$A:$A,0)),"")</f>
        <v/>
      </c>
      <c r="G207" s="21" t="str">
        <f>IFERROR(INDEX(PACK!$D:$D,MATCH($A207,PACK!$A:$A,0)),"")</f>
        <v/>
      </c>
      <c r="H207" s="21" t="str">
        <f>IFERROR(INDEX(PACK!$E:$E,MATCH($A207,PACK!$A:$A,0)),"")</f>
        <v/>
      </c>
      <c r="I207" s="21" t="str">
        <f t="shared" si="33"/>
        <v/>
      </c>
      <c r="J207" s="21" t="str">
        <f t="shared" si="31"/>
        <v/>
      </c>
      <c r="K207" s="21" t="str">
        <f t="shared" si="34"/>
        <v/>
      </c>
      <c r="L207" s="21" t="str">
        <f t="shared" si="32"/>
        <v/>
      </c>
      <c r="R207" s="21" t="str">
        <f>IFERROR(INDEX(PACK!$C:$C,MATCH($P207,PACK!$A:$A,0)),"")</f>
        <v/>
      </c>
      <c r="S207" s="21" t="str">
        <f t="shared" si="35"/>
        <v/>
      </c>
    </row>
    <row r="208" spans="6:19" x14ac:dyDescent="0.25">
      <c r="F208" s="21" t="str">
        <f>IFERROR(INDEX(PACK!$C:$C,MATCH($A208,PACK!$A:$A,0)),"")</f>
        <v/>
      </c>
      <c r="G208" s="21" t="str">
        <f>IFERROR(INDEX(PACK!$D:$D,MATCH($A208,PACK!$A:$A,0)),"")</f>
        <v/>
      </c>
      <c r="H208" s="21" t="str">
        <f>IFERROR(INDEX(PACK!$E:$E,MATCH($A208,PACK!$A:$A,0)),"")</f>
        <v/>
      </c>
      <c r="I208" s="21" t="str">
        <f t="shared" si="33"/>
        <v/>
      </c>
      <c r="J208" s="21" t="str">
        <f t="shared" si="31"/>
        <v/>
      </c>
      <c r="K208" s="21" t="str">
        <f t="shared" si="34"/>
        <v/>
      </c>
      <c r="L208" s="21" t="str">
        <f t="shared" si="32"/>
        <v/>
      </c>
      <c r="R208" s="21" t="str">
        <f>IFERROR(INDEX(PACK!$C:$C,MATCH($P208,PACK!$A:$A,0)),"")</f>
        <v/>
      </c>
      <c r="S208" s="21" t="str">
        <f t="shared" si="35"/>
        <v/>
      </c>
    </row>
    <row r="209" spans="6:19" x14ac:dyDescent="0.25">
      <c r="F209" s="21" t="str">
        <f>IFERROR(INDEX(PACK!$C:$C,MATCH($A209,PACK!$A:$A,0)),"")</f>
        <v/>
      </c>
      <c r="G209" s="21" t="str">
        <f>IFERROR(INDEX(PACK!$D:$D,MATCH($A209,PACK!$A:$A,0)),"")</f>
        <v/>
      </c>
      <c r="H209" s="21" t="str">
        <f>IFERROR(INDEX(PACK!$E:$E,MATCH($A209,PACK!$A:$A,0)),"")</f>
        <v/>
      </c>
      <c r="I209" s="21" t="str">
        <f t="shared" si="33"/>
        <v/>
      </c>
      <c r="J209" s="21" t="str">
        <f t="shared" si="31"/>
        <v/>
      </c>
      <c r="K209" s="21" t="str">
        <f t="shared" si="34"/>
        <v/>
      </c>
      <c r="L209" s="21" t="str">
        <f t="shared" si="32"/>
        <v/>
      </c>
      <c r="R209" s="21" t="str">
        <f>IFERROR(INDEX(PACK!$C:$C,MATCH($P209,PACK!$A:$A,0)),"")</f>
        <v/>
      </c>
      <c r="S209" s="21" t="str">
        <f t="shared" si="35"/>
        <v/>
      </c>
    </row>
    <row r="210" spans="6:19" x14ac:dyDescent="0.25">
      <c r="F210" s="21" t="str">
        <f>IFERROR(INDEX(PACK!$C:$C,MATCH($A210,PACK!$A:$A,0)),"")</f>
        <v/>
      </c>
      <c r="G210" s="21" t="str">
        <f>IFERROR(INDEX(PACK!$D:$D,MATCH($A210,PACK!$A:$A,0)),"")</f>
        <v/>
      </c>
      <c r="H210" s="21" t="str">
        <f>IFERROR(INDEX(PACK!$E:$E,MATCH($A210,PACK!$A:$A,0)),"")</f>
        <v/>
      </c>
      <c r="I210" s="21" t="str">
        <f t="shared" si="33"/>
        <v/>
      </c>
      <c r="J210" s="21" t="str">
        <f t="shared" si="31"/>
        <v/>
      </c>
      <c r="K210" s="21" t="str">
        <f t="shared" si="34"/>
        <v/>
      </c>
      <c r="L210" s="21" t="str">
        <f t="shared" si="32"/>
        <v/>
      </c>
      <c r="R210" s="21" t="str">
        <f>IFERROR(INDEX(PACK!$C:$C,MATCH($P210,PACK!$A:$A,0)),"")</f>
        <v/>
      </c>
      <c r="S210" s="21" t="str">
        <f t="shared" si="35"/>
        <v/>
      </c>
    </row>
    <row r="211" spans="6:19" x14ac:dyDescent="0.25">
      <c r="F211" s="21" t="str">
        <f>IFERROR(INDEX(PACK!$C:$C,MATCH($A211,PACK!$A:$A,0)),"")</f>
        <v/>
      </c>
      <c r="G211" s="21" t="str">
        <f>IFERROR(INDEX(PACK!$D:$D,MATCH($A211,PACK!$A:$A,0)),"")</f>
        <v/>
      </c>
      <c r="H211" s="21" t="str">
        <f>IFERROR(INDEX(PACK!$E:$E,MATCH($A211,PACK!$A:$A,0)),"")</f>
        <v/>
      </c>
      <c r="I211" s="21" t="str">
        <f t="shared" si="33"/>
        <v/>
      </c>
      <c r="J211" s="21" t="str">
        <f t="shared" si="31"/>
        <v/>
      </c>
      <c r="K211" s="21" t="str">
        <f t="shared" si="34"/>
        <v/>
      </c>
      <c r="L211" s="21" t="str">
        <f t="shared" si="32"/>
        <v/>
      </c>
      <c r="R211" s="21" t="str">
        <f>IFERROR(INDEX(PACK!$C:$C,MATCH($P211,PACK!$A:$A,0)),"")</f>
        <v/>
      </c>
      <c r="S211" s="21" t="str">
        <f t="shared" si="35"/>
        <v/>
      </c>
    </row>
    <row r="212" spans="6:19" x14ac:dyDescent="0.25">
      <c r="F212" s="21" t="str">
        <f>IFERROR(INDEX(PACK!$C:$C,MATCH($A212,PACK!$A:$A,0)),"")</f>
        <v/>
      </c>
      <c r="G212" s="21" t="str">
        <f>IFERROR(INDEX(PACK!$D:$D,MATCH($A212,PACK!$A:$A,0)),"")</f>
        <v/>
      </c>
      <c r="H212" s="21" t="str">
        <f>IFERROR(INDEX(PACK!$E:$E,MATCH($A212,PACK!$A:$A,0)),"")</f>
        <v/>
      </c>
      <c r="I212" s="21" t="str">
        <f t="shared" si="33"/>
        <v/>
      </c>
      <c r="J212" s="21" t="str">
        <f t="shared" si="31"/>
        <v/>
      </c>
      <c r="K212" s="21" t="str">
        <f t="shared" si="34"/>
        <v/>
      </c>
      <c r="L212" s="21" t="str">
        <f t="shared" si="32"/>
        <v/>
      </c>
      <c r="R212" s="21" t="str">
        <f>IFERROR(INDEX(PACK!$C:$C,MATCH($P212,PACK!$A:$A,0)),"")</f>
        <v/>
      </c>
      <c r="S212" s="21" t="str">
        <f t="shared" si="35"/>
        <v/>
      </c>
    </row>
    <row r="213" spans="6:19" x14ac:dyDescent="0.25">
      <c r="F213" s="21" t="str">
        <f>IFERROR(INDEX(PACK!$C:$C,MATCH($A213,PACK!$A:$A,0)),"")</f>
        <v/>
      </c>
      <c r="G213" s="21" t="str">
        <f>IFERROR(INDEX(PACK!$D:$D,MATCH($A213,PACK!$A:$A,0)),"")</f>
        <v/>
      </c>
      <c r="H213" s="21" t="str">
        <f>IFERROR(INDEX(PACK!$E:$E,MATCH($A213,PACK!$A:$A,0)),"")</f>
        <v/>
      </c>
      <c r="I213" s="21" t="str">
        <f t="shared" si="33"/>
        <v/>
      </c>
      <c r="J213" s="21" t="str">
        <f t="shared" si="31"/>
        <v/>
      </c>
      <c r="K213" s="21" t="str">
        <f t="shared" si="34"/>
        <v/>
      </c>
      <c r="L213" s="21" t="str">
        <f t="shared" si="32"/>
        <v/>
      </c>
      <c r="R213" s="21" t="str">
        <f>IFERROR(INDEX(PACK!$C:$C,MATCH($P213,PACK!$A:$A,0)),"")</f>
        <v/>
      </c>
      <c r="S213" s="21" t="str">
        <f t="shared" si="35"/>
        <v/>
      </c>
    </row>
    <row r="214" spans="6:19" x14ac:dyDescent="0.25">
      <c r="F214" s="21" t="str">
        <f>IFERROR(INDEX(PACK!$C:$C,MATCH($A214,PACK!$A:$A,0)),"")</f>
        <v/>
      </c>
      <c r="G214" s="21" t="str">
        <f>IFERROR(INDEX(PACK!$D:$D,MATCH($A214,PACK!$A:$A,0)),"")</f>
        <v/>
      </c>
      <c r="H214" s="21" t="str">
        <f>IFERROR(INDEX(PACK!$E:$E,MATCH($A214,PACK!$A:$A,0)),"")</f>
        <v/>
      </c>
      <c r="I214" s="21" t="str">
        <f t="shared" si="33"/>
        <v/>
      </c>
      <c r="J214" s="21" t="str">
        <f t="shared" si="31"/>
        <v/>
      </c>
      <c r="K214" s="21" t="str">
        <f t="shared" si="34"/>
        <v/>
      </c>
      <c r="L214" s="21" t="str">
        <f t="shared" si="32"/>
        <v/>
      </c>
      <c r="R214" s="21" t="str">
        <f>IFERROR(INDEX(PACK!$C:$C,MATCH($P214,PACK!$A:$A,0)),"")</f>
        <v/>
      </c>
      <c r="S214" s="21" t="str">
        <f t="shared" si="35"/>
        <v/>
      </c>
    </row>
    <row r="215" spans="6:19" x14ac:dyDescent="0.25">
      <c r="F215" s="21" t="str">
        <f>IFERROR(INDEX(PACK!$C:$C,MATCH($A215,PACK!$A:$A,0)),"")</f>
        <v/>
      </c>
      <c r="G215" s="21" t="str">
        <f>IFERROR(INDEX(PACK!$D:$D,MATCH($A215,PACK!$A:$A,0)),"")</f>
        <v/>
      </c>
      <c r="H215" s="21" t="str">
        <f>IFERROR(INDEX(PACK!$E:$E,MATCH($A215,PACK!$A:$A,0)),"")</f>
        <v/>
      </c>
      <c r="I215" s="21" t="str">
        <f t="shared" si="33"/>
        <v/>
      </c>
      <c r="J215" s="21" t="str">
        <f t="shared" ref="J215:J278" si="36">IFERROR(ROUNDDOWN(C215/G215,0),"")</f>
        <v/>
      </c>
      <c r="K215" s="21" t="str">
        <f t="shared" si="34"/>
        <v/>
      </c>
      <c r="L215" s="21" t="str">
        <f t="shared" ref="L215:L278" si="37">IFERROR(K215*F215,"")</f>
        <v/>
      </c>
      <c r="R215" s="21" t="str">
        <f>IFERROR(INDEX(PACK!$C:$C,MATCH($P215,PACK!$A:$A,0)),"")</f>
        <v/>
      </c>
      <c r="S215" s="21" t="str">
        <f t="shared" si="35"/>
        <v/>
      </c>
    </row>
    <row r="216" spans="6:19" x14ac:dyDescent="0.25">
      <c r="F216" s="21" t="str">
        <f>IFERROR(INDEX(PACK!$C:$C,MATCH($A216,PACK!$A:$A,0)),"")</f>
        <v/>
      </c>
      <c r="G216" s="21" t="str">
        <f>IFERROR(INDEX(PACK!$D:$D,MATCH($A216,PACK!$A:$A,0)),"")</f>
        <v/>
      </c>
      <c r="H216" s="21" t="str">
        <f>IFERROR(INDEX(PACK!$E:$E,MATCH($A216,PACK!$A:$A,0)),"")</f>
        <v/>
      </c>
      <c r="I216" s="21" t="str">
        <f t="shared" si="33"/>
        <v/>
      </c>
      <c r="J216" s="21" t="str">
        <f t="shared" si="36"/>
        <v/>
      </c>
      <c r="K216" s="21" t="str">
        <f t="shared" si="34"/>
        <v/>
      </c>
      <c r="L216" s="21" t="str">
        <f t="shared" si="37"/>
        <v/>
      </c>
      <c r="R216" s="21" t="str">
        <f>IFERROR(INDEX(PACK!$C:$C,MATCH($P216,PACK!$A:$A,0)),"")</f>
        <v/>
      </c>
      <c r="S216" s="21" t="str">
        <f t="shared" si="35"/>
        <v/>
      </c>
    </row>
    <row r="217" spans="6:19" x14ac:dyDescent="0.25">
      <c r="F217" s="21" t="str">
        <f>IFERROR(INDEX(PACK!$C:$C,MATCH($A217,PACK!$A:$A,0)),"")</f>
        <v/>
      </c>
      <c r="G217" s="21" t="str">
        <f>IFERROR(INDEX(PACK!$D:$D,MATCH($A217,PACK!$A:$A,0)),"")</f>
        <v/>
      </c>
      <c r="H217" s="21" t="str">
        <f>IFERROR(INDEX(PACK!$E:$E,MATCH($A217,PACK!$A:$A,0)),"")</f>
        <v/>
      </c>
      <c r="I217" s="21" t="str">
        <f t="shared" si="33"/>
        <v/>
      </c>
      <c r="J217" s="21" t="str">
        <f t="shared" si="36"/>
        <v/>
      </c>
      <c r="K217" s="21" t="str">
        <f t="shared" si="34"/>
        <v/>
      </c>
      <c r="L217" s="21" t="str">
        <f t="shared" si="37"/>
        <v/>
      </c>
      <c r="R217" s="21" t="str">
        <f>IFERROR(INDEX(PACK!$C:$C,MATCH($P217,PACK!$A:$A,0)),"")</f>
        <v/>
      </c>
      <c r="S217" s="21" t="str">
        <f t="shared" si="35"/>
        <v/>
      </c>
    </row>
    <row r="218" spans="6:19" x14ac:dyDescent="0.25">
      <c r="F218" s="21" t="str">
        <f>IFERROR(INDEX(PACK!$C:$C,MATCH($A218,PACK!$A:$A,0)),"")</f>
        <v/>
      </c>
      <c r="G218" s="21" t="str">
        <f>IFERROR(INDEX(PACK!$D:$D,MATCH($A218,PACK!$A:$A,0)),"")</f>
        <v/>
      </c>
      <c r="H218" s="21" t="str">
        <f>IFERROR(INDEX(PACK!$E:$E,MATCH($A218,PACK!$A:$A,0)),"")</f>
        <v/>
      </c>
      <c r="I218" s="21" t="str">
        <f t="shared" si="33"/>
        <v/>
      </c>
      <c r="J218" s="21" t="str">
        <f t="shared" si="36"/>
        <v/>
      </c>
      <c r="K218" s="21" t="str">
        <f t="shared" si="34"/>
        <v/>
      </c>
      <c r="L218" s="21" t="str">
        <f t="shared" si="37"/>
        <v/>
      </c>
      <c r="R218" s="21" t="str">
        <f>IFERROR(INDEX(PACK!$C:$C,MATCH($P218,PACK!$A:$A,0)),"")</f>
        <v/>
      </c>
      <c r="S218" s="21" t="str">
        <f t="shared" si="35"/>
        <v/>
      </c>
    </row>
    <row r="219" spans="6:19" x14ac:dyDescent="0.25">
      <c r="F219" s="21" t="str">
        <f>IFERROR(INDEX(PACK!$C:$C,MATCH($A219,PACK!$A:$A,0)),"")</f>
        <v/>
      </c>
      <c r="G219" s="21" t="str">
        <f>IFERROR(INDEX(PACK!$D:$D,MATCH($A219,PACK!$A:$A,0)),"")</f>
        <v/>
      </c>
      <c r="H219" s="21" t="str">
        <f>IFERROR(INDEX(PACK!$E:$E,MATCH($A219,PACK!$A:$A,0)),"")</f>
        <v/>
      </c>
      <c r="I219" s="21" t="str">
        <f t="shared" si="33"/>
        <v/>
      </c>
      <c r="J219" s="21" t="str">
        <f t="shared" si="36"/>
        <v/>
      </c>
      <c r="K219" s="21" t="str">
        <f t="shared" si="34"/>
        <v/>
      </c>
      <c r="L219" s="21" t="str">
        <f t="shared" si="37"/>
        <v/>
      </c>
      <c r="R219" s="21" t="str">
        <f>IFERROR(INDEX(PACK!$C:$C,MATCH($P219,PACK!$A:$A,0)),"")</f>
        <v/>
      </c>
      <c r="S219" s="21" t="str">
        <f t="shared" si="35"/>
        <v/>
      </c>
    </row>
    <row r="220" spans="6:19" x14ac:dyDescent="0.25">
      <c r="F220" s="21" t="str">
        <f>IFERROR(INDEX(PACK!$C:$C,MATCH($A220,PACK!$A:$A,0)),"")</f>
        <v/>
      </c>
      <c r="G220" s="21" t="str">
        <f>IFERROR(INDEX(PACK!$D:$D,MATCH($A220,PACK!$A:$A,0)),"")</f>
        <v/>
      </c>
      <c r="H220" s="21" t="str">
        <f>IFERROR(INDEX(PACK!$E:$E,MATCH($A220,PACK!$A:$A,0)),"")</f>
        <v/>
      </c>
      <c r="I220" s="21" t="str">
        <f t="shared" si="33"/>
        <v/>
      </c>
      <c r="J220" s="21" t="str">
        <f t="shared" si="36"/>
        <v/>
      </c>
      <c r="K220" s="21" t="str">
        <f t="shared" si="34"/>
        <v/>
      </c>
      <c r="L220" s="21" t="str">
        <f t="shared" si="37"/>
        <v/>
      </c>
      <c r="R220" s="21" t="str">
        <f>IFERROR(INDEX(PACK!$C:$C,MATCH($P220,PACK!$A:$A,0)),"")</f>
        <v/>
      </c>
      <c r="S220" s="21" t="str">
        <f t="shared" si="35"/>
        <v/>
      </c>
    </row>
    <row r="221" spans="6:19" x14ac:dyDescent="0.25">
      <c r="F221" s="21" t="str">
        <f>IFERROR(INDEX(PACK!$C:$C,MATCH($A221,PACK!$A:$A,0)),"")</f>
        <v/>
      </c>
      <c r="G221" s="21" t="str">
        <f>IFERROR(INDEX(PACK!$D:$D,MATCH($A221,PACK!$A:$A,0)),"")</f>
        <v/>
      </c>
      <c r="H221" s="21" t="str">
        <f>IFERROR(INDEX(PACK!$E:$E,MATCH($A221,PACK!$A:$A,0)),"")</f>
        <v/>
      </c>
      <c r="I221" s="21" t="str">
        <f t="shared" si="33"/>
        <v/>
      </c>
      <c r="J221" s="21" t="str">
        <f t="shared" si="36"/>
        <v/>
      </c>
      <c r="K221" s="21" t="str">
        <f t="shared" si="34"/>
        <v/>
      </c>
      <c r="L221" s="21" t="str">
        <f t="shared" si="37"/>
        <v/>
      </c>
      <c r="R221" s="21" t="str">
        <f>IFERROR(INDEX(PACK!$C:$C,MATCH($P221,PACK!$A:$A,0)),"")</f>
        <v/>
      </c>
      <c r="S221" s="21" t="str">
        <f t="shared" si="35"/>
        <v/>
      </c>
    </row>
    <row r="222" spans="6:19" x14ac:dyDescent="0.25">
      <c r="F222" s="21" t="str">
        <f>IFERROR(INDEX(PACK!$C:$C,MATCH($A222,PACK!$A:$A,0)),"")</f>
        <v/>
      </c>
      <c r="G222" s="21" t="str">
        <f>IFERROR(INDEX(PACK!$D:$D,MATCH($A222,PACK!$A:$A,0)),"")</f>
        <v/>
      </c>
      <c r="H222" s="21" t="str">
        <f>IFERROR(INDEX(PACK!$E:$E,MATCH($A222,PACK!$A:$A,0)),"")</f>
        <v/>
      </c>
      <c r="I222" s="21" t="str">
        <f t="shared" si="33"/>
        <v/>
      </c>
      <c r="J222" s="21" t="str">
        <f t="shared" si="36"/>
        <v/>
      </c>
      <c r="K222" s="21" t="str">
        <f t="shared" si="34"/>
        <v/>
      </c>
      <c r="L222" s="21" t="str">
        <f t="shared" si="37"/>
        <v/>
      </c>
      <c r="R222" s="21" t="str">
        <f>IFERROR(INDEX(PACK!$C:$C,MATCH($P222,PACK!$A:$A,0)),"")</f>
        <v/>
      </c>
      <c r="S222" s="21" t="str">
        <f t="shared" si="35"/>
        <v/>
      </c>
    </row>
    <row r="223" spans="6:19" x14ac:dyDescent="0.25">
      <c r="F223" s="21" t="str">
        <f>IFERROR(INDEX(PACK!$C:$C,MATCH($A223,PACK!$A:$A,0)),"")</f>
        <v/>
      </c>
      <c r="G223" s="21" t="str">
        <f>IFERROR(INDEX(PACK!$D:$D,MATCH($A223,PACK!$A:$A,0)),"")</f>
        <v/>
      </c>
      <c r="H223" s="21" t="str">
        <f>IFERROR(INDEX(PACK!$E:$E,MATCH($A223,PACK!$A:$A,0)),"")</f>
        <v/>
      </c>
      <c r="I223" s="21" t="str">
        <f t="shared" si="33"/>
        <v/>
      </c>
      <c r="J223" s="21" t="str">
        <f t="shared" si="36"/>
        <v/>
      </c>
      <c r="K223" s="21" t="str">
        <f t="shared" si="34"/>
        <v/>
      </c>
      <c r="L223" s="21" t="str">
        <f t="shared" si="37"/>
        <v/>
      </c>
      <c r="R223" s="21" t="str">
        <f>IFERROR(INDEX(PACK!$C:$C,MATCH($P223,PACK!$A:$A,0)),"")</f>
        <v/>
      </c>
      <c r="S223" s="21" t="str">
        <f t="shared" si="35"/>
        <v/>
      </c>
    </row>
    <row r="224" spans="6:19" x14ac:dyDescent="0.25">
      <c r="F224" s="21" t="str">
        <f>IFERROR(INDEX(PACK!$C:$C,MATCH($A224,PACK!$A:$A,0)),"")</f>
        <v/>
      </c>
      <c r="G224" s="21" t="str">
        <f>IFERROR(INDEX(PACK!$D:$D,MATCH($A224,PACK!$A:$A,0)),"")</f>
        <v/>
      </c>
      <c r="H224" s="21" t="str">
        <f>IFERROR(INDEX(PACK!$E:$E,MATCH($A224,PACK!$A:$A,0)),"")</f>
        <v/>
      </c>
      <c r="I224" s="21" t="str">
        <f t="shared" si="33"/>
        <v/>
      </c>
      <c r="J224" s="21" t="str">
        <f t="shared" si="36"/>
        <v/>
      </c>
      <c r="K224" s="21" t="str">
        <f t="shared" si="34"/>
        <v/>
      </c>
      <c r="L224" s="21" t="str">
        <f t="shared" si="37"/>
        <v/>
      </c>
      <c r="R224" s="21" t="str">
        <f>IFERROR(INDEX(PACK!$C:$C,MATCH($P224,PACK!$A:$A,0)),"")</f>
        <v/>
      </c>
      <c r="S224" s="21" t="str">
        <f t="shared" si="35"/>
        <v/>
      </c>
    </row>
    <row r="225" spans="6:19" x14ac:dyDescent="0.25">
      <c r="F225" s="21" t="str">
        <f>IFERROR(INDEX(PACK!$C:$C,MATCH($A225,PACK!$A:$A,0)),"")</f>
        <v/>
      </c>
      <c r="G225" s="21" t="str">
        <f>IFERROR(INDEX(PACK!$D:$D,MATCH($A225,PACK!$A:$A,0)),"")</f>
        <v/>
      </c>
      <c r="H225" s="21" t="str">
        <f>IFERROR(INDEX(PACK!$E:$E,MATCH($A225,PACK!$A:$A,0)),"")</f>
        <v/>
      </c>
      <c r="I225" s="21" t="str">
        <f t="shared" si="33"/>
        <v/>
      </c>
      <c r="J225" s="21" t="str">
        <f t="shared" si="36"/>
        <v/>
      </c>
      <c r="K225" s="21" t="str">
        <f t="shared" si="34"/>
        <v/>
      </c>
      <c r="L225" s="21" t="str">
        <f t="shared" si="37"/>
        <v/>
      </c>
      <c r="R225" s="21" t="str">
        <f>IFERROR(INDEX(PACK!$C:$C,MATCH($P225,PACK!$A:$A,0)),"")</f>
        <v/>
      </c>
      <c r="S225" s="21" t="str">
        <f t="shared" si="35"/>
        <v/>
      </c>
    </row>
    <row r="226" spans="6:19" x14ac:dyDescent="0.25">
      <c r="F226" s="21" t="str">
        <f>IFERROR(INDEX(PACK!$C:$C,MATCH($A226,PACK!$A:$A,0)),"")</f>
        <v/>
      </c>
      <c r="G226" s="21" t="str">
        <f>IFERROR(INDEX(PACK!$D:$D,MATCH($A226,PACK!$A:$A,0)),"")</f>
        <v/>
      </c>
      <c r="H226" s="21" t="str">
        <f>IFERROR(INDEX(PACK!$E:$E,MATCH($A226,PACK!$A:$A,0)),"")</f>
        <v/>
      </c>
      <c r="I226" s="21" t="str">
        <f t="shared" si="33"/>
        <v/>
      </c>
      <c r="J226" s="21" t="str">
        <f t="shared" si="36"/>
        <v/>
      </c>
      <c r="K226" s="21" t="str">
        <f t="shared" si="34"/>
        <v/>
      </c>
      <c r="L226" s="21" t="str">
        <f t="shared" si="37"/>
        <v/>
      </c>
      <c r="R226" s="21" t="str">
        <f>IFERROR(INDEX(PACK!$C:$C,MATCH($P226,PACK!$A:$A,0)),"")</f>
        <v/>
      </c>
      <c r="S226" s="21" t="str">
        <f t="shared" si="35"/>
        <v/>
      </c>
    </row>
    <row r="227" spans="6:19" x14ac:dyDescent="0.25">
      <c r="F227" s="21" t="str">
        <f>IFERROR(INDEX(PACK!$C:$C,MATCH($A227,PACK!$A:$A,0)),"")</f>
        <v/>
      </c>
      <c r="G227" s="21" t="str">
        <f>IFERROR(INDEX(PACK!$D:$D,MATCH($A227,PACK!$A:$A,0)),"")</f>
        <v/>
      </c>
      <c r="H227" s="21" t="str">
        <f>IFERROR(INDEX(PACK!$E:$E,MATCH($A227,PACK!$A:$A,0)),"")</f>
        <v/>
      </c>
      <c r="I227" s="21" t="str">
        <f t="shared" si="33"/>
        <v/>
      </c>
      <c r="J227" s="21" t="str">
        <f t="shared" si="36"/>
        <v/>
      </c>
      <c r="K227" s="21" t="str">
        <f t="shared" si="34"/>
        <v/>
      </c>
      <c r="L227" s="21" t="str">
        <f t="shared" si="37"/>
        <v/>
      </c>
      <c r="R227" s="21" t="str">
        <f>IFERROR(INDEX(PACK!$C:$C,MATCH($P227,PACK!$A:$A,0)),"")</f>
        <v/>
      </c>
      <c r="S227" s="21" t="str">
        <f t="shared" si="35"/>
        <v/>
      </c>
    </row>
    <row r="228" spans="6:19" x14ac:dyDescent="0.25">
      <c r="F228" s="21" t="str">
        <f>IFERROR(INDEX(PACK!$C:$C,MATCH($A228,PACK!$A:$A,0)),"")</f>
        <v/>
      </c>
      <c r="G228" s="21" t="str">
        <f>IFERROR(INDEX(PACK!$D:$D,MATCH($A228,PACK!$A:$A,0)),"")</f>
        <v/>
      </c>
      <c r="H228" s="21" t="str">
        <f>IFERROR(INDEX(PACK!$E:$E,MATCH($A228,PACK!$A:$A,0)),"")</f>
        <v/>
      </c>
      <c r="I228" s="21" t="str">
        <f t="shared" si="33"/>
        <v/>
      </c>
      <c r="J228" s="21" t="str">
        <f t="shared" si="36"/>
        <v/>
      </c>
      <c r="K228" s="21" t="str">
        <f t="shared" si="34"/>
        <v/>
      </c>
      <c r="L228" s="21" t="str">
        <f t="shared" si="37"/>
        <v/>
      </c>
      <c r="R228" s="21" t="str">
        <f>IFERROR(INDEX(PACK!$C:$C,MATCH($P228,PACK!$A:$A,0)),"")</f>
        <v/>
      </c>
      <c r="S228" s="21" t="str">
        <f t="shared" si="35"/>
        <v/>
      </c>
    </row>
    <row r="229" spans="6:19" x14ac:dyDescent="0.25">
      <c r="F229" s="21" t="str">
        <f>IFERROR(INDEX(PACK!$C:$C,MATCH($A229,PACK!$A:$A,0)),"")</f>
        <v/>
      </c>
      <c r="G229" s="21" t="str">
        <f>IFERROR(INDEX(PACK!$D:$D,MATCH($A229,PACK!$A:$A,0)),"")</f>
        <v/>
      </c>
      <c r="H229" s="21" t="str">
        <f>IFERROR(INDEX(PACK!$E:$E,MATCH($A229,PACK!$A:$A,0)),"")</f>
        <v/>
      </c>
      <c r="I229" s="21" t="str">
        <f t="shared" si="33"/>
        <v/>
      </c>
      <c r="J229" s="21" t="str">
        <f t="shared" si="36"/>
        <v/>
      </c>
      <c r="K229" s="21" t="str">
        <f t="shared" si="34"/>
        <v/>
      </c>
      <c r="L229" s="21" t="str">
        <f t="shared" si="37"/>
        <v/>
      </c>
      <c r="R229" s="21" t="str">
        <f>IFERROR(INDEX(PACK!$C:$C,MATCH($P229,PACK!$A:$A,0)),"")</f>
        <v/>
      </c>
      <c r="S229" s="21" t="str">
        <f t="shared" si="35"/>
        <v/>
      </c>
    </row>
    <row r="230" spans="6:19" x14ac:dyDescent="0.25">
      <c r="F230" s="21" t="str">
        <f>IFERROR(INDEX(PACK!$C:$C,MATCH($A230,PACK!$A:$A,0)),"")</f>
        <v/>
      </c>
      <c r="G230" s="21" t="str">
        <f>IFERROR(INDEX(PACK!$D:$D,MATCH($A230,PACK!$A:$A,0)),"")</f>
        <v/>
      </c>
      <c r="H230" s="21" t="str">
        <f>IFERROR(INDEX(PACK!$E:$E,MATCH($A230,PACK!$A:$A,0)),"")</f>
        <v/>
      </c>
      <c r="I230" s="21" t="str">
        <f t="shared" si="33"/>
        <v/>
      </c>
      <c r="J230" s="21" t="str">
        <f t="shared" si="36"/>
        <v/>
      </c>
      <c r="K230" s="21" t="str">
        <f t="shared" si="34"/>
        <v/>
      </c>
      <c r="L230" s="21" t="str">
        <f t="shared" si="37"/>
        <v/>
      </c>
      <c r="R230" s="21" t="str">
        <f>IFERROR(INDEX(PACK!$C:$C,MATCH($P230,PACK!$A:$A,0)),"")</f>
        <v/>
      </c>
      <c r="S230" s="21" t="str">
        <f t="shared" si="35"/>
        <v/>
      </c>
    </row>
    <row r="231" spans="6:19" x14ac:dyDescent="0.25">
      <c r="F231" s="21" t="str">
        <f>IFERROR(INDEX(PACK!$C:$C,MATCH($A231,PACK!$A:$A,0)),"")</f>
        <v/>
      </c>
      <c r="G231" s="21" t="str">
        <f>IFERROR(INDEX(PACK!$D:$D,MATCH($A231,PACK!$A:$A,0)),"")</f>
        <v/>
      </c>
      <c r="H231" s="21" t="str">
        <f>IFERROR(INDEX(PACK!$E:$E,MATCH($A231,PACK!$A:$A,0)),"")</f>
        <v/>
      </c>
      <c r="I231" s="21" t="str">
        <f t="shared" si="33"/>
        <v/>
      </c>
      <c r="J231" s="21" t="str">
        <f t="shared" si="36"/>
        <v/>
      </c>
      <c r="K231" s="21" t="str">
        <f t="shared" si="34"/>
        <v/>
      </c>
      <c r="L231" s="21" t="str">
        <f t="shared" si="37"/>
        <v/>
      </c>
      <c r="R231" s="21" t="str">
        <f>IFERROR(INDEX(PACK!$C:$C,MATCH($P231,PACK!$A:$A,0)),"")</f>
        <v/>
      </c>
      <c r="S231" s="21" t="str">
        <f t="shared" si="35"/>
        <v/>
      </c>
    </row>
    <row r="232" spans="6:19" x14ac:dyDescent="0.25">
      <c r="F232" s="21" t="str">
        <f>IFERROR(INDEX(PACK!$C:$C,MATCH($A232,PACK!$A:$A,0)),"")</f>
        <v/>
      </c>
      <c r="G232" s="21" t="str">
        <f>IFERROR(INDEX(PACK!$D:$D,MATCH($A232,PACK!$A:$A,0)),"")</f>
        <v/>
      </c>
      <c r="H232" s="21" t="str">
        <f>IFERROR(INDEX(PACK!$E:$E,MATCH($A232,PACK!$A:$A,0)),"")</f>
        <v/>
      </c>
      <c r="I232" s="21" t="str">
        <f t="shared" si="33"/>
        <v/>
      </c>
      <c r="J232" s="21" t="str">
        <f t="shared" si="36"/>
        <v/>
      </c>
      <c r="K232" s="21" t="str">
        <f t="shared" si="34"/>
        <v/>
      </c>
      <c r="L232" s="21" t="str">
        <f t="shared" si="37"/>
        <v/>
      </c>
      <c r="R232" s="21" t="str">
        <f>IFERROR(INDEX(PACK!$C:$C,MATCH($P232,PACK!$A:$A,0)),"")</f>
        <v/>
      </c>
      <c r="S232" s="21" t="str">
        <f t="shared" si="35"/>
        <v/>
      </c>
    </row>
    <row r="233" spans="6:19" x14ac:dyDescent="0.25">
      <c r="F233" s="21" t="str">
        <f>IFERROR(INDEX(PACK!$C:$C,MATCH($A233,PACK!$A:$A,0)),"")</f>
        <v/>
      </c>
      <c r="G233" s="21" t="str">
        <f>IFERROR(INDEX(PACK!$D:$D,MATCH($A233,PACK!$A:$A,0)),"")</f>
        <v/>
      </c>
      <c r="H233" s="21" t="str">
        <f>IFERROR(INDEX(PACK!$E:$E,MATCH($A233,PACK!$A:$A,0)),"")</f>
        <v/>
      </c>
      <c r="I233" s="21" t="str">
        <f t="shared" si="33"/>
        <v/>
      </c>
      <c r="J233" s="21" t="str">
        <f t="shared" si="36"/>
        <v/>
      </c>
      <c r="K233" s="21" t="str">
        <f t="shared" si="34"/>
        <v/>
      </c>
      <c r="L233" s="21" t="str">
        <f t="shared" si="37"/>
        <v/>
      </c>
      <c r="R233" s="21" t="str">
        <f>IFERROR(INDEX(PACK!$C:$C,MATCH($P233,PACK!$A:$A,0)),"")</f>
        <v/>
      </c>
      <c r="S233" s="21" t="str">
        <f t="shared" si="35"/>
        <v/>
      </c>
    </row>
    <row r="234" spans="6:19" x14ac:dyDescent="0.25">
      <c r="F234" s="21" t="str">
        <f>IFERROR(INDEX(PACK!$C:$C,MATCH($A234,PACK!$A:$A,0)),"")</f>
        <v/>
      </c>
      <c r="G234" s="21" t="str">
        <f>IFERROR(INDEX(PACK!$D:$D,MATCH($A234,PACK!$A:$A,0)),"")</f>
        <v/>
      </c>
      <c r="H234" s="21" t="str">
        <f>IFERROR(INDEX(PACK!$E:$E,MATCH($A234,PACK!$A:$A,0)),"")</f>
        <v/>
      </c>
      <c r="I234" s="21" t="str">
        <f t="shared" si="33"/>
        <v/>
      </c>
      <c r="J234" s="21" t="str">
        <f t="shared" si="36"/>
        <v/>
      </c>
      <c r="K234" s="21" t="str">
        <f t="shared" si="34"/>
        <v/>
      </c>
      <c r="L234" s="21" t="str">
        <f t="shared" si="37"/>
        <v/>
      </c>
      <c r="R234" s="21" t="str">
        <f>IFERROR(INDEX(PACK!$C:$C,MATCH($P234,PACK!$A:$A,0)),"")</f>
        <v/>
      </c>
      <c r="S234" s="21" t="str">
        <f t="shared" si="35"/>
        <v/>
      </c>
    </row>
    <row r="235" spans="6:19" x14ac:dyDescent="0.25">
      <c r="F235" s="21" t="str">
        <f>IFERROR(INDEX(PACK!$C:$C,MATCH($A235,PACK!$A:$A,0)),"")</f>
        <v/>
      </c>
      <c r="G235" s="21" t="str">
        <f>IFERROR(INDEX(PACK!$D:$D,MATCH($A235,PACK!$A:$A,0)),"")</f>
        <v/>
      </c>
      <c r="H235" s="21" t="str">
        <f>IFERROR(INDEX(PACK!$E:$E,MATCH($A235,PACK!$A:$A,0)),"")</f>
        <v/>
      </c>
      <c r="I235" s="21" t="str">
        <f t="shared" si="33"/>
        <v/>
      </c>
      <c r="J235" s="21" t="str">
        <f t="shared" si="36"/>
        <v/>
      </c>
      <c r="K235" s="21" t="str">
        <f t="shared" si="34"/>
        <v/>
      </c>
      <c r="L235" s="21" t="str">
        <f t="shared" si="37"/>
        <v/>
      </c>
      <c r="R235" s="21" t="str">
        <f>IFERROR(INDEX(PACK!$C:$C,MATCH($P235,PACK!$A:$A,0)),"")</f>
        <v/>
      </c>
      <c r="S235" s="21" t="str">
        <f t="shared" si="35"/>
        <v/>
      </c>
    </row>
    <row r="236" spans="6:19" x14ac:dyDescent="0.25">
      <c r="F236" s="21" t="str">
        <f>IFERROR(INDEX(PACK!$C:$C,MATCH($A236,PACK!$A:$A,0)),"")</f>
        <v/>
      </c>
      <c r="G236" s="21" t="str">
        <f>IFERROR(INDEX(PACK!$D:$D,MATCH($A236,PACK!$A:$A,0)),"")</f>
        <v/>
      </c>
      <c r="H236" s="21" t="str">
        <f>IFERROR(INDEX(PACK!$E:$E,MATCH($A236,PACK!$A:$A,0)),"")</f>
        <v/>
      </c>
      <c r="I236" s="21" t="str">
        <f t="shared" si="33"/>
        <v/>
      </c>
      <c r="J236" s="21" t="str">
        <f t="shared" si="36"/>
        <v/>
      </c>
      <c r="K236" s="21" t="str">
        <f t="shared" si="34"/>
        <v/>
      </c>
      <c r="L236" s="21" t="str">
        <f t="shared" si="37"/>
        <v/>
      </c>
      <c r="R236" s="21" t="str">
        <f>IFERROR(INDEX(PACK!$C:$C,MATCH($P236,PACK!$A:$A,0)),"")</f>
        <v/>
      </c>
      <c r="S236" s="21" t="str">
        <f t="shared" si="35"/>
        <v/>
      </c>
    </row>
    <row r="237" spans="6:19" x14ac:dyDescent="0.25">
      <c r="F237" s="21" t="str">
        <f>IFERROR(INDEX(PACK!$C:$C,MATCH($A237,PACK!$A:$A,0)),"")</f>
        <v/>
      </c>
      <c r="G237" s="21" t="str">
        <f>IFERROR(INDEX(PACK!$D:$D,MATCH($A237,PACK!$A:$A,0)),"")</f>
        <v/>
      </c>
      <c r="H237" s="21" t="str">
        <f>IFERROR(INDEX(PACK!$E:$E,MATCH($A237,PACK!$A:$A,0)),"")</f>
        <v/>
      </c>
      <c r="I237" s="21" t="str">
        <f t="shared" si="33"/>
        <v/>
      </c>
      <c r="J237" s="21" t="str">
        <f t="shared" si="36"/>
        <v/>
      </c>
      <c r="K237" s="21" t="str">
        <f t="shared" si="34"/>
        <v/>
      </c>
      <c r="L237" s="21" t="str">
        <f t="shared" si="37"/>
        <v/>
      </c>
      <c r="R237" s="21" t="str">
        <f>IFERROR(INDEX(PACK!$C:$C,MATCH($P237,PACK!$A:$A,0)),"")</f>
        <v/>
      </c>
      <c r="S237" s="21" t="str">
        <f t="shared" si="35"/>
        <v/>
      </c>
    </row>
    <row r="238" spans="6:19" x14ac:dyDescent="0.25">
      <c r="F238" s="21" t="str">
        <f>IFERROR(INDEX(PACK!$C:$C,MATCH($A238,PACK!$A:$A,0)),"")</f>
        <v/>
      </c>
      <c r="G238" s="21" t="str">
        <f>IFERROR(INDEX(PACK!$D:$D,MATCH($A238,PACK!$A:$A,0)),"")</f>
        <v/>
      </c>
      <c r="H238" s="21" t="str">
        <f>IFERROR(INDEX(PACK!$E:$E,MATCH($A238,PACK!$A:$A,0)),"")</f>
        <v/>
      </c>
      <c r="I238" s="21" t="str">
        <f t="shared" si="33"/>
        <v/>
      </c>
      <c r="J238" s="21" t="str">
        <f t="shared" si="36"/>
        <v/>
      </c>
      <c r="K238" s="21" t="str">
        <f t="shared" si="34"/>
        <v/>
      </c>
      <c r="L238" s="21" t="str">
        <f t="shared" si="37"/>
        <v/>
      </c>
      <c r="R238" s="21" t="str">
        <f>IFERROR(INDEX(PACK!$C:$C,MATCH($P238,PACK!$A:$A,0)),"")</f>
        <v/>
      </c>
      <c r="S238" s="21" t="str">
        <f t="shared" si="35"/>
        <v/>
      </c>
    </row>
    <row r="239" spans="6:19" x14ac:dyDescent="0.25">
      <c r="F239" s="21" t="str">
        <f>IFERROR(INDEX(PACK!$C:$C,MATCH($A239,PACK!$A:$A,0)),"")</f>
        <v/>
      </c>
      <c r="G239" s="21" t="str">
        <f>IFERROR(INDEX(PACK!$D:$D,MATCH($A239,PACK!$A:$A,0)),"")</f>
        <v/>
      </c>
      <c r="H239" s="21" t="str">
        <f>IFERROR(INDEX(PACK!$E:$E,MATCH($A239,PACK!$A:$A,0)),"")</f>
        <v/>
      </c>
      <c r="I239" s="21" t="str">
        <f t="shared" si="33"/>
        <v/>
      </c>
      <c r="J239" s="21" t="str">
        <f t="shared" si="36"/>
        <v/>
      </c>
      <c r="K239" s="21" t="str">
        <f t="shared" si="34"/>
        <v/>
      </c>
      <c r="L239" s="21" t="str">
        <f t="shared" si="37"/>
        <v/>
      </c>
      <c r="R239" s="21" t="str">
        <f>IFERROR(INDEX(PACK!$C:$C,MATCH($P239,PACK!$A:$A,0)),"")</f>
        <v/>
      </c>
      <c r="S239" s="21" t="str">
        <f t="shared" si="35"/>
        <v/>
      </c>
    </row>
    <row r="240" spans="6:19" x14ac:dyDescent="0.25">
      <c r="F240" s="21" t="str">
        <f>IFERROR(INDEX(PACK!$C:$C,MATCH($A240,PACK!$A:$A,0)),"")</f>
        <v/>
      </c>
      <c r="G240" s="21" t="str">
        <f>IFERROR(INDEX(PACK!$D:$D,MATCH($A240,PACK!$A:$A,0)),"")</f>
        <v/>
      </c>
      <c r="H240" s="21" t="str">
        <f>IFERROR(INDEX(PACK!$E:$E,MATCH($A240,PACK!$A:$A,0)),"")</f>
        <v/>
      </c>
      <c r="I240" s="21" t="str">
        <f t="shared" si="33"/>
        <v/>
      </c>
      <c r="J240" s="21" t="str">
        <f t="shared" si="36"/>
        <v/>
      </c>
      <c r="K240" s="21" t="str">
        <f t="shared" si="34"/>
        <v/>
      </c>
      <c r="L240" s="21" t="str">
        <f t="shared" si="37"/>
        <v/>
      </c>
      <c r="R240" s="21" t="str">
        <f>IFERROR(INDEX(PACK!$C:$C,MATCH($P240,PACK!$A:$A,0)),"")</f>
        <v/>
      </c>
      <c r="S240" s="21" t="str">
        <f t="shared" si="35"/>
        <v/>
      </c>
    </row>
    <row r="241" spans="6:19" x14ac:dyDescent="0.25">
      <c r="F241" s="21" t="str">
        <f>IFERROR(INDEX(PACK!$C:$C,MATCH($A241,PACK!$A:$A,0)),"")</f>
        <v/>
      </c>
      <c r="G241" s="21" t="str">
        <f>IFERROR(INDEX(PACK!$D:$D,MATCH($A241,PACK!$A:$A,0)),"")</f>
        <v/>
      </c>
      <c r="H241" s="21" t="str">
        <f>IFERROR(INDEX(PACK!$E:$E,MATCH($A241,PACK!$A:$A,0)),"")</f>
        <v/>
      </c>
      <c r="I241" s="21" t="str">
        <f t="shared" si="33"/>
        <v/>
      </c>
      <c r="J241" s="21" t="str">
        <f t="shared" si="36"/>
        <v/>
      </c>
      <c r="K241" s="21" t="str">
        <f t="shared" si="34"/>
        <v/>
      </c>
      <c r="L241" s="21" t="str">
        <f t="shared" si="37"/>
        <v/>
      </c>
      <c r="R241" s="21" t="str">
        <f>IFERROR(INDEX(PACK!$C:$C,MATCH($P241,PACK!$A:$A,0)),"")</f>
        <v/>
      </c>
      <c r="S241" s="21" t="str">
        <f t="shared" si="35"/>
        <v/>
      </c>
    </row>
    <row r="242" spans="6:19" x14ac:dyDescent="0.25">
      <c r="F242" s="21" t="str">
        <f>IFERROR(INDEX(PACK!$C:$C,MATCH($A242,PACK!$A:$A,0)),"")</f>
        <v/>
      </c>
      <c r="G242" s="21" t="str">
        <f>IFERROR(INDEX(PACK!$D:$D,MATCH($A242,PACK!$A:$A,0)),"")</f>
        <v/>
      </c>
      <c r="H242" s="21" t="str">
        <f>IFERROR(INDEX(PACK!$E:$E,MATCH($A242,PACK!$A:$A,0)),"")</f>
        <v/>
      </c>
      <c r="I242" s="21" t="str">
        <f t="shared" si="33"/>
        <v/>
      </c>
      <c r="J242" s="21" t="str">
        <f t="shared" si="36"/>
        <v/>
      </c>
      <c r="K242" s="21" t="str">
        <f t="shared" si="34"/>
        <v/>
      </c>
      <c r="L242" s="21" t="str">
        <f t="shared" si="37"/>
        <v/>
      </c>
      <c r="R242" s="21" t="str">
        <f>IFERROR(INDEX(PACK!$C:$C,MATCH($P242,PACK!$A:$A,0)),"")</f>
        <v/>
      </c>
      <c r="S242" s="21" t="str">
        <f t="shared" si="35"/>
        <v/>
      </c>
    </row>
    <row r="243" spans="6:19" x14ac:dyDescent="0.25">
      <c r="F243" s="21" t="str">
        <f>IFERROR(INDEX(PACK!$C:$C,MATCH($A243,PACK!$A:$A,0)),"")</f>
        <v/>
      </c>
      <c r="G243" s="21" t="str">
        <f>IFERROR(INDEX(PACK!$D:$D,MATCH($A243,PACK!$A:$A,0)),"")</f>
        <v/>
      </c>
      <c r="H243" s="21" t="str">
        <f>IFERROR(INDEX(PACK!$E:$E,MATCH($A243,PACK!$A:$A,0)),"")</f>
        <v/>
      </c>
      <c r="I243" s="21" t="str">
        <f t="shared" si="33"/>
        <v/>
      </c>
      <c r="J243" s="21" t="str">
        <f t="shared" si="36"/>
        <v/>
      </c>
      <c r="K243" s="21" t="str">
        <f t="shared" si="34"/>
        <v/>
      </c>
      <c r="L243" s="21" t="str">
        <f t="shared" si="37"/>
        <v/>
      </c>
      <c r="R243" s="21" t="str">
        <f>IFERROR(INDEX(PACK!$C:$C,MATCH($P243,PACK!$A:$A,0)),"")</f>
        <v/>
      </c>
      <c r="S243" s="21" t="str">
        <f t="shared" si="35"/>
        <v/>
      </c>
    </row>
    <row r="244" spans="6:19" x14ac:dyDescent="0.25">
      <c r="F244" s="21" t="str">
        <f>IFERROR(INDEX(PACK!$C:$C,MATCH($A244,PACK!$A:$A,0)),"")</f>
        <v/>
      </c>
      <c r="G244" s="21" t="str">
        <f>IFERROR(INDEX(PACK!$D:$D,MATCH($A244,PACK!$A:$A,0)),"")</f>
        <v/>
      </c>
      <c r="H244" s="21" t="str">
        <f>IFERROR(INDEX(PACK!$E:$E,MATCH($A244,PACK!$A:$A,0)),"")</f>
        <v/>
      </c>
      <c r="I244" s="21" t="str">
        <f t="shared" si="33"/>
        <v/>
      </c>
      <c r="J244" s="21" t="str">
        <f t="shared" si="36"/>
        <v/>
      </c>
      <c r="K244" s="21" t="str">
        <f t="shared" si="34"/>
        <v/>
      </c>
      <c r="L244" s="21" t="str">
        <f t="shared" si="37"/>
        <v/>
      </c>
      <c r="R244" s="21" t="str">
        <f>IFERROR(INDEX(PACK!$C:$C,MATCH($P244,PACK!$A:$A,0)),"")</f>
        <v/>
      </c>
      <c r="S244" s="21" t="str">
        <f t="shared" si="35"/>
        <v/>
      </c>
    </row>
    <row r="245" spans="6:19" x14ac:dyDescent="0.25">
      <c r="F245" s="21" t="str">
        <f>IFERROR(INDEX(PACK!$C:$C,MATCH($A245,PACK!$A:$A,0)),"")</f>
        <v/>
      </c>
      <c r="G245" s="21" t="str">
        <f>IFERROR(INDEX(PACK!$D:$D,MATCH($A245,PACK!$A:$A,0)),"")</f>
        <v/>
      </c>
      <c r="H245" s="21" t="str">
        <f>IFERROR(INDEX(PACK!$E:$E,MATCH($A245,PACK!$A:$A,0)),"")</f>
        <v/>
      </c>
      <c r="I245" s="21" t="str">
        <f t="shared" si="33"/>
        <v/>
      </c>
      <c r="J245" s="21" t="str">
        <f t="shared" si="36"/>
        <v/>
      </c>
      <c r="K245" s="21" t="str">
        <f t="shared" si="34"/>
        <v/>
      </c>
      <c r="L245" s="21" t="str">
        <f t="shared" si="37"/>
        <v/>
      </c>
      <c r="R245" s="21" t="str">
        <f>IFERROR(INDEX(PACK!$C:$C,MATCH($P245,PACK!$A:$A,0)),"")</f>
        <v/>
      </c>
      <c r="S245" s="21" t="str">
        <f t="shared" si="35"/>
        <v/>
      </c>
    </row>
    <row r="246" spans="6:19" x14ac:dyDescent="0.25">
      <c r="F246" s="21" t="str">
        <f>IFERROR(INDEX(PACK!$C:$C,MATCH($A246,PACK!$A:$A,0)),"")</f>
        <v/>
      </c>
      <c r="G246" s="21" t="str">
        <f>IFERROR(INDEX(PACK!$D:$D,MATCH($A246,PACK!$A:$A,0)),"")</f>
        <v/>
      </c>
      <c r="H246" s="21" t="str">
        <f>IFERROR(INDEX(PACK!$E:$E,MATCH($A246,PACK!$A:$A,0)),"")</f>
        <v/>
      </c>
      <c r="I246" s="21" t="str">
        <f t="shared" si="33"/>
        <v/>
      </c>
      <c r="J246" s="21" t="str">
        <f t="shared" si="36"/>
        <v/>
      </c>
      <c r="K246" s="21" t="str">
        <f t="shared" si="34"/>
        <v/>
      </c>
      <c r="L246" s="21" t="str">
        <f t="shared" si="37"/>
        <v/>
      </c>
      <c r="R246" s="21" t="str">
        <f>IFERROR(INDEX(PACK!$C:$C,MATCH($P246,PACK!$A:$A,0)),"")</f>
        <v/>
      </c>
      <c r="S246" s="21" t="str">
        <f t="shared" si="35"/>
        <v/>
      </c>
    </row>
    <row r="247" spans="6:19" x14ac:dyDescent="0.25">
      <c r="F247" s="21" t="str">
        <f>IFERROR(INDEX(PACK!$C:$C,MATCH($A247,PACK!$A:$A,0)),"")</f>
        <v/>
      </c>
      <c r="G247" s="21" t="str">
        <f>IFERROR(INDEX(PACK!$D:$D,MATCH($A247,PACK!$A:$A,0)),"")</f>
        <v/>
      </c>
      <c r="H247" s="21" t="str">
        <f>IFERROR(INDEX(PACK!$E:$E,MATCH($A247,PACK!$A:$A,0)),"")</f>
        <v/>
      </c>
      <c r="I247" s="21" t="str">
        <f t="shared" si="33"/>
        <v/>
      </c>
      <c r="J247" s="21" t="str">
        <f t="shared" si="36"/>
        <v/>
      </c>
      <c r="K247" s="21" t="str">
        <f t="shared" si="34"/>
        <v/>
      </c>
      <c r="L247" s="21" t="str">
        <f t="shared" si="37"/>
        <v/>
      </c>
      <c r="R247" s="21" t="str">
        <f>IFERROR(INDEX(PACK!$C:$C,MATCH($P247,PACK!$A:$A,0)),"")</f>
        <v/>
      </c>
      <c r="S247" s="21" t="str">
        <f t="shared" si="35"/>
        <v/>
      </c>
    </row>
    <row r="248" spans="6:19" x14ac:dyDescent="0.25">
      <c r="F248" s="21" t="str">
        <f>IFERROR(INDEX(PACK!$C:$C,MATCH($A248,PACK!$A:$A,0)),"")</f>
        <v/>
      </c>
      <c r="G248" s="21" t="str">
        <f>IFERROR(INDEX(PACK!$D:$D,MATCH($A248,PACK!$A:$A,0)),"")</f>
        <v/>
      </c>
      <c r="H248" s="21" t="str">
        <f>IFERROR(INDEX(PACK!$E:$E,MATCH($A248,PACK!$A:$A,0)),"")</f>
        <v/>
      </c>
      <c r="I248" s="21" t="str">
        <f t="shared" si="33"/>
        <v/>
      </c>
      <c r="J248" s="21" t="str">
        <f t="shared" si="36"/>
        <v/>
      </c>
      <c r="K248" s="21" t="str">
        <f t="shared" si="34"/>
        <v/>
      </c>
      <c r="L248" s="21" t="str">
        <f t="shared" si="37"/>
        <v/>
      </c>
      <c r="R248" s="21" t="str">
        <f>IFERROR(INDEX(PACK!$C:$C,MATCH($P248,PACK!$A:$A,0)),"")</f>
        <v/>
      </c>
      <c r="S248" s="21" t="str">
        <f t="shared" si="35"/>
        <v/>
      </c>
    </row>
    <row r="249" spans="6:19" x14ac:dyDescent="0.25">
      <c r="F249" s="21" t="str">
        <f>IFERROR(INDEX(PACK!$C:$C,MATCH($A249,PACK!$A:$A,0)),"")</f>
        <v/>
      </c>
      <c r="G249" s="21" t="str">
        <f>IFERROR(INDEX(PACK!$D:$D,MATCH($A249,PACK!$A:$A,0)),"")</f>
        <v/>
      </c>
      <c r="H249" s="21" t="str">
        <f>IFERROR(INDEX(PACK!$E:$E,MATCH($A249,PACK!$A:$A,0)),"")</f>
        <v/>
      </c>
      <c r="I249" s="21" t="str">
        <f t="shared" si="33"/>
        <v/>
      </c>
      <c r="J249" s="21" t="str">
        <f t="shared" si="36"/>
        <v/>
      </c>
      <c r="K249" s="21" t="str">
        <f t="shared" si="34"/>
        <v/>
      </c>
      <c r="L249" s="21" t="str">
        <f t="shared" si="37"/>
        <v/>
      </c>
      <c r="R249" s="21" t="str">
        <f>IFERROR(INDEX(PACK!$C:$C,MATCH($P249,PACK!$A:$A,0)),"")</f>
        <v/>
      </c>
      <c r="S249" s="21" t="str">
        <f t="shared" si="35"/>
        <v/>
      </c>
    </row>
    <row r="250" spans="6:19" x14ac:dyDescent="0.25">
      <c r="F250" s="21" t="str">
        <f>IFERROR(INDEX(PACK!$C:$C,MATCH($A250,PACK!$A:$A,0)),"")</f>
        <v/>
      </c>
      <c r="G250" s="21" t="str">
        <f>IFERROR(INDEX(PACK!$D:$D,MATCH($A250,PACK!$A:$A,0)),"")</f>
        <v/>
      </c>
      <c r="H250" s="21" t="str">
        <f>IFERROR(INDEX(PACK!$E:$E,MATCH($A250,PACK!$A:$A,0)),"")</f>
        <v/>
      </c>
      <c r="I250" s="21" t="str">
        <f t="shared" si="33"/>
        <v/>
      </c>
      <c r="J250" s="21" t="str">
        <f t="shared" si="36"/>
        <v/>
      </c>
      <c r="K250" s="21" t="str">
        <f t="shared" si="34"/>
        <v/>
      </c>
      <c r="L250" s="21" t="str">
        <f t="shared" si="37"/>
        <v/>
      </c>
      <c r="R250" s="21" t="str">
        <f>IFERROR(INDEX(PACK!$C:$C,MATCH($P250,PACK!$A:$A,0)),"")</f>
        <v/>
      </c>
      <c r="S250" s="21" t="str">
        <f t="shared" si="35"/>
        <v/>
      </c>
    </row>
    <row r="251" spans="6:19" x14ac:dyDescent="0.25">
      <c r="F251" s="21" t="str">
        <f>IFERROR(INDEX(PACK!$C:$C,MATCH($A251,PACK!$A:$A,0)),"")</f>
        <v/>
      </c>
      <c r="G251" s="21" t="str">
        <f>IFERROR(INDEX(PACK!$D:$D,MATCH($A251,PACK!$A:$A,0)),"")</f>
        <v/>
      </c>
      <c r="H251" s="21" t="str">
        <f>IFERROR(INDEX(PACK!$E:$E,MATCH($A251,PACK!$A:$A,0)),"")</f>
        <v/>
      </c>
      <c r="I251" s="21" t="str">
        <f t="shared" si="33"/>
        <v/>
      </c>
      <c r="J251" s="21" t="str">
        <f t="shared" si="36"/>
        <v/>
      </c>
      <c r="K251" s="21" t="str">
        <f t="shared" si="34"/>
        <v/>
      </c>
      <c r="L251" s="21" t="str">
        <f t="shared" si="37"/>
        <v/>
      </c>
      <c r="R251" s="21" t="str">
        <f>IFERROR(INDEX(PACK!$C:$C,MATCH($P251,PACK!$A:$A,0)),"")</f>
        <v/>
      </c>
      <c r="S251" s="21" t="str">
        <f t="shared" si="35"/>
        <v/>
      </c>
    </row>
    <row r="252" spans="6:19" x14ac:dyDescent="0.25">
      <c r="F252" s="21" t="str">
        <f>IFERROR(INDEX(PACK!$C:$C,MATCH($A252,PACK!$A:$A,0)),"")</f>
        <v/>
      </c>
      <c r="G252" s="21" t="str">
        <f>IFERROR(INDEX(PACK!$D:$D,MATCH($A252,PACK!$A:$A,0)),"")</f>
        <v/>
      </c>
      <c r="H252" s="21" t="str">
        <f>IFERROR(INDEX(PACK!$E:$E,MATCH($A252,PACK!$A:$A,0)),"")</f>
        <v/>
      </c>
      <c r="I252" s="21" t="str">
        <f t="shared" si="33"/>
        <v/>
      </c>
      <c r="J252" s="21" t="str">
        <f t="shared" si="36"/>
        <v/>
      </c>
      <c r="K252" s="21" t="str">
        <f t="shared" si="34"/>
        <v/>
      </c>
      <c r="L252" s="21" t="str">
        <f t="shared" si="37"/>
        <v/>
      </c>
      <c r="R252" s="21" t="str">
        <f>IFERROR(INDEX(PACK!$C:$C,MATCH($P252,PACK!$A:$A,0)),"")</f>
        <v/>
      </c>
      <c r="S252" s="21" t="str">
        <f t="shared" si="35"/>
        <v/>
      </c>
    </row>
    <row r="253" spans="6:19" x14ac:dyDescent="0.25">
      <c r="F253" s="21" t="str">
        <f>IFERROR(INDEX(PACK!$C:$C,MATCH($A253,PACK!$A:$A,0)),"")</f>
        <v/>
      </c>
      <c r="G253" s="21" t="str">
        <f>IFERROR(INDEX(PACK!$D:$D,MATCH($A253,PACK!$A:$A,0)),"")</f>
        <v/>
      </c>
      <c r="H253" s="21" t="str">
        <f>IFERROR(INDEX(PACK!$E:$E,MATCH($A253,PACK!$A:$A,0)),"")</f>
        <v/>
      </c>
      <c r="I253" s="21" t="str">
        <f t="shared" si="33"/>
        <v/>
      </c>
      <c r="J253" s="21" t="str">
        <f t="shared" si="36"/>
        <v/>
      </c>
      <c r="K253" s="21" t="str">
        <f t="shared" si="34"/>
        <v/>
      </c>
      <c r="L253" s="21" t="str">
        <f t="shared" si="37"/>
        <v/>
      </c>
      <c r="R253" s="21" t="str">
        <f>IFERROR(INDEX(PACK!$C:$C,MATCH($P253,PACK!$A:$A,0)),"")</f>
        <v/>
      </c>
      <c r="S253" s="21" t="str">
        <f t="shared" si="35"/>
        <v/>
      </c>
    </row>
    <row r="254" spans="6:19" x14ac:dyDescent="0.25">
      <c r="F254" s="21" t="str">
        <f>IFERROR(INDEX(PACK!$C:$C,MATCH($A254,PACK!$A:$A,0)),"")</f>
        <v/>
      </c>
      <c r="G254" s="21" t="str">
        <f>IFERROR(INDEX(PACK!$D:$D,MATCH($A254,PACK!$A:$A,0)),"")</f>
        <v/>
      </c>
      <c r="H254" s="21" t="str">
        <f>IFERROR(INDEX(PACK!$E:$E,MATCH($A254,PACK!$A:$A,0)),"")</f>
        <v/>
      </c>
      <c r="I254" s="21" t="str">
        <f t="shared" si="33"/>
        <v/>
      </c>
      <c r="J254" s="21" t="str">
        <f t="shared" si="36"/>
        <v/>
      </c>
      <c r="K254" s="21" t="str">
        <f t="shared" si="34"/>
        <v/>
      </c>
      <c r="L254" s="21" t="str">
        <f t="shared" si="37"/>
        <v/>
      </c>
      <c r="R254" s="21" t="str">
        <f>IFERROR(INDEX(PACK!$C:$C,MATCH($P254,PACK!$A:$A,0)),"")</f>
        <v/>
      </c>
      <c r="S254" s="21" t="str">
        <f t="shared" si="35"/>
        <v/>
      </c>
    </row>
    <row r="255" spans="6:19" x14ac:dyDescent="0.25">
      <c r="F255" s="21" t="str">
        <f>IFERROR(INDEX(PACK!$C:$C,MATCH($A255,PACK!$A:$A,0)),"")</f>
        <v/>
      </c>
      <c r="G255" s="21" t="str">
        <f>IFERROR(INDEX(PACK!$D:$D,MATCH($A255,PACK!$A:$A,0)),"")</f>
        <v/>
      </c>
      <c r="H255" s="21" t="str">
        <f>IFERROR(INDEX(PACK!$E:$E,MATCH($A255,PACK!$A:$A,0)),"")</f>
        <v/>
      </c>
      <c r="I255" s="21" t="str">
        <f t="shared" si="33"/>
        <v/>
      </c>
      <c r="J255" s="21" t="str">
        <f t="shared" si="36"/>
        <v/>
      </c>
      <c r="K255" s="21" t="str">
        <f t="shared" si="34"/>
        <v/>
      </c>
      <c r="L255" s="21" t="str">
        <f t="shared" si="37"/>
        <v/>
      </c>
      <c r="R255" s="21" t="str">
        <f>IFERROR(INDEX(PACK!$C:$C,MATCH($P255,PACK!$A:$A,0)),"")</f>
        <v/>
      </c>
      <c r="S255" s="21" t="str">
        <f t="shared" si="35"/>
        <v/>
      </c>
    </row>
    <row r="256" spans="6:19" x14ac:dyDescent="0.25">
      <c r="F256" s="21" t="str">
        <f>IFERROR(INDEX(PACK!$C:$C,MATCH($A256,PACK!$A:$A,0)),"")</f>
        <v/>
      </c>
      <c r="G256" s="21" t="str">
        <f>IFERROR(INDEX(PACK!$D:$D,MATCH($A256,PACK!$A:$A,0)),"")</f>
        <v/>
      </c>
      <c r="H256" s="21" t="str">
        <f>IFERROR(INDEX(PACK!$E:$E,MATCH($A256,PACK!$A:$A,0)),"")</f>
        <v/>
      </c>
      <c r="I256" s="21" t="str">
        <f t="shared" si="33"/>
        <v/>
      </c>
      <c r="J256" s="21" t="str">
        <f t="shared" si="36"/>
        <v/>
      </c>
      <c r="K256" s="21" t="str">
        <f t="shared" si="34"/>
        <v/>
      </c>
      <c r="L256" s="21" t="str">
        <f t="shared" si="37"/>
        <v/>
      </c>
      <c r="R256" s="21" t="str">
        <f>IFERROR(INDEX(PACK!$C:$C,MATCH($P256,PACK!$A:$A,0)),"")</f>
        <v/>
      </c>
      <c r="S256" s="21" t="str">
        <f t="shared" si="35"/>
        <v/>
      </c>
    </row>
    <row r="257" spans="6:19" x14ac:dyDescent="0.25">
      <c r="F257" s="21" t="str">
        <f>IFERROR(INDEX(PACK!$C:$C,MATCH($A257,PACK!$A:$A,0)),"")</f>
        <v/>
      </c>
      <c r="G257" s="21" t="str">
        <f>IFERROR(INDEX(PACK!$D:$D,MATCH($A257,PACK!$A:$A,0)),"")</f>
        <v/>
      </c>
      <c r="H257" s="21" t="str">
        <f>IFERROR(INDEX(PACK!$E:$E,MATCH($A257,PACK!$A:$A,0)),"")</f>
        <v/>
      </c>
      <c r="I257" s="21" t="str">
        <f t="shared" si="33"/>
        <v/>
      </c>
      <c r="J257" s="21" t="str">
        <f t="shared" si="36"/>
        <v/>
      </c>
      <c r="K257" s="21" t="str">
        <f t="shared" si="34"/>
        <v/>
      </c>
      <c r="L257" s="21" t="str">
        <f t="shared" si="37"/>
        <v/>
      </c>
      <c r="R257" s="21" t="str">
        <f>IFERROR(INDEX(PACK!$C:$C,MATCH($P257,PACK!$A:$A,0)),"")</f>
        <v/>
      </c>
      <c r="S257" s="21" t="str">
        <f t="shared" si="35"/>
        <v/>
      </c>
    </row>
    <row r="258" spans="6:19" x14ac:dyDescent="0.25">
      <c r="F258" s="21" t="str">
        <f>IFERROR(INDEX(PACK!$C:$C,MATCH($A258,PACK!$A:$A,0)),"")</f>
        <v/>
      </c>
      <c r="G258" s="21" t="str">
        <f>IFERROR(INDEX(PACK!$D:$D,MATCH($A258,PACK!$A:$A,0)),"")</f>
        <v/>
      </c>
      <c r="H258" s="21" t="str">
        <f>IFERROR(INDEX(PACK!$E:$E,MATCH($A258,PACK!$A:$A,0)),"")</f>
        <v/>
      </c>
      <c r="I258" s="21" t="str">
        <f t="shared" si="33"/>
        <v/>
      </c>
      <c r="J258" s="21" t="str">
        <f t="shared" si="36"/>
        <v/>
      </c>
      <c r="K258" s="21" t="str">
        <f t="shared" si="34"/>
        <v/>
      </c>
      <c r="L258" s="21" t="str">
        <f t="shared" si="37"/>
        <v/>
      </c>
      <c r="R258" s="21" t="str">
        <f>IFERROR(INDEX(PACK!$C:$C,MATCH($P258,PACK!$A:$A,0)),"")</f>
        <v/>
      </c>
      <c r="S258" s="21" t="str">
        <f t="shared" si="35"/>
        <v/>
      </c>
    </row>
    <row r="259" spans="6:19" x14ac:dyDescent="0.25">
      <c r="F259" s="21" t="str">
        <f>IFERROR(INDEX(PACK!$C:$C,MATCH($A259,PACK!$A:$A,0)),"")</f>
        <v/>
      </c>
      <c r="G259" s="21" t="str">
        <f>IFERROR(INDEX(PACK!$D:$D,MATCH($A259,PACK!$A:$A,0)),"")</f>
        <v/>
      </c>
      <c r="H259" s="21" t="str">
        <f>IFERROR(INDEX(PACK!$E:$E,MATCH($A259,PACK!$A:$A,0)),"")</f>
        <v/>
      </c>
      <c r="I259" s="21" t="str">
        <f t="shared" ref="I259:I322" si="38">IFERROR(C259/F259,"")</f>
        <v/>
      </c>
      <c r="J259" s="21" t="str">
        <f t="shared" si="36"/>
        <v/>
      </c>
      <c r="K259" s="21" t="str">
        <f t="shared" ref="K259:K322" si="39">IFERROR(MOD(I259,H259),"")</f>
        <v/>
      </c>
      <c r="L259" s="21" t="str">
        <f t="shared" si="37"/>
        <v/>
      </c>
      <c r="R259" s="21" t="str">
        <f>IFERROR(INDEX(PACK!$C:$C,MATCH($P259,PACK!$A:$A,0)),"")</f>
        <v/>
      </c>
      <c r="S259" s="21" t="str">
        <f t="shared" ref="S259:S322" si="40">IFERROR(Q259/R259,"")</f>
        <v/>
      </c>
    </row>
    <row r="260" spans="6:19" x14ac:dyDescent="0.25">
      <c r="F260" s="21" t="str">
        <f>IFERROR(INDEX(PACK!$C:$C,MATCH($A260,PACK!$A:$A,0)),"")</f>
        <v/>
      </c>
      <c r="G260" s="21" t="str">
        <f>IFERROR(INDEX(PACK!$D:$D,MATCH($A260,PACK!$A:$A,0)),"")</f>
        <v/>
      </c>
      <c r="H260" s="21" t="str">
        <f>IFERROR(INDEX(PACK!$E:$E,MATCH($A260,PACK!$A:$A,0)),"")</f>
        <v/>
      </c>
      <c r="I260" s="21" t="str">
        <f t="shared" si="38"/>
        <v/>
      </c>
      <c r="J260" s="21" t="str">
        <f t="shared" si="36"/>
        <v/>
      </c>
      <c r="K260" s="21" t="str">
        <f t="shared" si="39"/>
        <v/>
      </c>
      <c r="L260" s="21" t="str">
        <f t="shared" si="37"/>
        <v/>
      </c>
      <c r="R260" s="21" t="str">
        <f>IFERROR(INDEX(PACK!$C:$C,MATCH($P260,PACK!$A:$A,0)),"")</f>
        <v/>
      </c>
      <c r="S260" s="21" t="str">
        <f t="shared" si="40"/>
        <v/>
      </c>
    </row>
    <row r="261" spans="6:19" x14ac:dyDescent="0.25">
      <c r="F261" s="21" t="str">
        <f>IFERROR(INDEX(PACK!$C:$C,MATCH($A261,PACK!$A:$A,0)),"")</f>
        <v/>
      </c>
      <c r="G261" s="21" t="str">
        <f>IFERROR(INDEX(PACK!$D:$D,MATCH($A261,PACK!$A:$A,0)),"")</f>
        <v/>
      </c>
      <c r="H261" s="21" t="str">
        <f>IFERROR(INDEX(PACK!$E:$E,MATCH($A261,PACK!$A:$A,0)),"")</f>
        <v/>
      </c>
      <c r="I261" s="21" t="str">
        <f t="shared" si="38"/>
        <v/>
      </c>
      <c r="J261" s="21" t="str">
        <f t="shared" si="36"/>
        <v/>
      </c>
      <c r="K261" s="21" t="str">
        <f t="shared" si="39"/>
        <v/>
      </c>
      <c r="L261" s="21" t="str">
        <f t="shared" si="37"/>
        <v/>
      </c>
      <c r="R261" s="21" t="str">
        <f>IFERROR(INDEX(PACK!$C:$C,MATCH($P261,PACK!$A:$A,0)),"")</f>
        <v/>
      </c>
      <c r="S261" s="21" t="str">
        <f t="shared" si="40"/>
        <v/>
      </c>
    </row>
    <row r="262" spans="6:19" x14ac:dyDescent="0.25">
      <c r="F262" s="21" t="str">
        <f>IFERROR(INDEX(PACK!$C:$C,MATCH($A262,PACK!$A:$A,0)),"")</f>
        <v/>
      </c>
      <c r="G262" s="21" t="str">
        <f>IFERROR(INDEX(PACK!$D:$D,MATCH($A262,PACK!$A:$A,0)),"")</f>
        <v/>
      </c>
      <c r="H262" s="21" t="str">
        <f>IFERROR(INDEX(PACK!$E:$E,MATCH($A262,PACK!$A:$A,0)),"")</f>
        <v/>
      </c>
      <c r="I262" s="21" t="str">
        <f t="shared" si="38"/>
        <v/>
      </c>
      <c r="J262" s="21" t="str">
        <f t="shared" si="36"/>
        <v/>
      </c>
      <c r="K262" s="21" t="str">
        <f t="shared" si="39"/>
        <v/>
      </c>
      <c r="L262" s="21" t="str">
        <f t="shared" si="37"/>
        <v/>
      </c>
      <c r="R262" s="21" t="str">
        <f>IFERROR(INDEX(PACK!$C:$C,MATCH($P262,PACK!$A:$A,0)),"")</f>
        <v/>
      </c>
      <c r="S262" s="21" t="str">
        <f t="shared" si="40"/>
        <v/>
      </c>
    </row>
    <row r="263" spans="6:19" x14ac:dyDescent="0.25">
      <c r="F263" s="21" t="str">
        <f>IFERROR(INDEX(PACK!$C:$C,MATCH($A263,PACK!$A:$A,0)),"")</f>
        <v/>
      </c>
      <c r="G263" s="21" t="str">
        <f>IFERROR(INDEX(PACK!$D:$D,MATCH($A263,PACK!$A:$A,0)),"")</f>
        <v/>
      </c>
      <c r="H263" s="21" t="str">
        <f>IFERROR(INDEX(PACK!$E:$E,MATCH($A263,PACK!$A:$A,0)),"")</f>
        <v/>
      </c>
      <c r="I263" s="21" t="str">
        <f t="shared" si="38"/>
        <v/>
      </c>
      <c r="J263" s="21" t="str">
        <f t="shared" si="36"/>
        <v/>
      </c>
      <c r="K263" s="21" t="str">
        <f t="shared" si="39"/>
        <v/>
      </c>
      <c r="L263" s="21" t="str">
        <f t="shared" si="37"/>
        <v/>
      </c>
      <c r="R263" s="21" t="str">
        <f>IFERROR(INDEX(PACK!$C:$C,MATCH($P263,PACK!$A:$A,0)),"")</f>
        <v/>
      </c>
      <c r="S263" s="21" t="str">
        <f t="shared" si="40"/>
        <v/>
      </c>
    </row>
    <row r="264" spans="6:19" x14ac:dyDescent="0.25">
      <c r="F264" s="21" t="str">
        <f>IFERROR(INDEX(PACK!$C:$C,MATCH($A264,PACK!$A:$A,0)),"")</f>
        <v/>
      </c>
      <c r="G264" s="21" t="str">
        <f>IFERROR(INDEX(PACK!$D:$D,MATCH($A264,PACK!$A:$A,0)),"")</f>
        <v/>
      </c>
      <c r="H264" s="21" t="str">
        <f>IFERROR(INDEX(PACK!$E:$E,MATCH($A264,PACK!$A:$A,0)),"")</f>
        <v/>
      </c>
      <c r="I264" s="21" t="str">
        <f t="shared" si="38"/>
        <v/>
      </c>
      <c r="J264" s="21" t="str">
        <f t="shared" si="36"/>
        <v/>
      </c>
      <c r="K264" s="21" t="str">
        <f t="shared" si="39"/>
        <v/>
      </c>
      <c r="L264" s="21" t="str">
        <f t="shared" si="37"/>
        <v/>
      </c>
      <c r="R264" s="21" t="str">
        <f>IFERROR(INDEX(PACK!$C:$C,MATCH($P264,PACK!$A:$A,0)),"")</f>
        <v/>
      </c>
      <c r="S264" s="21" t="str">
        <f t="shared" si="40"/>
        <v/>
      </c>
    </row>
    <row r="265" spans="6:19" x14ac:dyDescent="0.25">
      <c r="F265" s="21" t="str">
        <f>IFERROR(INDEX(PACK!$C:$C,MATCH($A265,PACK!$A:$A,0)),"")</f>
        <v/>
      </c>
      <c r="G265" s="21" t="str">
        <f>IFERROR(INDEX(PACK!$D:$D,MATCH($A265,PACK!$A:$A,0)),"")</f>
        <v/>
      </c>
      <c r="H265" s="21" t="str">
        <f>IFERROR(INDEX(PACK!$E:$E,MATCH($A265,PACK!$A:$A,0)),"")</f>
        <v/>
      </c>
      <c r="I265" s="21" t="str">
        <f t="shared" si="38"/>
        <v/>
      </c>
      <c r="J265" s="21" t="str">
        <f t="shared" si="36"/>
        <v/>
      </c>
      <c r="K265" s="21" t="str">
        <f t="shared" si="39"/>
        <v/>
      </c>
      <c r="L265" s="21" t="str">
        <f t="shared" si="37"/>
        <v/>
      </c>
      <c r="R265" s="21" t="str">
        <f>IFERROR(INDEX(PACK!$C:$C,MATCH($P265,PACK!$A:$A,0)),"")</f>
        <v/>
      </c>
      <c r="S265" s="21" t="str">
        <f t="shared" si="40"/>
        <v/>
      </c>
    </row>
    <row r="266" spans="6:19" x14ac:dyDescent="0.25">
      <c r="F266" s="21" t="str">
        <f>IFERROR(INDEX(PACK!$C:$C,MATCH($A266,PACK!$A:$A,0)),"")</f>
        <v/>
      </c>
      <c r="G266" s="21" t="str">
        <f>IFERROR(INDEX(PACK!$D:$D,MATCH($A266,PACK!$A:$A,0)),"")</f>
        <v/>
      </c>
      <c r="H266" s="21" t="str">
        <f>IFERROR(INDEX(PACK!$E:$E,MATCH($A266,PACK!$A:$A,0)),"")</f>
        <v/>
      </c>
      <c r="I266" s="21" t="str">
        <f t="shared" si="38"/>
        <v/>
      </c>
      <c r="J266" s="21" t="str">
        <f t="shared" si="36"/>
        <v/>
      </c>
      <c r="K266" s="21" t="str">
        <f t="shared" si="39"/>
        <v/>
      </c>
      <c r="L266" s="21" t="str">
        <f t="shared" si="37"/>
        <v/>
      </c>
      <c r="R266" s="21" t="str">
        <f>IFERROR(INDEX(PACK!$C:$C,MATCH($P266,PACK!$A:$A,0)),"")</f>
        <v/>
      </c>
      <c r="S266" s="21" t="str">
        <f t="shared" si="40"/>
        <v/>
      </c>
    </row>
    <row r="267" spans="6:19" x14ac:dyDescent="0.25">
      <c r="F267" s="21" t="str">
        <f>IFERROR(INDEX(PACK!$C:$C,MATCH($A267,PACK!$A:$A,0)),"")</f>
        <v/>
      </c>
      <c r="G267" s="21" t="str">
        <f>IFERROR(INDEX(PACK!$D:$D,MATCH($A267,PACK!$A:$A,0)),"")</f>
        <v/>
      </c>
      <c r="H267" s="21" t="str">
        <f>IFERROR(INDEX(PACK!$E:$E,MATCH($A267,PACK!$A:$A,0)),"")</f>
        <v/>
      </c>
      <c r="I267" s="21" t="str">
        <f t="shared" si="38"/>
        <v/>
      </c>
      <c r="J267" s="21" t="str">
        <f t="shared" si="36"/>
        <v/>
      </c>
      <c r="K267" s="21" t="str">
        <f t="shared" si="39"/>
        <v/>
      </c>
      <c r="L267" s="21" t="str">
        <f t="shared" si="37"/>
        <v/>
      </c>
      <c r="R267" s="21" t="str">
        <f>IFERROR(INDEX(PACK!$C:$C,MATCH($P267,PACK!$A:$A,0)),"")</f>
        <v/>
      </c>
      <c r="S267" s="21" t="str">
        <f t="shared" si="40"/>
        <v/>
      </c>
    </row>
    <row r="268" spans="6:19" x14ac:dyDescent="0.25">
      <c r="F268" s="21" t="str">
        <f>IFERROR(INDEX(PACK!$C:$C,MATCH($A268,PACK!$A:$A,0)),"")</f>
        <v/>
      </c>
      <c r="G268" s="21" t="str">
        <f>IFERROR(INDEX(PACK!$D:$D,MATCH($A268,PACK!$A:$A,0)),"")</f>
        <v/>
      </c>
      <c r="H268" s="21" t="str">
        <f>IFERROR(INDEX(PACK!$E:$E,MATCH($A268,PACK!$A:$A,0)),"")</f>
        <v/>
      </c>
      <c r="I268" s="21" t="str">
        <f t="shared" si="38"/>
        <v/>
      </c>
      <c r="J268" s="21" t="str">
        <f t="shared" si="36"/>
        <v/>
      </c>
      <c r="K268" s="21" t="str">
        <f t="shared" si="39"/>
        <v/>
      </c>
      <c r="L268" s="21" t="str">
        <f t="shared" si="37"/>
        <v/>
      </c>
      <c r="R268" s="21" t="str">
        <f>IFERROR(INDEX(PACK!$C:$C,MATCH($P268,PACK!$A:$A,0)),"")</f>
        <v/>
      </c>
      <c r="S268" s="21" t="str">
        <f t="shared" si="40"/>
        <v/>
      </c>
    </row>
    <row r="269" spans="6:19" x14ac:dyDescent="0.25">
      <c r="F269" s="21" t="str">
        <f>IFERROR(INDEX(PACK!$C:$C,MATCH($A269,PACK!$A:$A,0)),"")</f>
        <v/>
      </c>
      <c r="G269" s="21" t="str">
        <f>IFERROR(INDEX(PACK!$D:$D,MATCH($A269,PACK!$A:$A,0)),"")</f>
        <v/>
      </c>
      <c r="H269" s="21" t="str">
        <f>IFERROR(INDEX(PACK!$E:$E,MATCH($A269,PACK!$A:$A,0)),"")</f>
        <v/>
      </c>
      <c r="I269" s="21" t="str">
        <f t="shared" si="38"/>
        <v/>
      </c>
      <c r="J269" s="21" t="str">
        <f t="shared" si="36"/>
        <v/>
      </c>
      <c r="K269" s="21" t="str">
        <f t="shared" si="39"/>
        <v/>
      </c>
      <c r="L269" s="21" t="str">
        <f t="shared" si="37"/>
        <v/>
      </c>
      <c r="R269" s="21" t="str">
        <f>IFERROR(INDEX(PACK!$C:$C,MATCH($P269,PACK!$A:$A,0)),"")</f>
        <v/>
      </c>
      <c r="S269" s="21" t="str">
        <f t="shared" si="40"/>
        <v/>
      </c>
    </row>
    <row r="270" spans="6:19" x14ac:dyDescent="0.25">
      <c r="F270" s="21" t="str">
        <f>IFERROR(INDEX(PACK!$C:$C,MATCH($A270,PACK!$A:$A,0)),"")</f>
        <v/>
      </c>
      <c r="G270" s="21" t="str">
        <f>IFERROR(INDEX(PACK!$D:$D,MATCH($A270,PACK!$A:$A,0)),"")</f>
        <v/>
      </c>
      <c r="H270" s="21" t="str">
        <f>IFERROR(INDEX(PACK!$E:$E,MATCH($A270,PACK!$A:$A,0)),"")</f>
        <v/>
      </c>
      <c r="I270" s="21" t="str">
        <f t="shared" si="38"/>
        <v/>
      </c>
      <c r="J270" s="21" t="str">
        <f t="shared" si="36"/>
        <v/>
      </c>
      <c r="K270" s="21" t="str">
        <f t="shared" si="39"/>
        <v/>
      </c>
      <c r="L270" s="21" t="str">
        <f t="shared" si="37"/>
        <v/>
      </c>
      <c r="R270" s="21" t="str">
        <f>IFERROR(INDEX(PACK!$C:$C,MATCH($P270,PACK!$A:$A,0)),"")</f>
        <v/>
      </c>
      <c r="S270" s="21" t="str">
        <f t="shared" si="40"/>
        <v/>
      </c>
    </row>
    <row r="271" spans="6:19" x14ac:dyDescent="0.25">
      <c r="F271" s="21" t="str">
        <f>IFERROR(INDEX(PACK!$C:$C,MATCH($A271,PACK!$A:$A,0)),"")</f>
        <v/>
      </c>
      <c r="G271" s="21" t="str">
        <f>IFERROR(INDEX(PACK!$D:$D,MATCH($A271,PACK!$A:$A,0)),"")</f>
        <v/>
      </c>
      <c r="H271" s="21" t="str">
        <f>IFERROR(INDEX(PACK!$E:$E,MATCH($A271,PACK!$A:$A,0)),"")</f>
        <v/>
      </c>
      <c r="I271" s="21" t="str">
        <f t="shared" si="38"/>
        <v/>
      </c>
      <c r="J271" s="21" t="str">
        <f t="shared" si="36"/>
        <v/>
      </c>
      <c r="K271" s="21" t="str">
        <f t="shared" si="39"/>
        <v/>
      </c>
      <c r="L271" s="21" t="str">
        <f t="shared" si="37"/>
        <v/>
      </c>
      <c r="R271" s="21" t="str">
        <f>IFERROR(INDEX(PACK!$C:$C,MATCH($P271,PACK!$A:$A,0)),"")</f>
        <v/>
      </c>
      <c r="S271" s="21" t="str">
        <f t="shared" si="40"/>
        <v/>
      </c>
    </row>
    <row r="272" spans="6:19" x14ac:dyDescent="0.25">
      <c r="F272" s="21" t="str">
        <f>IFERROR(INDEX(PACK!$C:$C,MATCH($A272,PACK!$A:$A,0)),"")</f>
        <v/>
      </c>
      <c r="G272" s="21" t="str">
        <f>IFERROR(INDEX(PACK!$D:$D,MATCH($A272,PACK!$A:$A,0)),"")</f>
        <v/>
      </c>
      <c r="H272" s="21" t="str">
        <f>IFERROR(INDEX(PACK!$E:$E,MATCH($A272,PACK!$A:$A,0)),"")</f>
        <v/>
      </c>
      <c r="I272" s="21" t="str">
        <f t="shared" si="38"/>
        <v/>
      </c>
      <c r="J272" s="21" t="str">
        <f t="shared" si="36"/>
        <v/>
      </c>
      <c r="K272" s="21" t="str">
        <f t="shared" si="39"/>
        <v/>
      </c>
      <c r="L272" s="21" t="str">
        <f t="shared" si="37"/>
        <v/>
      </c>
      <c r="R272" s="21" t="str">
        <f>IFERROR(INDEX(PACK!$C:$C,MATCH($P272,PACK!$A:$A,0)),"")</f>
        <v/>
      </c>
      <c r="S272" s="21" t="str">
        <f t="shared" si="40"/>
        <v/>
      </c>
    </row>
    <row r="273" spans="6:19" x14ac:dyDescent="0.25">
      <c r="F273" s="21" t="str">
        <f>IFERROR(INDEX(PACK!$C:$C,MATCH($A273,PACK!$A:$A,0)),"")</f>
        <v/>
      </c>
      <c r="G273" s="21" t="str">
        <f>IFERROR(INDEX(PACK!$D:$D,MATCH($A273,PACK!$A:$A,0)),"")</f>
        <v/>
      </c>
      <c r="H273" s="21" t="str">
        <f>IFERROR(INDEX(PACK!$E:$E,MATCH($A273,PACK!$A:$A,0)),"")</f>
        <v/>
      </c>
      <c r="I273" s="21" t="str">
        <f t="shared" si="38"/>
        <v/>
      </c>
      <c r="J273" s="21" t="str">
        <f t="shared" si="36"/>
        <v/>
      </c>
      <c r="K273" s="21" t="str">
        <f t="shared" si="39"/>
        <v/>
      </c>
      <c r="L273" s="21" t="str">
        <f t="shared" si="37"/>
        <v/>
      </c>
      <c r="R273" s="21" t="str">
        <f>IFERROR(INDEX(PACK!$C:$C,MATCH($P273,PACK!$A:$A,0)),"")</f>
        <v/>
      </c>
      <c r="S273" s="21" t="str">
        <f t="shared" si="40"/>
        <v/>
      </c>
    </row>
    <row r="274" spans="6:19" x14ac:dyDescent="0.25">
      <c r="F274" s="21" t="str">
        <f>IFERROR(INDEX(PACK!$C:$C,MATCH($A274,PACK!$A:$A,0)),"")</f>
        <v/>
      </c>
      <c r="G274" s="21" t="str">
        <f>IFERROR(INDEX(PACK!$D:$D,MATCH($A274,PACK!$A:$A,0)),"")</f>
        <v/>
      </c>
      <c r="H274" s="21" t="str">
        <f>IFERROR(INDEX(PACK!$E:$E,MATCH($A274,PACK!$A:$A,0)),"")</f>
        <v/>
      </c>
      <c r="I274" s="21" t="str">
        <f t="shared" si="38"/>
        <v/>
      </c>
      <c r="J274" s="21" t="str">
        <f t="shared" si="36"/>
        <v/>
      </c>
      <c r="K274" s="21" t="str">
        <f t="shared" si="39"/>
        <v/>
      </c>
      <c r="L274" s="21" t="str">
        <f t="shared" si="37"/>
        <v/>
      </c>
      <c r="R274" s="21" t="str">
        <f>IFERROR(INDEX(PACK!$C:$C,MATCH($P274,PACK!$A:$A,0)),"")</f>
        <v/>
      </c>
      <c r="S274" s="21" t="str">
        <f t="shared" si="40"/>
        <v/>
      </c>
    </row>
    <row r="275" spans="6:19" x14ac:dyDescent="0.25">
      <c r="F275" s="21" t="str">
        <f>IFERROR(INDEX(PACK!$C:$C,MATCH($A275,PACK!$A:$A,0)),"")</f>
        <v/>
      </c>
      <c r="G275" s="21" t="str">
        <f>IFERROR(INDEX(PACK!$D:$D,MATCH($A275,PACK!$A:$A,0)),"")</f>
        <v/>
      </c>
      <c r="H275" s="21" t="str">
        <f>IFERROR(INDEX(PACK!$E:$E,MATCH($A275,PACK!$A:$A,0)),"")</f>
        <v/>
      </c>
      <c r="I275" s="21" t="str">
        <f t="shared" si="38"/>
        <v/>
      </c>
      <c r="J275" s="21" t="str">
        <f t="shared" si="36"/>
        <v/>
      </c>
      <c r="K275" s="21" t="str">
        <f t="shared" si="39"/>
        <v/>
      </c>
      <c r="L275" s="21" t="str">
        <f t="shared" si="37"/>
        <v/>
      </c>
      <c r="R275" s="21" t="str">
        <f>IFERROR(INDEX(PACK!$C:$C,MATCH($P275,PACK!$A:$A,0)),"")</f>
        <v/>
      </c>
      <c r="S275" s="21" t="str">
        <f t="shared" si="40"/>
        <v/>
      </c>
    </row>
    <row r="276" spans="6:19" x14ac:dyDescent="0.25">
      <c r="F276" s="21" t="str">
        <f>IFERROR(INDEX(PACK!$C:$C,MATCH($A276,PACK!$A:$A,0)),"")</f>
        <v/>
      </c>
      <c r="G276" s="21" t="str">
        <f>IFERROR(INDEX(PACK!$D:$D,MATCH($A276,PACK!$A:$A,0)),"")</f>
        <v/>
      </c>
      <c r="H276" s="21" t="str">
        <f>IFERROR(INDEX(PACK!$E:$E,MATCH($A276,PACK!$A:$A,0)),"")</f>
        <v/>
      </c>
      <c r="I276" s="21" t="str">
        <f t="shared" si="38"/>
        <v/>
      </c>
      <c r="J276" s="21" t="str">
        <f t="shared" si="36"/>
        <v/>
      </c>
      <c r="K276" s="21" t="str">
        <f t="shared" si="39"/>
        <v/>
      </c>
      <c r="L276" s="21" t="str">
        <f t="shared" si="37"/>
        <v/>
      </c>
      <c r="R276" s="21" t="str">
        <f>IFERROR(INDEX(PACK!$C:$C,MATCH($P276,PACK!$A:$A,0)),"")</f>
        <v/>
      </c>
      <c r="S276" s="21" t="str">
        <f t="shared" si="40"/>
        <v/>
      </c>
    </row>
    <row r="277" spans="6:19" x14ac:dyDescent="0.25">
      <c r="F277" s="21" t="str">
        <f>IFERROR(INDEX(PACK!$C:$C,MATCH($A277,PACK!$A:$A,0)),"")</f>
        <v/>
      </c>
      <c r="G277" s="21" t="str">
        <f>IFERROR(INDEX(PACK!$D:$D,MATCH($A277,PACK!$A:$A,0)),"")</f>
        <v/>
      </c>
      <c r="H277" s="21" t="str">
        <f>IFERROR(INDEX(PACK!$E:$E,MATCH($A277,PACK!$A:$A,0)),"")</f>
        <v/>
      </c>
      <c r="I277" s="21" t="str">
        <f t="shared" si="38"/>
        <v/>
      </c>
      <c r="J277" s="21" t="str">
        <f t="shared" si="36"/>
        <v/>
      </c>
      <c r="K277" s="21" t="str">
        <f t="shared" si="39"/>
        <v/>
      </c>
      <c r="L277" s="21" t="str">
        <f t="shared" si="37"/>
        <v/>
      </c>
      <c r="R277" s="21" t="str">
        <f>IFERROR(INDEX(PACK!$C:$C,MATCH($P277,PACK!$A:$A,0)),"")</f>
        <v/>
      </c>
      <c r="S277" s="21" t="str">
        <f t="shared" si="40"/>
        <v/>
      </c>
    </row>
    <row r="278" spans="6:19" x14ac:dyDescent="0.25">
      <c r="F278" s="21" t="str">
        <f>IFERROR(INDEX(PACK!$C:$C,MATCH($A278,PACK!$A:$A,0)),"")</f>
        <v/>
      </c>
      <c r="G278" s="21" t="str">
        <f>IFERROR(INDEX(PACK!$D:$D,MATCH($A278,PACK!$A:$A,0)),"")</f>
        <v/>
      </c>
      <c r="H278" s="21" t="str">
        <f>IFERROR(INDEX(PACK!$E:$E,MATCH($A278,PACK!$A:$A,0)),"")</f>
        <v/>
      </c>
      <c r="I278" s="21" t="str">
        <f t="shared" si="38"/>
        <v/>
      </c>
      <c r="J278" s="21" t="str">
        <f t="shared" si="36"/>
        <v/>
      </c>
      <c r="K278" s="21" t="str">
        <f t="shared" si="39"/>
        <v/>
      </c>
      <c r="L278" s="21" t="str">
        <f t="shared" si="37"/>
        <v/>
      </c>
      <c r="R278" s="21" t="str">
        <f>IFERROR(INDEX(PACK!$C:$C,MATCH($P278,PACK!$A:$A,0)),"")</f>
        <v/>
      </c>
      <c r="S278" s="21" t="str">
        <f t="shared" si="40"/>
        <v/>
      </c>
    </row>
    <row r="279" spans="6:19" x14ac:dyDescent="0.25">
      <c r="F279" s="21" t="str">
        <f>IFERROR(INDEX(PACK!$C:$C,MATCH($A279,PACK!$A:$A,0)),"")</f>
        <v/>
      </c>
      <c r="G279" s="21" t="str">
        <f>IFERROR(INDEX(PACK!$D:$D,MATCH($A279,PACK!$A:$A,0)),"")</f>
        <v/>
      </c>
      <c r="H279" s="21" t="str">
        <f>IFERROR(INDEX(PACK!$E:$E,MATCH($A279,PACK!$A:$A,0)),"")</f>
        <v/>
      </c>
      <c r="I279" s="21" t="str">
        <f t="shared" si="38"/>
        <v/>
      </c>
      <c r="J279" s="21" t="str">
        <f t="shared" ref="J279:J342" si="41">IFERROR(ROUNDDOWN(C279/G279,0),"")</f>
        <v/>
      </c>
      <c r="K279" s="21" t="str">
        <f t="shared" si="39"/>
        <v/>
      </c>
      <c r="L279" s="21" t="str">
        <f t="shared" ref="L279:L342" si="42">IFERROR(K279*F279,"")</f>
        <v/>
      </c>
      <c r="R279" s="21" t="str">
        <f>IFERROR(INDEX(PACK!$C:$C,MATCH($P279,PACK!$A:$A,0)),"")</f>
        <v/>
      </c>
      <c r="S279" s="21" t="str">
        <f t="shared" si="40"/>
        <v/>
      </c>
    </row>
    <row r="280" spans="6:19" x14ac:dyDescent="0.25">
      <c r="F280" s="21" t="str">
        <f>IFERROR(INDEX(PACK!$C:$C,MATCH($A280,PACK!$A:$A,0)),"")</f>
        <v/>
      </c>
      <c r="G280" s="21" t="str">
        <f>IFERROR(INDEX(PACK!$D:$D,MATCH($A280,PACK!$A:$A,0)),"")</f>
        <v/>
      </c>
      <c r="H280" s="21" t="str">
        <f>IFERROR(INDEX(PACK!$E:$E,MATCH($A280,PACK!$A:$A,0)),"")</f>
        <v/>
      </c>
      <c r="I280" s="21" t="str">
        <f t="shared" si="38"/>
        <v/>
      </c>
      <c r="J280" s="21" t="str">
        <f t="shared" si="41"/>
        <v/>
      </c>
      <c r="K280" s="21" t="str">
        <f t="shared" si="39"/>
        <v/>
      </c>
      <c r="L280" s="21" t="str">
        <f t="shared" si="42"/>
        <v/>
      </c>
      <c r="R280" s="21" t="str">
        <f>IFERROR(INDEX(PACK!$C:$C,MATCH($P280,PACK!$A:$A,0)),"")</f>
        <v/>
      </c>
      <c r="S280" s="21" t="str">
        <f t="shared" si="40"/>
        <v/>
      </c>
    </row>
    <row r="281" spans="6:19" x14ac:dyDescent="0.25">
      <c r="F281" s="21" t="str">
        <f>IFERROR(INDEX(PACK!$C:$C,MATCH($A281,PACK!$A:$A,0)),"")</f>
        <v/>
      </c>
      <c r="G281" s="21" t="str">
        <f>IFERROR(INDEX(PACK!$D:$D,MATCH($A281,PACK!$A:$A,0)),"")</f>
        <v/>
      </c>
      <c r="H281" s="21" t="str">
        <f>IFERROR(INDEX(PACK!$E:$E,MATCH($A281,PACK!$A:$A,0)),"")</f>
        <v/>
      </c>
      <c r="I281" s="21" t="str">
        <f t="shared" si="38"/>
        <v/>
      </c>
      <c r="J281" s="21" t="str">
        <f t="shared" si="41"/>
        <v/>
      </c>
      <c r="K281" s="21" t="str">
        <f t="shared" si="39"/>
        <v/>
      </c>
      <c r="L281" s="21" t="str">
        <f t="shared" si="42"/>
        <v/>
      </c>
      <c r="R281" s="21" t="str">
        <f>IFERROR(INDEX(PACK!$C:$C,MATCH($P281,PACK!$A:$A,0)),"")</f>
        <v/>
      </c>
      <c r="S281" s="21" t="str">
        <f t="shared" si="40"/>
        <v/>
      </c>
    </row>
    <row r="282" spans="6:19" x14ac:dyDescent="0.25">
      <c r="F282" s="21" t="str">
        <f>IFERROR(INDEX(PACK!$C:$C,MATCH($A282,PACK!$A:$A,0)),"")</f>
        <v/>
      </c>
      <c r="G282" s="21" t="str">
        <f>IFERROR(INDEX(PACK!$D:$D,MATCH($A282,PACK!$A:$A,0)),"")</f>
        <v/>
      </c>
      <c r="H282" s="21" t="str">
        <f>IFERROR(INDEX(PACK!$E:$E,MATCH($A282,PACK!$A:$A,0)),"")</f>
        <v/>
      </c>
      <c r="I282" s="21" t="str">
        <f t="shared" si="38"/>
        <v/>
      </c>
      <c r="J282" s="21" t="str">
        <f t="shared" si="41"/>
        <v/>
      </c>
      <c r="K282" s="21" t="str">
        <f t="shared" si="39"/>
        <v/>
      </c>
      <c r="L282" s="21" t="str">
        <f t="shared" si="42"/>
        <v/>
      </c>
      <c r="R282" s="21" t="str">
        <f>IFERROR(INDEX(PACK!$C:$C,MATCH($P282,PACK!$A:$A,0)),"")</f>
        <v/>
      </c>
      <c r="S282" s="21" t="str">
        <f t="shared" si="40"/>
        <v/>
      </c>
    </row>
    <row r="283" spans="6:19" x14ac:dyDescent="0.25">
      <c r="F283" s="21" t="str">
        <f>IFERROR(INDEX(PACK!$C:$C,MATCH($A283,PACK!$A:$A,0)),"")</f>
        <v/>
      </c>
      <c r="G283" s="21" t="str">
        <f>IFERROR(INDEX(PACK!$D:$D,MATCH($A283,PACK!$A:$A,0)),"")</f>
        <v/>
      </c>
      <c r="H283" s="21" t="str">
        <f>IFERROR(INDEX(PACK!$E:$E,MATCH($A283,PACK!$A:$A,0)),"")</f>
        <v/>
      </c>
      <c r="I283" s="21" t="str">
        <f t="shared" si="38"/>
        <v/>
      </c>
      <c r="J283" s="21" t="str">
        <f t="shared" si="41"/>
        <v/>
      </c>
      <c r="K283" s="21" t="str">
        <f t="shared" si="39"/>
        <v/>
      </c>
      <c r="L283" s="21" t="str">
        <f t="shared" si="42"/>
        <v/>
      </c>
      <c r="R283" s="21" t="str">
        <f>IFERROR(INDEX(PACK!$C:$C,MATCH($P283,PACK!$A:$A,0)),"")</f>
        <v/>
      </c>
      <c r="S283" s="21" t="str">
        <f t="shared" si="40"/>
        <v/>
      </c>
    </row>
    <row r="284" spans="6:19" x14ac:dyDescent="0.25">
      <c r="F284" s="21" t="str">
        <f>IFERROR(INDEX(PACK!$C:$C,MATCH($A284,PACK!$A:$A,0)),"")</f>
        <v/>
      </c>
      <c r="G284" s="21" t="str">
        <f>IFERROR(INDEX(PACK!$D:$D,MATCH($A284,PACK!$A:$A,0)),"")</f>
        <v/>
      </c>
      <c r="H284" s="21" t="str">
        <f>IFERROR(INDEX(PACK!$E:$E,MATCH($A284,PACK!$A:$A,0)),"")</f>
        <v/>
      </c>
      <c r="I284" s="21" t="str">
        <f t="shared" si="38"/>
        <v/>
      </c>
      <c r="J284" s="21" t="str">
        <f t="shared" si="41"/>
        <v/>
      </c>
      <c r="K284" s="21" t="str">
        <f t="shared" si="39"/>
        <v/>
      </c>
      <c r="L284" s="21" t="str">
        <f t="shared" si="42"/>
        <v/>
      </c>
      <c r="R284" s="21" t="str">
        <f>IFERROR(INDEX(PACK!$C:$C,MATCH($P284,PACK!$A:$A,0)),"")</f>
        <v/>
      </c>
      <c r="S284" s="21" t="str">
        <f t="shared" si="40"/>
        <v/>
      </c>
    </row>
    <row r="285" spans="6:19" x14ac:dyDescent="0.25">
      <c r="F285" s="21" t="str">
        <f>IFERROR(INDEX(PACK!$C:$C,MATCH($A285,PACK!$A:$A,0)),"")</f>
        <v/>
      </c>
      <c r="G285" s="21" t="str">
        <f>IFERROR(INDEX(PACK!$D:$D,MATCH($A285,PACK!$A:$A,0)),"")</f>
        <v/>
      </c>
      <c r="H285" s="21" t="str">
        <f>IFERROR(INDEX(PACK!$E:$E,MATCH($A285,PACK!$A:$A,0)),"")</f>
        <v/>
      </c>
      <c r="I285" s="21" t="str">
        <f t="shared" si="38"/>
        <v/>
      </c>
      <c r="J285" s="21" t="str">
        <f t="shared" si="41"/>
        <v/>
      </c>
      <c r="K285" s="21" t="str">
        <f t="shared" si="39"/>
        <v/>
      </c>
      <c r="L285" s="21" t="str">
        <f t="shared" si="42"/>
        <v/>
      </c>
      <c r="R285" s="21" t="str">
        <f>IFERROR(INDEX(PACK!$C:$C,MATCH($P285,PACK!$A:$A,0)),"")</f>
        <v/>
      </c>
      <c r="S285" s="21" t="str">
        <f t="shared" si="40"/>
        <v/>
      </c>
    </row>
    <row r="286" spans="6:19" x14ac:dyDescent="0.25">
      <c r="F286" s="21" t="str">
        <f>IFERROR(INDEX(PACK!$C:$C,MATCH($A286,PACK!$A:$A,0)),"")</f>
        <v/>
      </c>
      <c r="G286" s="21" t="str">
        <f>IFERROR(INDEX(PACK!$D:$D,MATCH($A286,PACK!$A:$A,0)),"")</f>
        <v/>
      </c>
      <c r="H286" s="21" t="str">
        <f>IFERROR(INDEX(PACK!$E:$E,MATCH($A286,PACK!$A:$A,0)),"")</f>
        <v/>
      </c>
      <c r="I286" s="21" t="str">
        <f t="shared" si="38"/>
        <v/>
      </c>
      <c r="J286" s="21" t="str">
        <f t="shared" si="41"/>
        <v/>
      </c>
      <c r="K286" s="21" t="str">
        <f t="shared" si="39"/>
        <v/>
      </c>
      <c r="L286" s="21" t="str">
        <f t="shared" si="42"/>
        <v/>
      </c>
      <c r="R286" s="21" t="str">
        <f>IFERROR(INDEX(PACK!$C:$C,MATCH($P286,PACK!$A:$A,0)),"")</f>
        <v/>
      </c>
      <c r="S286" s="21" t="str">
        <f t="shared" si="40"/>
        <v/>
      </c>
    </row>
    <row r="287" spans="6:19" x14ac:dyDescent="0.25">
      <c r="F287" s="21" t="str">
        <f>IFERROR(INDEX(PACK!$C:$C,MATCH($A287,PACK!$A:$A,0)),"")</f>
        <v/>
      </c>
      <c r="G287" s="21" t="str">
        <f>IFERROR(INDEX(PACK!$D:$D,MATCH($A287,PACK!$A:$A,0)),"")</f>
        <v/>
      </c>
      <c r="H287" s="21" t="str">
        <f>IFERROR(INDEX(PACK!$E:$E,MATCH($A287,PACK!$A:$A,0)),"")</f>
        <v/>
      </c>
      <c r="I287" s="21" t="str">
        <f t="shared" si="38"/>
        <v/>
      </c>
      <c r="J287" s="21" t="str">
        <f t="shared" si="41"/>
        <v/>
      </c>
      <c r="K287" s="21" t="str">
        <f t="shared" si="39"/>
        <v/>
      </c>
      <c r="L287" s="21" t="str">
        <f t="shared" si="42"/>
        <v/>
      </c>
      <c r="R287" s="21" t="str">
        <f>IFERROR(INDEX(PACK!$C:$C,MATCH($P287,PACK!$A:$A,0)),"")</f>
        <v/>
      </c>
      <c r="S287" s="21" t="str">
        <f t="shared" si="40"/>
        <v/>
      </c>
    </row>
    <row r="288" spans="6:19" x14ac:dyDescent="0.25">
      <c r="F288" s="21" t="str">
        <f>IFERROR(INDEX(PACK!$C:$C,MATCH($A288,PACK!$A:$A,0)),"")</f>
        <v/>
      </c>
      <c r="G288" s="21" t="str">
        <f>IFERROR(INDEX(PACK!$D:$D,MATCH($A288,PACK!$A:$A,0)),"")</f>
        <v/>
      </c>
      <c r="H288" s="21" t="str">
        <f>IFERROR(INDEX(PACK!$E:$E,MATCH($A288,PACK!$A:$A,0)),"")</f>
        <v/>
      </c>
      <c r="I288" s="21" t="str">
        <f t="shared" si="38"/>
        <v/>
      </c>
      <c r="J288" s="21" t="str">
        <f t="shared" si="41"/>
        <v/>
      </c>
      <c r="K288" s="21" t="str">
        <f t="shared" si="39"/>
        <v/>
      </c>
      <c r="L288" s="21" t="str">
        <f t="shared" si="42"/>
        <v/>
      </c>
      <c r="R288" s="21" t="str">
        <f>IFERROR(INDEX(PACK!$C:$C,MATCH($P288,PACK!$A:$A,0)),"")</f>
        <v/>
      </c>
      <c r="S288" s="21" t="str">
        <f t="shared" si="40"/>
        <v/>
      </c>
    </row>
    <row r="289" spans="6:19" x14ac:dyDescent="0.25">
      <c r="F289" s="21" t="str">
        <f>IFERROR(INDEX(PACK!$C:$C,MATCH($A289,PACK!$A:$A,0)),"")</f>
        <v/>
      </c>
      <c r="G289" s="21" t="str">
        <f>IFERROR(INDEX(PACK!$D:$D,MATCH($A289,PACK!$A:$A,0)),"")</f>
        <v/>
      </c>
      <c r="H289" s="21" t="str">
        <f>IFERROR(INDEX(PACK!$E:$E,MATCH($A289,PACK!$A:$A,0)),"")</f>
        <v/>
      </c>
      <c r="I289" s="21" t="str">
        <f t="shared" si="38"/>
        <v/>
      </c>
      <c r="J289" s="21" t="str">
        <f t="shared" si="41"/>
        <v/>
      </c>
      <c r="K289" s="21" t="str">
        <f t="shared" si="39"/>
        <v/>
      </c>
      <c r="L289" s="21" t="str">
        <f t="shared" si="42"/>
        <v/>
      </c>
      <c r="R289" s="21" t="str">
        <f>IFERROR(INDEX(PACK!$C:$C,MATCH($P289,PACK!$A:$A,0)),"")</f>
        <v/>
      </c>
      <c r="S289" s="21" t="str">
        <f t="shared" si="40"/>
        <v/>
      </c>
    </row>
    <row r="290" spans="6:19" x14ac:dyDescent="0.25">
      <c r="F290" s="21" t="str">
        <f>IFERROR(INDEX(PACK!$C:$C,MATCH($A290,PACK!$A:$A,0)),"")</f>
        <v/>
      </c>
      <c r="G290" s="21" t="str">
        <f>IFERROR(INDEX(PACK!$D:$D,MATCH($A290,PACK!$A:$A,0)),"")</f>
        <v/>
      </c>
      <c r="H290" s="21" t="str">
        <f>IFERROR(INDEX(PACK!$E:$E,MATCH($A290,PACK!$A:$A,0)),"")</f>
        <v/>
      </c>
      <c r="I290" s="21" t="str">
        <f t="shared" si="38"/>
        <v/>
      </c>
      <c r="J290" s="21" t="str">
        <f t="shared" si="41"/>
        <v/>
      </c>
      <c r="K290" s="21" t="str">
        <f t="shared" si="39"/>
        <v/>
      </c>
      <c r="L290" s="21" t="str">
        <f t="shared" si="42"/>
        <v/>
      </c>
      <c r="R290" s="21" t="str">
        <f>IFERROR(INDEX(PACK!$C:$C,MATCH($P290,PACK!$A:$A,0)),"")</f>
        <v/>
      </c>
      <c r="S290" s="21" t="str">
        <f t="shared" si="40"/>
        <v/>
      </c>
    </row>
    <row r="291" spans="6:19" x14ac:dyDescent="0.25">
      <c r="F291" s="21" t="str">
        <f>IFERROR(INDEX(PACK!$C:$C,MATCH($A291,PACK!$A:$A,0)),"")</f>
        <v/>
      </c>
      <c r="G291" s="21" t="str">
        <f>IFERROR(INDEX(PACK!$D:$D,MATCH($A291,PACK!$A:$A,0)),"")</f>
        <v/>
      </c>
      <c r="H291" s="21" t="str">
        <f>IFERROR(INDEX(PACK!$E:$E,MATCH($A291,PACK!$A:$A,0)),"")</f>
        <v/>
      </c>
      <c r="I291" s="21" t="str">
        <f t="shared" si="38"/>
        <v/>
      </c>
      <c r="J291" s="21" t="str">
        <f t="shared" si="41"/>
        <v/>
      </c>
      <c r="K291" s="21" t="str">
        <f t="shared" si="39"/>
        <v/>
      </c>
      <c r="L291" s="21" t="str">
        <f t="shared" si="42"/>
        <v/>
      </c>
      <c r="R291" s="21" t="str">
        <f>IFERROR(INDEX(PACK!$C:$C,MATCH($P291,PACK!$A:$A,0)),"")</f>
        <v/>
      </c>
      <c r="S291" s="21" t="str">
        <f t="shared" si="40"/>
        <v/>
      </c>
    </row>
    <row r="292" spans="6:19" x14ac:dyDescent="0.25">
      <c r="F292" s="21" t="str">
        <f>IFERROR(INDEX(PACK!$C:$C,MATCH($A292,PACK!$A:$A,0)),"")</f>
        <v/>
      </c>
      <c r="G292" s="21" t="str">
        <f>IFERROR(INDEX(PACK!$D:$D,MATCH($A292,PACK!$A:$A,0)),"")</f>
        <v/>
      </c>
      <c r="H292" s="21" t="str">
        <f>IFERROR(INDEX(PACK!$E:$E,MATCH($A292,PACK!$A:$A,0)),"")</f>
        <v/>
      </c>
      <c r="I292" s="21" t="str">
        <f t="shared" si="38"/>
        <v/>
      </c>
      <c r="J292" s="21" t="str">
        <f t="shared" si="41"/>
        <v/>
      </c>
      <c r="K292" s="21" t="str">
        <f t="shared" si="39"/>
        <v/>
      </c>
      <c r="L292" s="21" t="str">
        <f t="shared" si="42"/>
        <v/>
      </c>
      <c r="R292" s="21" t="str">
        <f>IFERROR(INDEX(PACK!$C:$C,MATCH($P292,PACK!$A:$A,0)),"")</f>
        <v/>
      </c>
      <c r="S292" s="21" t="str">
        <f t="shared" si="40"/>
        <v/>
      </c>
    </row>
    <row r="293" spans="6:19" x14ac:dyDescent="0.25">
      <c r="F293" s="21" t="str">
        <f>IFERROR(INDEX(PACK!$C:$C,MATCH($A293,PACK!$A:$A,0)),"")</f>
        <v/>
      </c>
      <c r="G293" s="21" t="str">
        <f>IFERROR(INDEX(PACK!$D:$D,MATCH($A293,PACK!$A:$A,0)),"")</f>
        <v/>
      </c>
      <c r="H293" s="21" t="str">
        <f>IFERROR(INDEX(PACK!$E:$E,MATCH($A293,PACK!$A:$A,0)),"")</f>
        <v/>
      </c>
      <c r="I293" s="21" t="str">
        <f t="shared" si="38"/>
        <v/>
      </c>
      <c r="J293" s="21" t="str">
        <f t="shared" si="41"/>
        <v/>
      </c>
      <c r="K293" s="21" t="str">
        <f t="shared" si="39"/>
        <v/>
      </c>
      <c r="L293" s="21" t="str">
        <f t="shared" si="42"/>
        <v/>
      </c>
      <c r="R293" s="21" t="str">
        <f>IFERROR(INDEX(PACK!$C:$C,MATCH($P293,PACK!$A:$A,0)),"")</f>
        <v/>
      </c>
      <c r="S293" s="21" t="str">
        <f t="shared" si="40"/>
        <v/>
      </c>
    </row>
    <row r="294" spans="6:19" x14ac:dyDescent="0.25">
      <c r="F294" s="21" t="str">
        <f>IFERROR(INDEX(PACK!$C:$C,MATCH($A294,PACK!$A:$A,0)),"")</f>
        <v/>
      </c>
      <c r="G294" s="21" t="str">
        <f>IFERROR(INDEX(PACK!$D:$D,MATCH($A294,PACK!$A:$A,0)),"")</f>
        <v/>
      </c>
      <c r="H294" s="21" t="str">
        <f>IFERROR(INDEX(PACK!$E:$E,MATCH($A294,PACK!$A:$A,0)),"")</f>
        <v/>
      </c>
      <c r="I294" s="21" t="str">
        <f t="shared" si="38"/>
        <v/>
      </c>
      <c r="J294" s="21" t="str">
        <f t="shared" si="41"/>
        <v/>
      </c>
      <c r="K294" s="21" t="str">
        <f t="shared" si="39"/>
        <v/>
      </c>
      <c r="L294" s="21" t="str">
        <f t="shared" si="42"/>
        <v/>
      </c>
      <c r="R294" s="21" t="str">
        <f>IFERROR(INDEX(PACK!$C:$C,MATCH($P294,PACK!$A:$A,0)),"")</f>
        <v/>
      </c>
      <c r="S294" s="21" t="str">
        <f t="shared" si="40"/>
        <v/>
      </c>
    </row>
    <row r="295" spans="6:19" x14ac:dyDescent="0.25">
      <c r="F295" s="21" t="str">
        <f>IFERROR(INDEX(PACK!$C:$C,MATCH($A295,PACK!$A:$A,0)),"")</f>
        <v/>
      </c>
      <c r="G295" s="21" t="str">
        <f>IFERROR(INDEX(PACK!$D:$D,MATCH($A295,PACK!$A:$A,0)),"")</f>
        <v/>
      </c>
      <c r="H295" s="21" t="str">
        <f>IFERROR(INDEX(PACK!$E:$E,MATCH($A295,PACK!$A:$A,0)),"")</f>
        <v/>
      </c>
      <c r="I295" s="21" t="str">
        <f t="shared" si="38"/>
        <v/>
      </c>
      <c r="J295" s="21" t="str">
        <f t="shared" si="41"/>
        <v/>
      </c>
      <c r="K295" s="21" t="str">
        <f t="shared" si="39"/>
        <v/>
      </c>
      <c r="L295" s="21" t="str">
        <f t="shared" si="42"/>
        <v/>
      </c>
      <c r="R295" s="21" t="str">
        <f>IFERROR(INDEX(PACK!$C:$C,MATCH($P295,PACK!$A:$A,0)),"")</f>
        <v/>
      </c>
      <c r="S295" s="21" t="str">
        <f t="shared" si="40"/>
        <v/>
      </c>
    </row>
    <row r="296" spans="6:19" x14ac:dyDescent="0.25">
      <c r="F296" s="21" t="str">
        <f>IFERROR(INDEX(PACK!$C:$C,MATCH($A296,PACK!$A:$A,0)),"")</f>
        <v/>
      </c>
      <c r="G296" s="21" t="str">
        <f>IFERROR(INDEX(PACK!$D:$D,MATCH($A296,PACK!$A:$A,0)),"")</f>
        <v/>
      </c>
      <c r="H296" s="21" t="str">
        <f>IFERROR(INDEX(PACK!$E:$E,MATCH($A296,PACK!$A:$A,0)),"")</f>
        <v/>
      </c>
      <c r="I296" s="21" t="str">
        <f t="shared" si="38"/>
        <v/>
      </c>
      <c r="J296" s="21" t="str">
        <f t="shared" si="41"/>
        <v/>
      </c>
      <c r="K296" s="21" t="str">
        <f t="shared" si="39"/>
        <v/>
      </c>
      <c r="L296" s="21" t="str">
        <f t="shared" si="42"/>
        <v/>
      </c>
      <c r="R296" s="21" t="str">
        <f>IFERROR(INDEX(PACK!$C:$C,MATCH($P296,PACK!$A:$A,0)),"")</f>
        <v/>
      </c>
      <c r="S296" s="21" t="str">
        <f t="shared" si="40"/>
        <v/>
      </c>
    </row>
    <row r="297" spans="6:19" x14ac:dyDescent="0.25">
      <c r="F297" s="21" t="str">
        <f>IFERROR(INDEX(PACK!$C:$C,MATCH($A297,PACK!$A:$A,0)),"")</f>
        <v/>
      </c>
      <c r="G297" s="21" t="str">
        <f>IFERROR(INDEX(PACK!$D:$D,MATCH($A297,PACK!$A:$A,0)),"")</f>
        <v/>
      </c>
      <c r="H297" s="21" t="str">
        <f>IFERROR(INDEX(PACK!$E:$E,MATCH($A297,PACK!$A:$A,0)),"")</f>
        <v/>
      </c>
      <c r="I297" s="21" t="str">
        <f t="shared" si="38"/>
        <v/>
      </c>
      <c r="J297" s="21" t="str">
        <f t="shared" si="41"/>
        <v/>
      </c>
      <c r="K297" s="21" t="str">
        <f t="shared" si="39"/>
        <v/>
      </c>
      <c r="L297" s="21" t="str">
        <f t="shared" si="42"/>
        <v/>
      </c>
      <c r="R297" s="21" t="str">
        <f>IFERROR(INDEX(PACK!$C:$C,MATCH($P297,PACK!$A:$A,0)),"")</f>
        <v/>
      </c>
      <c r="S297" s="21" t="str">
        <f t="shared" si="40"/>
        <v/>
      </c>
    </row>
    <row r="298" spans="6:19" x14ac:dyDescent="0.25">
      <c r="F298" s="21" t="str">
        <f>IFERROR(INDEX(PACK!$C:$C,MATCH($A298,PACK!$A:$A,0)),"")</f>
        <v/>
      </c>
      <c r="G298" s="21" t="str">
        <f>IFERROR(INDEX(PACK!$D:$D,MATCH($A298,PACK!$A:$A,0)),"")</f>
        <v/>
      </c>
      <c r="H298" s="21" t="str">
        <f>IFERROR(INDEX(PACK!$E:$E,MATCH($A298,PACK!$A:$A,0)),"")</f>
        <v/>
      </c>
      <c r="I298" s="21" t="str">
        <f t="shared" si="38"/>
        <v/>
      </c>
      <c r="J298" s="21" t="str">
        <f t="shared" si="41"/>
        <v/>
      </c>
      <c r="K298" s="21" t="str">
        <f t="shared" si="39"/>
        <v/>
      </c>
      <c r="L298" s="21" t="str">
        <f t="shared" si="42"/>
        <v/>
      </c>
      <c r="R298" s="21" t="str">
        <f>IFERROR(INDEX(PACK!$C:$C,MATCH($P298,PACK!$A:$A,0)),"")</f>
        <v/>
      </c>
      <c r="S298" s="21" t="str">
        <f t="shared" si="40"/>
        <v/>
      </c>
    </row>
    <row r="299" spans="6:19" x14ac:dyDescent="0.25">
      <c r="F299" s="21" t="str">
        <f>IFERROR(INDEX(PACK!$C:$C,MATCH($A299,PACK!$A:$A,0)),"")</f>
        <v/>
      </c>
      <c r="G299" s="21" t="str">
        <f>IFERROR(INDEX(PACK!$D:$D,MATCH($A299,PACK!$A:$A,0)),"")</f>
        <v/>
      </c>
      <c r="H299" s="21" t="str">
        <f>IFERROR(INDEX(PACK!$E:$E,MATCH($A299,PACK!$A:$A,0)),"")</f>
        <v/>
      </c>
      <c r="I299" s="21" t="str">
        <f t="shared" si="38"/>
        <v/>
      </c>
      <c r="J299" s="21" t="str">
        <f t="shared" si="41"/>
        <v/>
      </c>
      <c r="K299" s="21" t="str">
        <f t="shared" si="39"/>
        <v/>
      </c>
      <c r="L299" s="21" t="str">
        <f t="shared" si="42"/>
        <v/>
      </c>
      <c r="R299" s="21" t="str">
        <f>IFERROR(INDEX(PACK!$C:$C,MATCH($P299,PACK!$A:$A,0)),"")</f>
        <v/>
      </c>
      <c r="S299" s="21" t="str">
        <f t="shared" si="40"/>
        <v/>
      </c>
    </row>
    <row r="300" spans="6:19" x14ac:dyDescent="0.25">
      <c r="F300" s="21" t="str">
        <f>IFERROR(INDEX(PACK!$C:$C,MATCH($A300,PACK!$A:$A,0)),"")</f>
        <v/>
      </c>
      <c r="G300" s="21" t="str">
        <f>IFERROR(INDEX(PACK!$D:$D,MATCH($A300,PACK!$A:$A,0)),"")</f>
        <v/>
      </c>
      <c r="H300" s="21" t="str">
        <f>IFERROR(INDEX(PACK!$E:$E,MATCH($A300,PACK!$A:$A,0)),"")</f>
        <v/>
      </c>
      <c r="I300" s="21" t="str">
        <f t="shared" si="38"/>
        <v/>
      </c>
      <c r="J300" s="21" t="str">
        <f t="shared" si="41"/>
        <v/>
      </c>
      <c r="K300" s="21" t="str">
        <f t="shared" si="39"/>
        <v/>
      </c>
      <c r="L300" s="21" t="str">
        <f t="shared" si="42"/>
        <v/>
      </c>
      <c r="R300" s="21" t="str">
        <f>IFERROR(INDEX(PACK!$C:$C,MATCH($P300,PACK!$A:$A,0)),"")</f>
        <v/>
      </c>
      <c r="S300" s="21" t="str">
        <f t="shared" si="40"/>
        <v/>
      </c>
    </row>
    <row r="301" spans="6:19" x14ac:dyDescent="0.25">
      <c r="F301" s="21" t="str">
        <f>IFERROR(INDEX(PACK!$C:$C,MATCH($A301,PACK!$A:$A,0)),"")</f>
        <v/>
      </c>
      <c r="G301" s="21" t="str">
        <f>IFERROR(INDEX(PACK!$D:$D,MATCH($A301,PACK!$A:$A,0)),"")</f>
        <v/>
      </c>
      <c r="H301" s="21" t="str">
        <f>IFERROR(INDEX(PACK!$E:$E,MATCH($A301,PACK!$A:$A,0)),"")</f>
        <v/>
      </c>
      <c r="I301" s="21" t="str">
        <f t="shared" si="38"/>
        <v/>
      </c>
      <c r="J301" s="21" t="str">
        <f t="shared" si="41"/>
        <v/>
      </c>
      <c r="K301" s="21" t="str">
        <f t="shared" si="39"/>
        <v/>
      </c>
      <c r="L301" s="21" t="str">
        <f t="shared" si="42"/>
        <v/>
      </c>
      <c r="R301" s="21" t="str">
        <f>IFERROR(INDEX(PACK!$C:$C,MATCH($P301,PACK!$A:$A,0)),"")</f>
        <v/>
      </c>
      <c r="S301" s="21" t="str">
        <f t="shared" si="40"/>
        <v/>
      </c>
    </row>
    <row r="302" spans="6:19" x14ac:dyDescent="0.25">
      <c r="F302" s="21" t="str">
        <f>IFERROR(INDEX(PACK!$C:$C,MATCH($A302,PACK!$A:$A,0)),"")</f>
        <v/>
      </c>
      <c r="G302" s="21" t="str">
        <f>IFERROR(INDEX(PACK!$D:$D,MATCH($A302,PACK!$A:$A,0)),"")</f>
        <v/>
      </c>
      <c r="H302" s="21" t="str">
        <f>IFERROR(INDEX(PACK!$E:$E,MATCH($A302,PACK!$A:$A,0)),"")</f>
        <v/>
      </c>
      <c r="I302" s="21" t="str">
        <f t="shared" si="38"/>
        <v/>
      </c>
      <c r="J302" s="21" t="str">
        <f t="shared" si="41"/>
        <v/>
      </c>
      <c r="K302" s="21" t="str">
        <f t="shared" si="39"/>
        <v/>
      </c>
      <c r="L302" s="21" t="str">
        <f t="shared" si="42"/>
        <v/>
      </c>
      <c r="R302" s="21" t="str">
        <f>IFERROR(INDEX(PACK!$C:$C,MATCH($P302,PACK!$A:$A,0)),"")</f>
        <v/>
      </c>
      <c r="S302" s="21" t="str">
        <f t="shared" si="40"/>
        <v/>
      </c>
    </row>
    <row r="303" spans="6:19" x14ac:dyDescent="0.25">
      <c r="F303" s="21" t="str">
        <f>IFERROR(INDEX(PACK!$C:$C,MATCH($A303,PACK!$A:$A,0)),"")</f>
        <v/>
      </c>
      <c r="G303" s="21" t="str">
        <f>IFERROR(INDEX(PACK!$D:$D,MATCH($A303,PACK!$A:$A,0)),"")</f>
        <v/>
      </c>
      <c r="H303" s="21" t="str">
        <f>IFERROR(INDEX(PACK!$E:$E,MATCH($A303,PACK!$A:$A,0)),"")</f>
        <v/>
      </c>
      <c r="I303" s="21" t="str">
        <f t="shared" si="38"/>
        <v/>
      </c>
      <c r="J303" s="21" t="str">
        <f t="shared" si="41"/>
        <v/>
      </c>
      <c r="K303" s="21" t="str">
        <f t="shared" si="39"/>
        <v/>
      </c>
      <c r="L303" s="21" t="str">
        <f t="shared" si="42"/>
        <v/>
      </c>
      <c r="R303" s="21" t="str">
        <f>IFERROR(INDEX(PACK!$C:$C,MATCH($P303,PACK!$A:$A,0)),"")</f>
        <v/>
      </c>
      <c r="S303" s="21" t="str">
        <f t="shared" si="40"/>
        <v/>
      </c>
    </row>
    <row r="304" spans="6:19" x14ac:dyDescent="0.25">
      <c r="F304" s="21" t="str">
        <f>IFERROR(INDEX(PACK!$C:$C,MATCH($A304,PACK!$A:$A,0)),"")</f>
        <v/>
      </c>
      <c r="G304" s="21" t="str">
        <f>IFERROR(INDEX(PACK!$D:$D,MATCH($A304,PACK!$A:$A,0)),"")</f>
        <v/>
      </c>
      <c r="H304" s="21" t="str">
        <f>IFERROR(INDEX(PACK!$E:$E,MATCH($A304,PACK!$A:$A,0)),"")</f>
        <v/>
      </c>
      <c r="I304" s="21" t="str">
        <f t="shared" si="38"/>
        <v/>
      </c>
      <c r="J304" s="21" t="str">
        <f t="shared" si="41"/>
        <v/>
      </c>
      <c r="K304" s="21" t="str">
        <f t="shared" si="39"/>
        <v/>
      </c>
      <c r="L304" s="21" t="str">
        <f t="shared" si="42"/>
        <v/>
      </c>
      <c r="R304" s="21" t="str">
        <f>IFERROR(INDEX(PACK!$C:$C,MATCH($P304,PACK!$A:$A,0)),"")</f>
        <v/>
      </c>
      <c r="S304" s="21" t="str">
        <f t="shared" si="40"/>
        <v/>
      </c>
    </row>
    <row r="305" spans="6:19" x14ac:dyDescent="0.25">
      <c r="F305" s="21" t="str">
        <f>IFERROR(INDEX(PACK!$C:$C,MATCH($A305,PACK!$A:$A,0)),"")</f>
        <v/>
      </c>
      <c r="G305" s="21" t="str">
        <f>IFERROR(INDEX(PACK!$D:$D,MATCH($A305,PACK!$A:$A,0)),"")</f>
        <v/>
      </c>
      <c r="H305" s="21" t="str">
        <f>IFERROR(INDEX(PACK!$E:$E,MATCH($A305,PACK!$A:$A,0)),"")</f>
        <v/>
      </c>
      <c r="I305" s="21" t="str">
        <f t="shared" si="38"/>
        <v/>
      </c>
      <c r="J305" s="21" t="str">
        <f t="shared" si="41"/>
        <v/>
      </c>
      <c r="K305" s="21" t="str">
        <f t="shared" si="39"/>
        <v/>
      </c>
      <c r="L305" s="21" t="str">
        <f t="shared" si="42"/>
        <v/>
      </c>
      <c r="R305" s="21" t="str">
        <f>IFERROR(INDEX(PACK!$C:$C,MATCH($P305,PACK!$A:$A,0)),"")</f>
        <v/>
      </c>
      <c r="S305" s="21" t="str">
        <f t="shared" si="40"/>
        <v/>
      </c>
    </row>
    <row r="306" spans="6:19" x14ac:dyDescent="0.25">
      <c r="F306" s="21" t="str">
        <f>IFERROR(INDEX(PACK!$C:$C,MATCH($A306,PACK!$A:$A,0)),"")</f>
        <v/>
      </c>
      <c r="G306" s="21" t="str">
        <f>IFERROR(INDEX(PACK!$D:$D,MATCH($A306,PACK!$A:$A,0)),"")</f>
        <v/>
      </c>
      <c r="H306" s="21" t="str">
        <f>IFERROR(INDEX(PACK!$E:$E,MATCH($A306,PACK!$A:$A,0)),"")</f>
        <v/>
      </c>
      <c r="I306" s="21" t="str">
        <f t="shared" si="38"/>
        <v/>
      </c>
      <c r="J306" s="21" t="str">
        <f t="shared" si="41"/>
        <v/>
      </c>
      <c r="K306" s="21" t="str">
        <f t="shared" si="39"/>
        <v/>
      </c>
      <c r="L306" s="21" t="str">
        <f t="shared" si="42"/>
        <v/>
      </c>
      <c r="R306" s="21" t="str">
        <f>IFERROR(INDEX(PACK!$C:$C,MATCH($P306,PACK!$A:$A,0)),"")</f>
        <v/>
      </c>
      <c r="S306" s="21" t="str">
        <f t="shared" si="40"/>
        <v/>
      </c>
    </row>
    <row r="307" spans="6:19" x14ac:dyDescent="0.25">
      <c r="F307" s="21" t="str">
        <f>IFERROR(INDEX(PACK!$C:$C,MATCH($A307,PACK!$A:$A,0)),"")</f>
        <v/>
      </c>
      <c r="G307" s="21" t="str">
        <f>IFERROR(INDEX(PACK!$D:$D,MATCH($A307,PACK!$A:$A,0)),"")</f>
        <v/>
      </c>
      <c r="H307" s="21" t="str">
        <f>IFERROR(INDEX(PACK!$E:$E,MATCH($A307,PACK!$A:$A,0)),"")</f>
        <v/>
      </c>
      <c r="I307" s="21" t="str">
        <f t="shared" si="38"/>
        <v/>
      </c>
      <c r="J307" s="21" t="str">
        <f t="shared" si="41"/>
        <v/>
      </c>
      <c r="K307" s="21" t="str">
        <f t="shared" si="39"/>
        <v/>
      </c>
      <c r="L307" s="21" t="str">
        <f t="shared" si="42"/>
        <v/>
      </c>
      <c r="R307" s="21" t="str">
        <f>IFERROR(INDEX(PACK!$C:$C,MATCH($P307,PACK!$A:$A,0)),"")</f>
        <v/>
      </c>
      <c r="S307" s="21" t="str">
        <f t="shared" si="40"/>
        <v/>
      </c>
    </row>
    <row r="308" spans="6:19" x14ac:dyDescent="0.25">
      <c r="F308" s="21" t="str">
        <f>IFERROR(INDEX(PACK!$C:$C,MATCH($A308,PACK!$A:$A,0)),"")</f>
        <v/>
      </c>
      <c r="G308" s="21" t="str">
        <f>IFERROR(INDEX(PACK!$D:$D,MATCH($A308,PACK!$A:$A,0)),"")</f>
        <v/>
      </c>
      <c r="H308" s="21" t="str">
        <f>IFERROR(INDEX(PACK!$E:$E,MATCH($A308,PACK!$A:$A,0)),"")</f>
        <v/>
      </c>
      <c r="I308" s="21" t="str">
        <f t="shared" si="38"/>
        <v/>
      </c>
      <c r="J308" s="21" t="str">
        <f t="shared" si="41"/>
        <v/>
      </c>
      <c r="K308" s="21" t="str">
        <f t="shared" si="39"/>
        <v/>
      </c>
      <c r="L308" s="21" t="str">
        <f t="shared" si="42"/>
        <v/>
      </c>
      <c r="R308" s="21" t="str">
        <f>IFERROR(INDEX(PACK!$C:$C,MATCH($P308,PACK!$A:$A,0)),"")</f>
        <v/>
      </c>
      <c r="S308" s="21" t="str">
        <f t="shared" si="40"/>
        <v/>
      </c>
    </row>
    <row r="309" spans="6:19" x14ac:dyDescent="0.25">
      <c r="F309" s="21" t="str">
        <f>IFERROR(INDEX(PACK!$C:$C,MATCH($A309,PACK!$A:$A,0)),"")</f>
        <v/>
      </c>
      <c r="G309" s="21" t="str">
        <f>IFERROR(INDEX(PACK!$D:$D,MATCH($A309,PACK!$A:$A,0)),"")</f>
        <v/>
      </c>
      <c r="H309" s="21" t="str">
        <f>IFERROR(INDEX(PACK!$E:$E,MATCH($A309,PACK!$A:$A,0)),"")</f>
        <v/>
      </c>
      <c r="I309" s="21" t="str">
        <f t="shared" si="38"/>
        <v/>
      </c>
      <c r="J309" s="21" t="str">
        <f t="shared" si="41"/>
        <v/>
      </c>
      <c r="K309" s="21" t="str">
        <f t="shared" si="39"/>
        <v/>
      </c>
      <c r="L309" s="21" t="str">
        <f t="shared" si="42"/>
        <v/>
      </c>
      <c r="R309" s="21" t="str">
        <f>IFERROR(INDEX(PACK!$C:$C,MATCH($P309,PACK!$A:$A,0)),"")</f>
        <v/>
      </c>
      <c r="S309" s="21" t="str">
        <f t="shared" si="40"/>
        <v/>
      </c>
    </row>
    <row r="310" spans="6:19" x14ac:dyDescent="0.25">
      <c r="F310" s="21" t="str">
        <f>IFERROR(INDEX(PACK!$C:$C,MATCH($A310,PACK!$A:$A,0)),"")</f>
        <v/>
      </c>
      <c r="G310" s="21" t="str">
        <f>IFERROR(INDEX(PACK!$D:$D,MATCH($A310,PACK!$A:$A,0)),"")</f>
        <v/>
      </c>
      <c r="H310" s="21" t="str">
        <f>IFERROR(INDEX(PACK!$E:$E,MATCH($A310,PACK!$A:$A,0)),"")</f>
        <v/>
      </c>
      <c r="I310" s="21" t="str">
        <f t="shared" si="38"/>
        <v/>
      </c>
      <c r="J310" s="21" t="str">
        <f t="shared" si="41"/>
        <v/>
      </c>
      <c r="K310" s="21" t="str">
        <f t="shared" si="39"/>
        <v/>
      </c>
      <c r="L310" s="21" t="str">
        <f t="shared" si="42"/>
        <v/>
      </c>
      <c r="R310" s="21" t="str">
        <f>IFERROR(INDEX(PACK!$C:$C,MATCH($P310,PACK!$A:$A,0)),"")</f>
        <v/>
      </c>
      <c r="S310" s="21" t="str">
        <f t="shared" si="40"/>
        <v/>
      </c>
    </row>
    <row r="311" spans="6:19" x14ac:dyDescent="0.25">
      <c r="F311" s="21" t="str">
        <f>IFERROR(INDEX(PACK!$C:$C,MATCH($A311,PACK!$A:$A,0)),"")</f>
        <v/>
      </c>
      <c r="G311" s="21" t="str">
        <f>IFERROR(INDEX(PACK!$D:$D,MATCH($A311,PACK!$A:$A,0)),"")</f>
        <v/>
      </c>
      <c r="H311" s="21" t="str">
        <f>IFERROR(INDEX(PACK!$E:$E,MATCH($A311,PACK!$A:$A,0)),"")</f>
        <v/>
      </c>
      <c r="I311" s="21" t="str">
        <f t="shared" si="38"/>
        <v/>
      </c>
      <c r="J311" s="21" t="str">
        <f t="shared" si="41"/>
        <v/>
      </c>
      <c r="K311" s="21" t="str">
        <f t="shared" si="39"/>
        <v/>
      </c>
      <c r="L311" s="21" t="str">
        <f t="shared" si="42"/>
        <v/>
      </c>
      <c r="R311" s="21" t="str">
        <f>IFERROR(INDEX(PACK!$C:$C,MATCH($P311,PACK!$A:$A,0)),"")</f>
        <v/>
      </c>
      <c r="S311" s="21" t="str">
        <f t="shared" si="40"/>
        <v/>
      </c>
    </row>
    <row r="312" spans="6:19" x14ac:dyDescent="0.25">
      <c r="F312" s="21" t="str">
        <f>IFERROR(INDEX(PACK!$C:$C,MATCH($A312,PACK!$A:$A,0)),"")</f>
        <v/>
      </c>
      <c r="G312" s="21" t="str">
        <f>IFERROR(INDEX(PACK!$D:$D,MATCH($A312,PACK!$A:$A,0)),"")</f>
        <v/>
      </c>
      <c r="H312" s="21" t="str">
        <f>IFERROR(INDEX(PACK!$E:$E,MATCH($A312,PACK!$A:$A,0)),"")</f>
        <v/>
      </c>
      <c r="I312" s="21" t="str">
        <f t="shared" si="38"/>
        <v/>
      </c>
      <c r="J312" s="21" t="str">
        <f t="shared" si="41"/>
        <v/>
      </c>
      <c r="K312" s="21" t="str">
        <f t="shared" si="39"/>
        <v/>
      </c>
      <c r="L312" s="21" t="str">
        <f t="shared" si="42"/>
        <v/>
      </c>
      <c r="R312" s="21" t="str">
        <f>IFERROR(INDEX(PACK!$C:$C,MATCH($P312,PACK!$A:$A,0)),"")</f>
        <v/>
      </c>
      <c r="S312" s="21" t="str">
        <f t="shared" si="40"/>
        <v/>
      </c>
    </row>
    <row r="313" spans="6:19" x14ac:dyDescent="0.25">
      <c r="F313" s="21" t="str">
        <f>IFERROR(INDEX(PACK!$C:$C,MATCH($A313,PACK!$A:$A,0)),"")</f>
        <v/>
      </c>
      <c r="G313" s="21" t="str">
        <f>IFERROR(INDEX(PACK!$D:$D,MATCH($A313,PACK!$A:$A,0)),"")</f>
        <v/>
      </c>
      <c r="H313" s="21" t="str">
        <f>IFERROR(INDEX(PACK!$E:$E,MATCH($A313,PACK!$A:$A,0)),"")</f>
        <v/>
      </c>
      <c r="I313" s="21" t="str">
        <f t="shared" si="38"/>
        <v/>
      </c>
      <c r="J313" s="21" t="str">
        <f t="shared" si="41"/>
        <v/>
      </c>
      <c r="K313" s="21" t="str">
        <f t="shared" si="39"/>
        <v/>
      </c>
      <c r="L313" s="21" t="str">
        <f t="shared" si="42"/>
        <v/>
      </c>
      <c r="R313" s="21" t="str">
        <f>IFERROR(INDEX(PACK!$C:$C,MATCH($P313,PACK!$A:$A,0)),"")</f>
        <v/>
      </c>
      <c r="S313" s="21" t="str">
        <f t="shared" si="40"/>
        <v/>
      </c>
    </row>
    <row r="314" spans="6:19" x14ac:dyDescent="0.25">
      <c r="F314" s="21" t="str">
        <f>IFERROR(INDEX(PACK!$C:$C,MATCH($A314,PACK!$A:$A,0)),"")</f>
        <v/>
      </c>
      <c r="G314" s="21" t="str">
        <f>IFERROR(INDEX(PACK!$D:$D,MATCH($A314,PACK!$A:$A,0)),"")</f>
        <v/>
      </c>
      <c r="H314" s="21" t="str">
        <f>IFERROR(INDEX(PACK!$E:$E,MATCH($A314,PACK!$A:$A,0)),"")</f>
        <v/>
      </c>
      <c r="I314" s="21" t="str">
        <f t="shared" si="38"/>
        <v/>
      </c>
      <c r="J314" s="21" t="str">
        <f t="shared" si="41"/>
        <v/>
      </c>
      <c r="K314" s="21" t="str">
        <f t="shared" si="39"/>
        <v/>
      </c>
      <c r="L314" s="21" t="str">
        <f t="shared" si="42"/>
        <v/>
      </c>
      <c r="R314" s="21" t="str">
        <f>IFERROR(INDEX(PACK!$C:$C,MATCH($P314,PACK!$A:$A,0)),"")</f>
        <v/>
      </c>
      <c r="S314" s="21" t="str">
        <f t="shared" si="40"/>
        <v/>
      </c>
    </row>
    <row r="315" spans="6:19" x14ac:dyDescent="0.25">
      <c r="F315" s="21" t="str">
        <f>IFERROR(INDEX(PACK!$C:$C,MATCH($A315,PACK!$A:$A,0)),"")</f>
        <v/>
      </c>
      <c r="G315" s="21" t="str">
        <f>IFERROR(INDEX(PACK!$D:$D,MATCH($A315,PACK!$A:$A,0)),"")</f>
        <v/>
      </c>
      <c r="H315" s="21" t="str">
        <f>IFERROR(INDEX(PACK!$E:$E,MATCH($A315,PACK!$A:$A,0)),"")</f>
        <v/>
      </c>
      <c r="I315" s="21" t="str">
        <f t="shared" si="38"/>
        <v/>
      </c>
      <c r="J315" s="21" t="str">
        <f t="shared" si="41"/>
        <v/>
      </c>
      <c r="K315" s="21" t="str">
        <f t="shared" si="39"/>
        <v/>
      </c>
      <c r="L315" s="21" t="str">
        <f t="shared" si="42"/>
        <v/>
      </c>
      <c r="R315" s="21" t="str">
        <f>IFERROR(INDEX(PACK!$C:$C,MATCH($P315,PACK!$A:$A,0)),"")</f>
        <v/>
      </c>
      <c r="S315" s="21" t="str">
        <f t="shared" si="40"/>
        <v/>
      </c>
    </row>
    <row r="316" spans="6:19" x14ac:dyDescent="0.25">
      <c r="F316" s="21" t="str">
        <f>IFERROR(INDEX(PACK!$C:$C,MATCH($A316,PACK!$A:$A,0)),"")</f>
        <v/>
      </c>
      <c r="G316" s="21" t="str">
        <f>IFERROR(INDEX(PACK!$D:$D,MATCH($A316,PACK!$A:$A,0)),"")</f>
        <v/>
      </c>
      <c r="H316" s="21" t="str">
        <f>IFERROR(INDEX(PACK!$E:$E,MATCH($A316,PACK!$A:$A,0)),"")</f>
        <v/>
      </c>
      <c r="I316" s="21" t="str">
        <f t="shared" si="38"/>
        <v/>
      </c>
      <c r="J316" s="21" t="str">
        <f t="shared" si="41"/>
        <v/>
      </c>
      <c r="K316" s="21" t="str">
        <f t="shared" si="39"/>
        <v/>
      </c>
      <c r="L316" s="21" t="str">
        <f t="shared" si="42"/>
        <v/>
      </c>
      <c r="R316" s="21" t="str">
        <f>IFERROR(INDEX(PACK!$C:$C,MATCH($P316,PACK!$A:$A,0)),"")</f>
        <v/>
      </c>
      <c r="S316" s="21" t="str">
        <f t="shared" si="40"/>
        <v/>
      </c>
    </row>
    <row r="317" spans="6:19" x14ac:dyDescent="0.25">
      <c r="F317" s="21" t="str">
        <f>IFERROR(INDEX(PACK!$C:$C,MATCH($A317,PACK!$A:$A,0)),"")</f>
        <v/>
      </c>
      <c r="G317" s="21" t="str">
        <f>IFERROR(INDEX(PACK!$D:$D,MATCH($A317,PACK!$A:$A,0)),"")</f>
        <v/>
      </c>
      <c r="H317" s="21" t="str">
        <f>IFERROR(INDEX(PACK!$E:$E,MATCH($A317,PACK!$A:$A,0)),"")</f>
        <v/>
      </c>
      <c r="I317" s="21" t="str">
        <f t="shared" si="38"/>
        <v/>
      </c>
      <c r="J317" s="21" t="str">
        <f t="shared" si="41"/>
        <v/>
      </c>
      <c r="K317" s="21" t="str">
        <f t="shared" si="39"/>
        <v/>
      </c>
      <c r="L317" s="21" t="str">
        <f t="shared" si="42"/>
        <v/>
      </c>
      <c r="R317" s="21" t="str">
        <f>IFERROR(INDEX(PACK!$C:$C,MATCH($P317,PACK!$A:$A,0)),"")</f>
        <v/>
      </c>
      <c r="S317" s="21" t="str">
        <f t="shared" si="40"/>
        <v/>
      </c>
    </row>
    <row r="318" spans="6:19" x14ac:dyDescent="0.25">
      <c r="F318" s="21" t="str">
        <f>IFERROR(INDEX(PACK!$C:$C,MATCH($A318,PACK!$A:$A,0)),"")</f>
        <v/>
      </c>
      <c r="G318" s="21" t="str">
        <f>IFERROR(INDEX(PACK!$D:$D,MATCH($A318,PACK!$A:$A,0)),"")</f>
        <v/>
      </c>
      <c r="H318" s="21" t="str">
        <f>IFERROR(INDEX(PACK!$E:$E,MATCH($A318,PACK!$A:$A,0)),"")</f>
        <v/>
      </c>
      <c r="I318" s="21" t="str">
        <f t="shared" si="38"/>
        <v/>
      </c>
      <c r="J318" s="21" t="str">
        <f t="shared" si="41"/>
        <v/>
      </c>
      <c r="K318" s="21" t="str">
        <f t="shared" si="39"/>
        <v/>
      </c>
      <c r="L318" s="21" t="str">
        <f t="shared" si="42"/>
        <v/>
      </c>
      <c r="R318" s="21" t="str">
        <f>IFERROR(INDEX(PACK!$C:$C,MATCH($P318,PACK!$A:$A,0)),"")</f>
        <v/>
      </c>
      <c r="S318" s="21" t="str">
        <f t="shared" si="40"/>
        <v/>
      </c>
    </row>
    <row r="319" spans="6:19" x14ac:dyDescent="0.25">
      <c r="F319" s="21" t="str">
        <f>IFERROR(INDEX(PACK!$C:$C,MATCH($A319,PACK!$A:$A,0)),"")</f>
        <v/>
      </c>
      <c r="G319" s="21" t="str">
        <f>IFERROR(INDEX(PACK!$D:$D,MATCH($A319,PACK!$A:$A,0)),"")</f>
        <v/>
      </c>
      <c r="H319" s="21" t="str">
        <f>IFERROR(INDEX(PACK!$E:$E,MATCH($A319,PACK!$A:$A,0)),"")</f>
        <v/>
      </c>
      <c r="I319" s="21" t="str">
        <f t="shared" si="38"/>
        <v/>
      </c>
      <c r="J319" s="21" t="str">
        <f t="shared" si="41"/>
        <v/>
      </c>
      <c r="K319" s="21" t="str">
        <f t="shared" si="39"/>
        <v/>
      </c>
      <c r="L319" s="21" t="str">
        <f t="shared" si="42"/>
        <v/>
      </c>
      <c r="R319" s="21" t="str">
        <f>IFERROR(INDEX(PACK!$C:$C,MATCH($P319,PACK!$A:$A,0)),"")</f>
        <v/>
      </c>
      <c r="S319" s="21" t="str">
        <f t="shared" si="40"/>
        <v/>
      </c>
    </row>
    <row r="320" spans="6:19" x14ac:dyDescent="0.25">
      <c r="F320" s="21" t="str">
        <f>IFERROR(INDEX(PACK!$C:$C,MATCH($A320,PACK!$A:$A,0)),"")</f>
        <v/>
      </c>
      <c r="G320" s="21" t="str">
        <f>IFERROR(INDEX(PACK!$D:$D,MATCH($A320,PACK!$A:$A,0)),"")</f>
        <v/>
      </c>
      <c r="H320" s="21" t="str">
        <f>IFERROR(INDEX(PACK!$E:$E,MATCH($A320,PACK!$A:$A,0)),"")</f>
        <v/>
      </c>
      <c r="I320" s="21" t="str">
        <f t="shared" si="38"/>
        <v/>
      </c>
      <c r="J320" s="21" t="str">
        <f t="shared" si="41"/>
        <v/>
      </c>
      <c r="K320" s="21" t="str">
        <f t="shared" si="39"/>
        <v/>
      </c>
      <c r="L320" s="21" t="str">
        <f t="shared" si="42"/>
        <v/>
      </c>
      <c r="R320" s="21" t="str">
        <f>IFERROR(INDEX(PACK!$C:$C,MATCH($P320,PACK!$A:$A,0)),"")</f>
        <v/>
      </c>
      <c r="S320" s="21" t="str">
        <f t="shared" si="40"/>
        <v/>
      </c>
    </row>
    <row r="321" spans="6:19" x14ac:dyDescent="0.25">
      <c r="F321" s="21" t="str">
        <f>IFERROR(INDEX(PACK!$C:$C,MATCH($A321,PACK!$A:$A,0)),"")</f>
        <v/>
      </c>
      <c r="G321" s="21" t="str">
        <f>IFERROR(INDEX(PACK!$D:$D,MATCH($A321,PACK!$A:$A,0)),"")</f>
        <v/>
      </c>
      <c r="H321" s="21" t="str">
        <f>IFERROR(INDEX(PACK!$E:$E,MATCH($A321,PACK!$A:$A,0)),"")</f>
        <v/>
      </c>
      <c r="I321" s="21" t="str">
        <f t="shared" si="38"/>
        <v/>
      </c>
      <c r="J321" s="21" t="str">
        <f t="shared" si="41"/>
        <v/>
      </c>
      <c r="K321" s="21" t="str">
        <f t="shared" si="39"/>
        <v/>
      </c>
      <c r="L321" s="21" t="str">
        <f t="shared" si="42"/>
        <v/>
      </c>
      <c r="R321" s="21" t="str">
        <f>IFERROR(INDEX(PACK!$C:$C,MATCH($P321,PACK!$A:$A,0)),"")</f>
        <v/>
      </c>
      <c r="S321" s="21" t="str">
        <f t="shared" si="40"/>
        <v/>
      </c>
    </row>
    <row r="322" spans="6:19" x14ac:dyDescent="0.25">
      <c r="F322" s="21" t="str">
        <f>IFERROR(INDEX(PACK!$C:$C,MATCH($A322,PACK!$A:$A,0)),"")</f>
        <v/>
      </c>
      <c r="G322" s="21" t="str">
        <f>IFERROR(INDEX(PACK!$D:$D,MATCH($A322,PACK!$A:$A,0)),"")</f>
        <v/>
      </c>
      <c r="H322" s="21" t="str">
        <f>IFERROR(INDEX(PACK!$E:$E,MATCH($A322,PACK!$A:$A,0)),"")</f>
        <v/>
      </c>
      <c r="I322" s="21" t="str">
        <f t="shared" si="38"/>
        <v/>
      </c>
      <c r="J322" s="21" t="str">
        <f t="shared" si="41"/>
        <v/>
      </c>
      <c r="K322" s="21" t="str">
        <f t="shared" si="39"/>
        <v/>
      </c>
      <c r="L322" s="21" t="str">
        <f t="shared" si="42"/>
        <v/>
      </c>
      <c r="R322" s="21" t="str">
        <f>IFERROR(INDEX(PACK!$C:$C,MATCH($P322,PACK!$A:$A,0)),"")</f>
        <v/>
      </c>
      <c r="S322" s="21" t="str">
        <f t="shared" si="40"/>
        <v/>
      </c>
    </row>
    <row r="323" spans="6:19" x14ac:dyDescent="0.25">
      <c r="F323" s="21" t="str">
        <f>IFERROR(INDEX(PACK!$C:$C,MATCH($A323,PACK!$A:$A,0)),"")</f>
        <v/>
      </c>
      <c r="G323" s="21" t="str">
        <f>IFERROR(INDEX(PACK!$D:$D,MATCH($A323,PACK!$A:$A,0)),"")</f>
        <v/>
      </c>
      <c r="H323" s="21" t="str">
        <f>IFERROR(INDEX(PACK!$E:$E,MATCH($A323,PACK!$A:$A,0)),"")</f>
        <v/>
      </c>
      <c r="I323" s="21" t="str">
        <f t="shared" ref="I323:I386" si="43">IFERROR(C323/F323,"")</f>
        <v/>
      </c>
      <c r="J323" s="21" t="str">
        <f t="shared" si="41"/>
        <v/>
      </c>
      <c r="K323" s="21" t="str">
        <f t="shared" ref="K323:K386" si="44">IFERROR(MOD(I323,H323),"")</f>
        <v/>
      </c>
      <c r="L323" s="21" t="str">
        <f t="shared" si="42"/>
        <v/>
      </c>
      <c r="R323" s="21" t="str">
        <f>IFERROR(INDEX(PACK!$C:$C,MATCH($P323,PACK!$A:$A,0)),"")</f>
        <v/>
      </c>
      <c r="S323" s="21" t="str">
        <f t="shared" ref="S323:S386" si="45">IFERROR(Q323/R323,"")</f>
        <v/>
      </c>
    </row>
    <row r="324" spans="6:19" x14ac:dyDescent="0.25">
      <c r="F324" s="21" t="str">
        <f>IFERROR(INDEX(PACK!$C:$C,MATCH($A324,PACK!$A:$A,0)),"")</f>
        <v/>
      </c>
      <c r="G324" s="21" t="str">
        <f>IFERROR(INDEX(PACK!$D:$D,MATCH($A324,PACK!$A:$A,0)),"")</f>
        <v/>
      </c>
      <c r="H324" s="21" t="str">
        <f>IFERROR(INDEX(PACK!$E:$E,MATCH($A324,PACK!$A:$A,0)),"")</f>
        <v/>
      </c>
      <c r="I324" s="21" t="str">
        <f t="shared" si="43"/>
        <v/>
      </c>
      <c r="J324" s="21" t="str">
        <f t="shared" si="41"/>
        <v/>
      </c>
      <c r="K324" s="21" t="str">
        <f t="shared" si="44"/>
        <v/>
      </c>
      <c r="L324" s="21" t="str">
        <f t="shared" si="42"/>
        <v/>
      </c>
      <c r="R324" s="21" t="str">
        <f>IFERROR(INDEX(PACK!$C:$C,MATCH($P324,PACK!$A:$A,0)),"")</f>
        <v/>
      </c>
      <c r="S324" s="21" t="str">
        <f t="shared" si="45"/>
        <v/>
      </c>
    </row>
    <row r="325" spans="6:19" x14ac:dyDescent="0.25">
      <c r="F325" s="21" t="str">
        <f>IFERROR(INDEX(PACK!$C:$C,MATCH($A325,PACK!$A:$A,0)),"")</f>
        <v/>
      </c>
      <c r="G325" s="21" t="str">
        <f>IFERROR(INDEX(PACK!$D:$D,MATCH($A325,PACK!$A:$A,0)),"")</f>
        <v/>
      </c>
      <c r="H325" s="21" t="str">
        <f>IFERROR(INDEX(PACK!$E:$E,MATCH($A325,PACK!$A:$A,0)),"")</f>
        <v/>
      </c>
      <c r="I325" s="21" t="str">
        <f t="shared" si="43"/>
        <v/>
      </c>
      <c r="J325" s="21" t="str">
        <f t="shared" si="41"/>
        <v/>
      </c>
      <c r="K325" s="21" t="str">
        <f t="shared" si="44"/>
        <v/>
      </c>
      <c r="L325" s="21" t="str">
        <f t="shared" si="42"/>
        <v/>
      </c>
      <c r="R325" s="21" t="str">
        <f>IFERROR(INDEX(PACK!$C:$C,MATCH($P325,PACK!$A:$A,0)),"")</f>
        <v/>
      </c>
      <c r="S325" s="21" t="str">
        <f t="shared" si="45"/>
        <v/>
      </c>
    </row>
    <row r="326" spans="6:19" x14ac:dyDescent="0.25">
      <c r="F326" s="21" t="str">
        <f>IFERROR(INDEX(PACK!$C:$C,MATCH($A326,PACK!$A:$A,0)),"")</f>
        <v/>
      </c>
      <c r="G326" s="21" t="str">
        <f>IFERROR(INDEX(PACK!$D:$D,MATCH($A326,PACK!$A:$A,0)),"")</f>
        <v/>
      </c>
      <c r="H326" s="21" t="str">
        <f>IFERROR(INDEX(PACK!$E:$E,MATCH($A326,PACK!$A:$A,0)),"")</f>
        <v/>
      </c>
      <c r="I326" s="21" t="str">
        <f t="shared" si="43"/>
        <v/>
      </c>
      <c r="J326" s="21" t="str">
        <f t="shared" si="41"/>
        <v/>
      </c>
      <c r="K326" s="21" t="str">
        <f t="shared" si="44"/>
        <v/>
      </c>
      <c r="L326" s="21" t="str">
        <f t="shared" si="42"/>
        <v/>
      </c>
      <c r="R326" s="21" t="str">
        <f>IFERROR(INDEX(PACK!$C:$C,MATCH($P326,PACK!$A:$A,0)),"")</f>
        <v/>
      </c>
      <c r="S326" s="21" t="str">
        <f t="shared" si="45"/>
        <v/>
      </c>
    </row>
    <row r="327" spans="6:19" x14ac:dyDescent="0.25">
      <c r="F327" s="21" t="str">
        <f>IFERROR(INDEX(PACK!$C:$C,MATCH($A327,PACK!$A:$A,0)),"")</f>
        <v/>
      </c>
      <c r="G327" s="21" t="str">
        <f>IFERROR(INDEX(PACK!$D:$D,MATCH($A327,PACK!$A:$A,0)),"")</f>
        <v/>
      </c>
      <c r="H327" s="21" t="str">
        <f>IFERROR(INDEX(PACK!$E:$E,MATCH($A327,PACK!$A:$A,0)),"")</f>
        <v/>
      </c>
      <c r="I327" s="21" t="str">
        <f t="shared" si="43"/>
        <v/>
      </c>
      <c r="J327" s="21" t="str">
        <f t="shared" si="41"/>
        <v/>
      </c>
      <c r="K327" s="21" t="str">
        <f t="shared" si="44"/>
        <v/>
      </c>
      <c r="L327" s="21" t="str">
        <f t="shared" si="42"/>
        <v/>
      </c>
      <c r="R327" s="21" t="str">
        <f>IFERROR(INDEX(PACK!$C:$C,MATCH($P327,PACK!$A:$A,0)),"")</f>
        <v/>
      </c>
      <c r="S327" s="21" t="str">
        <f t="shared" si="45"/>
        <v/>
      </c>
    </row>
    <row r="328" spans="6:19" x14ac:dyDescent="0.25">
      <c r="F328" s="21" t="str">
        <f>IFERROR(INDEX(PACK!$C:$C,MATCH($A328,PACK!$A:$A,0)),"")</f>
        <v/>
      </c>
      <c r="G328" s="21" t="str">
        <f>IFERROR(INDEX(PACK!$D:$D,MATCH($A328,PACK!$A:$A,0)),"")</f>
        <v/>
      </c>
      <c r="H328" s="21" t="str">
        <f>IFERROR(INDEX(PACK!$E:$E,MATCH($A328,PACK!$A:$A,0)),"")</f>
        <v/>
      </c>
      <c r="I328" s="21" t="str">
        <f t="shared" si="43"/>
        <v/>
      </c>
      <c r="J328" s="21" t="str">
        <f t="shared" si="41"/>
        <v/>
      </c>
      <c r="K328" s="21" t="str">
        <f t="shared" si="44"/>
        <v/>
      </c>
      <c r="L328" s="21" t="str">
        <f t="shared" si="42"/>
        <v/>
      </c>
      <c r="R328" s="21" t="str">
        <f>IFERROR(INDEX(PACK!$C:$C,MATCH($P328,PACK!$A:$A,0)),"")</f>
        <v/>
      </c>
      <c r="S328" s="21" t="str">
        <f t="shared" si="45"/>
        <v/>
      </c>
    </row>
    <row r="329" spans="6:19" x14ac:dyDescent="0.25">
      <c r="F329" s="21" t="str">
        <f>IFERROR(INDEX(PACK!$C:$C,MATCH($A329,PACK!$A:$A,0)),"")</f>
        <v/>
      </c>
      <c r="G329" s="21" t="str">
        <f>IFERROR(INDEX(PACK!$D:$D,MATCH($A329,PACK!$A:$A,0)),"")</f>
        <v/>
      </c>
      <c r="H329" s="21" t="str">
        <f>IFERROR(INDEX(PACK!$E:$E,MATCH($A329,PACK!$A:$A,0)),"")</f>
        <v/>
      </c>
      <c r="I329" s="21" t="str">
        <f t="shared" si="43"/>
        <v/>
      </c>
      <c r="J329" s="21" t="str">
        <f t="shared" si="41"/>
        <v/>
      </c>
      <c r="K329" s="21" t="str">
        <f t="shared" si="44"/>
        <v/>
      </c>
      <c r="L329" s="21" t="str">
        <f t="shared" si="42"/>
        <v/>
      </c>
      <c r="R329" s="21" t="str">
        <f>IFERROR(INDEX(PACK!$C:$C,MATCH($P329,PACK!$A:$A,0)),"")</f>
        <v/>
      </c>
      <c r="S329" s="21" t="str">
        <f t="shared" si="45"/>
        <v/>
      </c>
    </row>
    <row r="330" spans="6:19" x14ac:dyDescent="0.25">
      <c r="F330" s="21" t="str">
        <f>IFERROR(INDEX(PACK!$C:$C,MATCH($A330,PACK!$A:$A,0)),"")</f>
        <v/>
      </c>
      <c r="G330" s="21" t="str">
        <f>IFERROR(INDEX(PACK!$D:$D,MATCH($A330,PACK!$A:$A,0)),"")</f>
        <v/>
      </c>
      <c r="H330" s="21" t="str">
        <f>IFERROR(INDEX(PACK!$E:$E,MATCH($A330,PACK!$A:$A,0)),"")</f>
        <v/>
      </c>
      <c r="I330" s="21" t="str">
        <f t="shared" si="43"/>
        <v/>
      </c>
      <c r="J330" s="21" t="str">
        <f t="shared" si="41"/>
        <v/>
      </c>
      <c r="K330" s="21" t="str">
        <f t="shared" si="44"/>
        <v/>
      </c>
      <c r="L330" s="21" t="str">
        <f t="shared" si="42"/>
        <v/>
      </c>
      <c r="R330" s="21" t="str">
        <f>IFERROR(INDEX(PACK!$C:$C,MATCH($P330,PACK!$A:$A,0)),"")</f>
        <v/>
      </c>
      <c r="S330" s="21" t="str">
        <f t="shared" si="45"/>
        <v/>
      </c>
    </row>
    <row r="331" spans="6:19" x14ac:dyDescent="0.25">
      <c r="F331" s="21" t="str">
        <f>IFERROR(INDEX(PACK!$C:$C,MATCH($A331,PACK!$A:$A,0)),"")</f>
        <v/>
      </c>
      <c r="G331" s="21" t="str">
        <f>IFERROR(INDEX(PACK!$D:$D,MATCH($A331,PACK!$A:$A,0)),"")</f>
        <v/>
      </c>
      <c r="H331" s="21" t="str">
        <f>IFERROR(INDEX(PACK!$E:$E,MATCH($A331,PACK!$A:$A,0)),"")</f>
        <v/>
      </c>
      <c r="I331" s="21" t="str">
        <f t="shared" si="43"/>
        <v/>
      </c>
      <c r="J331" s="21" t="str">
        <f t="shared" si="41"/>
        <v/>
      </c>
      <c r="K331" s="21" t="str">
        <f t="shared" si="44"/>
        <v/>
      </c>
      <c r="L331" s="21" t="str">
        <f t="shared" si="42"/>
        <v/>
      </c>
      <c r="R331" s="21" t="str">
        <f>IFERROR(INDEX(PACK!$C:$C,MATCH($P331,PACK!$A:$A,0)),"")</f>
        <v/>
      </c>
      <c r="S331" s="21" t="str">
        <f t="shared" si="45"/>
        <v/>
      </c>
    </row>
    <row r="332" spans="6:19" x14ac:dyDescent="0.25">
      <c r="F332" s="21" t="str">
        <f>IFERROR(INDEX(PACK!$C:$C,MATCH($A332,PACK!$A:$A,0)),"")</f>
        <v/>
      </c>
      <c r="G332" s="21" t="str">
        <f>IFERROR(INDEX(PACK!$D:$D,MATCH($A332,PACK!$A:$A,0)),"")</f>
        <v/>
      </c>
      <c r="H332" s="21" t="str">
        <f>IFERROR(INDEX(PACK!$E:$E,MATCH($A332,PACK!$A:$A,0)),"")</f>
        <v/>
      </c>
      <c r="I332" s="21" t="str">
        <f t="shared" si="43"/>
        <v/>
      </c>
      <c r="J332" s="21" t="str">
        <f t="shared" si="41"/>
        <v/>
      </c>
      <c r="K332" s="21" t="str">
        <f t="shared" si="44"/>
        <v/>
      </c>
      <c r="L332" s="21" t="str">
        <f t="shared" si="42"/>
        <v/>
      </c>
      <c r="R332" s="21" t="str">
        <f>IFERROR(INDEX(PACK!$C:$C,MATCH($P332,PACK!$A:$A,0)),"")</f>
        <v/>
      </c>
      <c r="S332" s="21" t="str">
        <f t="shared" si="45"/>
        <v/>
      </c>
    </row>
    <row r="333" spans="6:19" x14ac:dyDescent="0.25">
      <c r="F333" s="21" t="str">
        <f>IFERROR(INDEX(PACK!$C:$C,MATCH($A333,PACK!$A:$A,0)),"")</f>
        <v/>
      </c>
      <c r="G333" s="21" t="str">
        <f>IFERROR(INDEX(PACK!$D:$D,MATCH($A333,PACK!$A:$A,0)),"")</f>
        <v/>
      </c>
      <c r="H333" s="21" t="str">
        <f>IFERROR(INDEX(PACK!$E:$E,MATCH($A333,PACK!$A:$A,0)),"")</f>
        <v/>
      </c>
      <c r="I333" s="21" t="str">
        <f t="shared" si="43"/>
        <v/>
      </c>
      <c r="J333" s="21" t="str">
        <f t="shared" si="41"/>
        <v/>
      </c>
      <c r="K333" s="21" t="str">
        <f t="shared" si="44"/>
        <v/>
      </c>
      <c r="L333" s="21" t="str">
        <f t="shared" si="42"/>
        <v/>
      </c>
      <c r="R333" s="21" t="str">
        <f>IFERROR(INDEX(PACK!$C:$C,MATCH($P333,PACK!$A:$A,0)),"")</f>
        <v/>
      </c>
      <c r="S333" s="21" t="str">
        <f t="shared" si="45"/>
        <v/>
      </c>
    </row>
    <row r="334" spans="6:19" x14ac:dyDescent="0.25">
      <c r="F334" s="21" t="str">
        <f>IFERROR(INDEX(PACK!$C:$C,MATCH($A334,PACK!$A:$A,0)),"")</f>
        <v/>
      </c>
      <c r="G334" s="21" t="str">
        <f>IFERROR(INDEX(PACK!$D:$D,MATCH($A334,PACK!$A:$A,0)),"")</f>
        <v/>
      </c>
      <c r="H334" s="21" t="str">
        <f>IFERROR(INDEX(PACK!$E:$E,MATCH($A334,PACK!$A:$A,0)),"")</f>
        <v/>
      </c>
      <c r="I334" s="21" t="str">
        <f t="shared" si="43"/>
        <v/>
      </c>
      <c r="J334" s="21" t="str">
        <f t="shared" si="41"/>
        <v/>
      </c>
      <c r="K334" s="21" t="str">
        <f t="shared" si="44"/>
        <v/>
      </c>
      <c r="L334" s="21" t="str">
        <f t="shared" si="42"/>
        <v/>
      </c>
      <c r="R334" s="21" t="str">
        <f>IFERROR(INDEX(PACK!$C:$C,MATCH($P334,PACK!$A:$A,0)),"")</f>
        <v/>
      </c>
      <c r="S334" s="21" t="str">
        <f t="shared" si="45"/>
        <v/>
      </c>
    </row>
    <row r="335" spans="6:19" x14ac:dyDescent="0.25">
      <c r="F335" s="21" t="str">
        <f>IFERROR(INDEX(PACK!$C:$C,MATCH($A335,PACK!$A:$A,0)),"")</f>
        <v/>
      </c>
      <c r="G335" s="21" t="str">
        <f>IFERROR(INDEX(PACK!$D:$D,MATCH($A335,PACK!$A:$A,0)),"")</f>
        <v/>
      </c>
      <c r="H335" s="21" t="str">
        <f>IFERROR(INDEX(PACK!$E:$E,MATCH($A335,PACK!$A:$A,0)),"")</f>
        <v/>
      </c>
      <c r="I335" s="21" t="str">
        <f t="shared" si="43"/>
        <v/>
      </c>
      <c r="J335" s="21" t="str">
        <f t="shared" si="41"/>
        <v/>
      </c>
      <c r="K335" s="21" t="str">
        <f t="shared" si="44"/>
        <v/>
      </c>
      <c r="L335" s="21" t="str">
        <f t="shared" si="42"/>
        <v/>
      </c>
      <c r="R335" s="21" t="str">
        <f>IFERROR(INDEX(PACK!$C:$C,MATCH($P335,PACK!$A:$A,0)),"")</f>
        <v/>
      </c>
      <c r="S335" s="21" t="str">
        <f t="shared" si="45"/>
        <v/>
      </c>
    </row>
    <row r="336" spans="6:19" x14ac:dyDescent="0.25">
      <c r="F336" s="21" t="str">
        <f>IFERROR(INDEX(PACK!$C:$C,MATCH($A336,PACK!$A:$A,0)),"")</f>
        <v/>
      </c>
      <c r="G336" s="21" t="str">
        <f>IFERROR(INDEX(PACK!$D:$D,MATCH($A336,PACK!$A:$A,0)),"")</f>
        <v/>
      </c>
      <c r="H336" s="21" t="str">
        <f>IFERROR(INDEX(PACK!$E:$E,MATCH($A336,PACK!$A:$A,0)),"")</f>
        <v/>
      </c>
      <c r="I336" s="21" t="str">
        <f t="shared" si="43"/>
        <v/>
      </c>
      <c r="J336" s="21" t="str">
        <f t="shared" si="41"/>
        <v/>
      </c>
      <c r="K336" s="21" t="str">
        <f t="shared" si="44"/>
        <v/>
      </c>
      <c r="L336" s="21" t="str">
        <f t="shared" si="42"/>
        <v/>
      </c>
      <c r="R336" s="21" t="str">
        <f>IFERROR(INDEX(PACK!$C:$C,MATCH($P336,PACK!$A:$A,0)),"")</f>
        <v/>
      </c>
      <c r="S336" s="21" t="str">
        <f t="shared" si="45"/>
        <v/>
      </c>
    </row>
    <row r="337" spans="6:19" x14ac:dyDescent="0.25">
      <c r="F337" s="21" t="str">
        <f>IFERROR(INDEX(PACK!$C:$C,MATCH($A337,PACK!$A:$A,0)),"")</f>
        <v/>
      </c>
      <c r="G337" s="21" t="str">
        <f>IFERROR(INDEX(PACK!$D:$D,MATCH($A337,PACK!$A:$A,0)),"")</f>
        <v/>
      </c>
      <c r="H337" s="21" t="str">
        <f>IFERROR(INDEX(PACK!$E:$E,MATCH($A337,PACK!$A:$A,0)),"")</f>
        <v/>
      </c>
      <c r="I337" s="21" t="str">
        <f t="shared" si="43"/>
        <v/>
      </c>
      <c r="J337" s="21" t="str">
        <f t="shared" si="41"/>
        <v/>
      </c>
      <c r="K337" s="21" t="str">
        <f t="shared" si="44"/>
        <v/>
      </c>
      <c r="L337" s="21" t="str">
        <f t="shared" si="42"/>
        <v/>
      </c>
      <c r="R337" s="21" t="str">
        <f>IFERROR(INDEX(PACK!$C:$C,MATCH($P337,PACK!$A:$A,0)),"")</f>
        <v/>
      </c>
      <c r="S337" s="21" t="str">
        <f t="shared" si="45"/>
        <v/>
      </c>
    </row>
    <row r="338" spans="6:19" x14ac:dyDescent="0.25">
      <c r="F338" s="21" t="str">
        <f>IFERROR(INDEX(PACK!$C:$C,MATCH($A338,PACK!$A:$A,0)),"")</f>
        <v/>
      </c>
      <c r="G338" s="21" t="str">
        <f>IFERROR(INDEX(PACK!$D:$D,MATCH($A338,PACK!$A:$A,0)),"")</f>
        <v/>
      </c>
      <c r="H338" s="21" t="str">
        <f>IFERROR(INDEX(PACK!$E:$E,MATCH($A338,PACK!$A:$A,0)),"")</f>
        <v/>
      </c>
      <c r="I338" s="21" t="str">
        <f t="shared" si="43"/>
        <v/>
      </c>
      <c r="J338" s="21" t="str">
        <f t="shared" si="41"/>
        <v/>
      </c>
      <c r="K338" s="21" t="str">
        <f t="shared" si="44"/>
        <v/>
      </c>
      <c r="L338" s="21" t="str">
        <f t="shared" si="42"/>
        <v/>
      </c>
      <c r="R338" s="21" t="str">
        <f>IFERROR(INDEX(PACK!$C:$C,MATCH($P338,PACK!$A:$A,0)),"")</f>
        <v/>
      </c>
      <c r="S338" s="21" t="str">
        <f t="shared" si="45"/>
        <v/>
      </c>
    </row>
    <row r="339" spans="6:19" x14ac:dyDescent="0.25">
      <c r="F339" s="21" t="str">
        <f>IFERROR(INDEX(PACK!$C:$C,MATCH($A339,PACK!$A:$A,0)),"")</f>
        <v/>
      </c>
      <c r="G339" s="21" t="str">
        <f>IFERROR(INDEX(PACK!$D:$D,MATCH($A339,PACK!$A:$A,0)),"")</f>
        <v/>
      </c>
      <c r="H339" s="21" t="str">
        <f>IFERROR(INDEX(PACK!$E:$E,MATCH($A339,PACK!$A:$A,0)),"")</f>
        <v/>
      </c>
      <c r="I339" s="21" t="str">
        <f t="shared" si="43"/>
        <v/>
      </c>
      <c r="J339" s="21" t="str">
        <f t="shared" si="41"/>
        <v/>
      </c>
      <c r="K339" s="21" t="str">
        <f t="shared" si="44"/>
        <v/>
      </c>
      <c r="L339" s="21" t="str">
        <f t="shared" si="42"/>
        <v/>
      </c>
      <c r="R339" s="21" t="str">
        <f>IFERROR(INDEX(PACK!$C:$C,MATCH($P339,PACK!$A:$A,0)),"")</f>
        <v/>
      </c>
      <c r="S339" s="21" t="str">
        <f t="shared" si="45"/>
        <v/>
      </c>
    </row>
    <row r="340" spans="6:19" x14ac:dyDescent="0.25">
      <c r="F340" s="21" t="str">
        <f>IFERROR(INDEX(PACK!$C:$C,MATCH($A340,PACK!$A:$A,0)),"")</f>
        <v/>
      </c>
      <c r="G340" s="21" t="str">
        <f>IFERROR(INDEX(PACK!$D:$D,MATCH($A340,PACK!$A:$A,0)),"")</f>
        <v/>
      </c>
      <c r="H340" s="21" t="str">
        <f>IFERROR(INDEX(PACK!$E:$E,MATCH($A340,PACK!$A:$A,0)),"")</f>
        <v/>
      </c>
      <c r="I340" s="21" t="str">
        <f t="shared" si="43"/>
        <v/>
      </c>
      <c r="J340" s="21" t="str">
        <f t="shared" si="41"/>
        <v/>
      </c>
      <c r="K340" s="21" t="str">
        <f t="shared" si="44"/>
        <v/>
      </c>
      <c r="L340" s="21" t="str">
        <f t="shared" si="42"/>
        <v/>
      </c>
      <c r="R340" s="21" t="str">
        <f>IFERROR(INDEX(PACK!$C:$C,MATCH($P340,PACK!$A:$A,0)),"")</f>
        <v/>
      </c>
      <c r="S340" s="21" t="str">
        <f t="shared" si="45"/>
        <v/>
      </c>
    </row>
    <row r="341" spans="6:19" x14ac:dyDescent="0.25">
      <c r="F341" s="21" t="str">
        <f>IFERROR(INDEX(PACK!$C:$C,MATCH($A341,PACK!$A:$A,0)),"")</f>
        <v/>
      </c>
      <c r="G341" s="21" t="str">
        <f>IFERROR(INDEX(PACK!$D:$D,MATCH($A341,PACK!$A:$A,0)),"")</f>
        <v/>
      </c>
      <c r="H341" s="21" t="str">
        <f>IFERROR(INDEX(PACK!$E:$E,MATCH($A341,PACK!$A:$A,0)),"")</f>
        <v/>
      </c>
      <c r="I341" s="21" t="str">
        <f t="shared" si="43"/>
        <v/>
      </c>
      <c r="J341" s="21" t="str">
        <f t="shared" si="41"/>
        <v/>
      </c>
      <c r="K341" s="21" t="str">
        <f t="shared" si="44"/>
        <v/>
      </c>
      <c r="L341" s="21" t="str">
        <f t="shared" si="42"/>
        <v/>
      </c>
      <c r="R341" s="21" t="str">
        <f>IFERROR(INDEX(PACK!$C:$C,MATCH($P341,PACK!$A:$A,0)),"")</f>
        <v/>
      </c>
      <c r="S341" s="21" t="str">
        <f t="shared" si="45"/>
        <v/>
      </c>
    </row>
    <row r="342" spans="6:19" x14ac:dyDescent="0.25">
      <c r="F342" s="21" t="str">
        <f>IFERROR(INDEX(PACK!$C:$C,MATCH($A342,PACK!$A:$A,0)),"")</f>
        <v/>
      </c>
      <c r="G342" s="21" t="str">
        <f>IFERROR(INDEX(PACK!$D:$D,MATCH($A342,PACK!$A:$A,0)),"")</f>
        <v/>
      </c>
      <c r="H342" s="21" t="str">
        <f>IFERROR(INDEX(PACK!$E:$E,MATCH($A342,PACK!$A:$A,0)),"")</f>
        <v/>
      </c>
      <c r="I342" s="21" t="str">
        <f t="shared" si="43"/>
        <v/>
      </c>
      <c r="J342" s="21" t="str">
        <f t="shared" si="41"/>
        <v/>
      </c>
      <c r="K342" s="21" t="str">
        <f t="shared" si="44"/>
        <v/>
      </c>
      <c r="L342" s="21" t="str">
        <f t="shared" si="42"/>
        <v/>
      </c>
      <c r="R342" s="21" t="str">
        <f>IFERROR(INDEX(PACK!$C:$C,MATCH($P342,PACK!$A:$A,0)),"")</f>
        <v/>
      </c>
      <c r="S342" s="21" t="str">
        <f t="shared" si="45"/>
        <v/>
      </c>
    </row>
    <row r="343" spans="6:19" x14ac:dyDescent="0.25">
      <c r="F343" s="21" t="str">
        <f>IFERROR(INDEX(PACK!$C:$C,MATCH($A343,PACK!$A:$A,0)),"")</f>
        <v/>
      </c>
      <c r="G343" s="21" t="str">
        <f>IFERROR(INDEX(PACK!$D:$D,MATCH($A343,PACK!$A:$A,0)),"")</f>
        <v/>
      </c>
      <c r="H343" s="21" t="str">
        <f>IFERROR(INDEX(PACK!$E:$E,MATCH($A343,PACK!$A:$A,0)),"")</f>
        <v/>
      </c>
      <c r="I343" s="21" t="str">
        <f t="shared" si="43"/>
        <v/>
      </c>
      <c r="J343" s="21" t="str">
        <f t="shared" ref="J343:J406" si="46">IFERROR(ROUNDDOWN(C343/G343,0),"")</f>
        <v/>
      </c>
      <c r="K343" s="21" t="str">
        <f t="shared" si="44"/>
        <v/>
      </c>
      <c r="L343" s="21" t="str">
        <f t="shared" ref="L343:L406" si="47">IFERROR(K343*F343,"")</f>
        <v/>
      </c>
      <c r="R343" s="21" t="str">
        <f>IFERROR(INDEX(PACK!$C:$C,MATCH($P343,PACK!$A:$A,0)),"")</f>
        <v/>
      </c>
      <c r="S343" s="21" t="str">
        <f t="shared" si="45"/>
        <v/>
      </c>
    </row>
    <row r="344" spans="6:19" x14ac:dyDescent="0.25">
      <c r="F344" s="21" t="str">
        <f>IFERROR(INDEX(PACK!$C:$C,MATCH($A344,PACK!$A:$A,0)),"")</f>
        <v/>
      </c>
      <c r="G344" s="21" t="str">
        <f>IFERROR(INDEX(PACK!$D:$D,MATCH($A344,PACK!$A:$A,0)),"")</f>
        <v/>
      </c>
      <c r="H344" s="21" t="str">
        <f>IFERROR(INDEX(PACK!$E:$E,MATCH($A344,PACK!$A:$A,0)),"")</f>
        <v/>
      </c>
      <c r="I344" s="21" t="str">
        <f t="shared" si="43"/>
        <v/>
      </c>
      <c r="J344" s="21" t="str">
        <f t="shared" si="46"/>
        <v/>
      </c>
      <c r="K344" s="21" t="str">
        <f t="shared" si="44"/>
        <v/>
      </c>
      <c r="L344" s="21" t="str">
        <f t="shared" si="47"/>
        <v/>
      </c>
      <c r="R344" s="21" t="str">
        <f>IFERROR(INDEX(PACK!$C:$C,MATCH($P344,PACK!$A:$A,0)),"")</f>
        <v/>
      </c>
      <c r="S344" s="21" t="str">
        <f t="shared" si="45"/>
        <v/>
      </c>
    </row>
    <row r="345" spans="6:19" x14ac:dyDescent="0.25">
      <c r="F345" s="21" t="str">
        <f>IFERROR(INDEX(PACK!$C:$C,MATCH($A345,PACK!$A:$A,0)),"")</f>
        <v/>
      </c>
      <c r="G345" s="21" t="str">
        <f>IFERROR(INDEX(PACK!$D:$D,MATCH($A345,PACK!$A:$A,0)),"")</f>
        <v/>
      </c>
      <c r="H345" s="21" t="str">
        <f>IFERROR(INDEX(PACK!$E:$E,MATCH($A345,PACK!$A:$A,0)),"")</f>
        <v/>
      </c>
      <c r="I345" s="21" t="str">
        <f t="shared" si="43"/>
        <v/>
      </c>
      <c r="J345" s="21" t="str">
        <f t="shared" si="46"/>
        <v/>
      </c>
      <c r="K345" s="21" t="str">
        <f t="shared" si="44"/>
        <v/>
      </c>
      <c r="L345" s="21" t="str">
        <f t="shared" si="47"/>
        <v/>
      </c>
      <c r="R345" s="21" t="str">
        <f>IFERROR(INDEX(PACK!$C:$C,MATCH($P345,PACK!$A:$A,0)),"")</f>
        <v/>
      </c>
      <c r="S345" s="21" t="str">
        <f t="shared" si="45"/>
        <v/>
      </c>
    </row>
    <row r="346" spans="6:19" x14ac:dyDescent="0.25">
      <c r="F346" s="21" t="str">
        <f>IFERROR(INDEX(PACK!$C:$C,MATCH($A346,PACK!$A:$A,0)),"")</f>
        <v/>
      </c>
      <c r="G346" s="21" t="str">
        <f>IFERROR(INDEX(PACK!$D:$D,MATCH($A346,PACK!$A:$A,0)),"")</f>
        <v/>
      </c>
      <c r="H346" s="21" t="str">
        <f>IFERROR(INDEX(PACK!$E:$E,MATCH($A346,PACK!$A:$A,0)),"")</f>
        <v/>
      </c>
      <c r="I346" s="21" t="str">
        <f t="shared" si="43"/>
        <v/>
      </c>
      <c r="J346" s="21" t="str">
        <f t="shared" si="46"/>
        <v/>
      </c>
      <c r="K346" s="21" t="str">
        <f t="shared" si="44"/>
        <v/>
      </c>
      <c r="L346" s="21" t="str">
        <f t="shared" si="47"/>
        <v/>
      </c>
      <c r="R346" s="21" t="str">
        <f>IFERROR(INDEX(PACK!$C:$C,MATCH($P346,PACK!$A:$A,0)),"")</f>
        <v/>
      </c>
      <c r="S346" s="21" t="str">
        <f t="shared" si="45"/>
        <v/>
      </c>
    </row>
    <row r="347" spans="6:19" x14ac:dyDescent="0.25">
      <c r="F347" s="21" t="str">
        <f>IFERROR(INDEX(PACK!$C:$C,MATCH($A347,PACK!$A:$A,0)),"")</f>
        <v/>
      </c>
      <c r="G347" s="21" t="str">
        <f>IFERROR(INDEX(PACK!$D:$D,MATCH($A347,PACK!$A:$A,0)),"")</f>
        <v/>
      </c>
      <c r="H347" s="21" t="str">
        <f>IFERROR(INDEX(PACK!$E:$E,MATCH($A347,PACK!$A:$A,0)),"")</f>
        <v/>
      </c>
      <c r="I347" s="21" t="str">
        <f t="shared" si="43"/>
        <v/>
      </c>
      <c r="J347" s="21" t="str">
        <f t="shared" si="46"/>
        <v/>
      </c>
      <c r="K347" s="21" t="str">
        <f t="shared" si="44"/>
        <v/>
      </c>
      <c r="L347" s="21" t="str">
        <f t="shared" si="47"/>
        <v/>
      </c>
      <c r="R347" s="21" t="str">
        <f>IFERROR(INDEX(PACK!$C:$C,MATCH($P347,PACK!$A:$A,0)),"")</f>
        <v/>
      </c>
      <c r="S347" s="21" t="str">
        <f t="shared" si="45"/>
        <v/>
      </c>
    </row>
    <row r="348" spans="6:19" x14ac:dyDescent="0.25">
      <c r="F348" s="21" t="str">
        <f>IFERROR(INDEX(PACK!$C:$C,MATCH($A348,PACK!$A:$A,0)),"")</f>
        <v/>
      </c>
      <c r="G348" s="21" t="str">
        <f>IFERROR(INDEX(PACK!$D:$D,MATCH($A348,PACK!$A:$A,0)),"")</f>
        <v/>
      </c>
      <c r="H348" s="21" t="str">
        <f>IFERROR(INDEX(PACK!$E:$E,MATCH($A348,PACK!$A:$A,0)),"")</f>
        <v/>
      </c>
      <c r="I348" s="21" t="str">
        <f t="shared" si="43"/>
        <v/>
      </c>
      <c r="J348" s="21" t="str">
        <f t="shared" si="46"/>
        <v/>
      </c>
      <c r="K348" s="21" t="str">
        <f t="shared" si="44"/>
        <v/>
      </c>
      <c r="L348" s="21" t="str">
        <f t="shared" si="47"/>
        <v/>
      </c>
      <c r="R348" s="21" t="str">
        <f>IFERROR(INDEX(PACK!$C:$C,MATCH($P348,PACK!$A:$A,0)),"")</f>
        <v/>
      </c>
      <c r="S348" s="21" t="str">
        <f t="shared" si="45"/>
        <v/>
      </c>
    </row>
    <row r="349" spans="6:19" x14ac:dyDescent="0.25">
      <c r="F349" s="21" t="str">
        <f>IFERROR(INDEX(PACK!$C:$C,MATCH($A349,PACK!$A:$A,0)),"")</f>
        <v/>
      </c>
      <c r="G349" s="21" t="str">
        <f>IFERROR(INDEX(PACK!$D:$D,MATCH($A349,PACK!$A:$A,0)),"")</f>
        <v/>
      </c>
      <c r="H349" s="21" t="str">
        <f>IFERROR(INDEX(PACK!$E:$E,MATCH($A349,PACK!$A:$A,0)),"")</f>
        <v/>
      </c>
      <c r="I349" s="21" t="str">
        <f t="shared" si="43"/>
        <v/>
      </c>
      <c r="J349" s="21" t="str">
        <f t="shared" si="46"/>
        <v/>
      </c>
      <c r="K349" s="21" t="str">
        <f t="shared" si="44"/>
        <v/>
      </c>
      <c r="L349" s="21" t="str">
        <f t="shared" si="47"/>
        <v/>
      </c>
      <c r="R349" s="21" t="str">
        <f>IFERROR(INDEX(PACK!$C:$C,MATCH($P349,PACK!$A:$A,0)),"")</f>
        <v/>
      </c>
      <c r="S349" s="21" t="str">
        <f t="shared" si="45"/>
        <v/>
      </c>
    </row>
    <row r="350" spans="6:19" x14ac:dyDescent="0.25">
      <c r="F350" s="21" t="str">
        <f>IFERROR(INDEX(PACK!$C:$C,MATCH($A350,PACK!$A:$A,0)),"")</f>
        <v/>
      </c>
      <c r="G350" s="21" t="str">
        <f>IFERROR(INDEX(PACK!$D:$D,MATCH($A350,PACK!$A:$A,0)),"")</f>
        <v/>
      </c>
      <c r="H350" s="21" t="str">
        <f>IFERROR(INDEX(PACK!$E:$E,MATCH($A350,PACK!$A:$A,0)),"")</f>
        <v/>
      </c>
      <c r="I350" s="21" t="str">
        <f t="shared" si="43"/>
        <v/>
      </c>
      <c r="J350" s="21" t="str">
        <f t="shared" si="46"/>
        <v/>
      </c>
      <c r="K350" s="21" t="str">
        <f t="shared" si="44"/>
        <v/>
      </c>
      <c r="L350" s="21" t="str">
        <f t="shared" si="47"/>
        <v/>
      </c>
      <c r="R350" s="21" t="str">
        <f>IFERROR(INDEX(PACK!$C:$C,MATCH($P350,PACK!$A:$A,0)),"")</f>
        <v/>
      </c>
      <c r="S350" s="21" t="str">
        <f t="shared" si="45"/>
        <v/>
      </c>
    </row>
    <row r="351" spans="6:19" x14ac:dyDescent="0.25">
      <c r="F351" s="21" t="str">
        <f>IFERROR(INDEX(PACK!$C:$C,MATCH($A351,PACK!$A:$A,0)),"")</f>
        <v/>
      </c>
      <c r="G351" s="21" t="str">
        <f>IFERROR(INDEX(PACK!$D:$D,MATCH($A351,PACK!$A:$A,0)),"")</f>
        <v/>
      </c>
      <c r="H351" s="21" t="str">
        <f>IFERROR(INDEX(PACK!$E:$E,MATCH($A351,PACK!$A:$A,0)),"")</f>
        <v/>
      </c>
      <c r="I351" s="21" t="str">
        <f t="shared" si="43"/>
        <v/>
      </c>
      <c r="J351" s="21" t="str">
        <f t="shared" si="46"/>
        <v/>
      </c>
      <c r="K351" s="21" t="str">
        <f t="shared" si="44"/>
        <v/>
      </c>
      <c r="L351" s="21" t="str">
        <f t="shared" si="47"/>
        <v/>
      </c>
      <c r="R351" s="21" t="str">
        <f>IFERROR(INDEX(PACK!$C:$C,MATCH($P351,PACK!$A:$A,0)),"")</f>
        <v/>
      </c>
      <c r="S351" s="21" t="str">
        <f t="shared" si="45"/>
        <v/>
      </c>
    </row>
    <row r="352" spans="6:19" x14ac:dyDescent="0.25">
      <c r="F352" s="21" t="str">
        <f>IFERROR(INDEX(PACK!$C:$C,MATCH($A352,PACK!$A:$A,0)),"")</f>
        <v/>
      </c>
      <c r="G352" s="21" t="str">
        <f>IFERROR(INDEX(PACK!$D:$D,MATCH($A352,PACK!$A:$A,0)),"")</f>
        <v/>
      </c>
      <c r="H352" s="21" t="str">
        <f>IFERROR(INDEX(PACK!$E:$E,MATCH($A352,PACK!$A:$A,0)),"")</f>
        <v/>
      </c>
      <c r="I352" s="21" t="str">
        <f t="shared" si="43"/>
        <v/>
      </c>
      <c r="J352" s="21" t="str">
        <f t="shared" si="46"/>
        <v/>
      </c>
      <c r="K352" s="21" t="str">
        <f t="shared" si="44"/>
        <v/>
      </c>
      <c r="L352" s="21" t="str">
        <f t="shared" si="47"/>
        <v/>
      </c>
      <c r="R352" s="21" t="str">
        <f>IFERROR(INDEX(PACK!$C:$C,MATCH($P352,PACK!$A:$A,0)),"")</f>
        <v/>
      </c>
      <c r="S352" s="21" t="str">
        <f t="shared" si="45"/>
        <v/>
      </c>
    </row>
    <row r="353" spans="6:19" x14ac:dyDescent="0.25">
      <c r="F353" s="21" t="str">
        <f>IFERROR(INDEX(PACK!$C:$C,MATCH($A353,PACK!$A:$A,0)),"")</f>
        <v/>
      </c>
      <c r="G353" s="21" t="str">
        <f>IFERROR(INDEX(PACK!$D:$D,MATCH($A353,PACK!$A:$A,0)),"")</f>
        <v/>
      </c>
      <c r="H353" s="21" t="str">
        <f>IFERROR(INDEX(PACK!$E:$E,MATCH($A353,PACK!$A:$A,0)),"")</f>
        <v/>
      </c>
      <c r="I353" s="21" t="str">
        <f t="shared" si="43"/>
        <v/>
      </c>
      <c r="J353" s="21" t="str">
        <f t="shared" si="46"/>
        <v/>
      </c>
      <c r="K353" s="21" t="str">
        <f t="shared" si="44"/>
        <v/>
      </c>
      <c r="L353" s="21" t="str">
        <f t="shared" si="47"/>
        <v/>
      </c>
      <c r="R353" s="21" t="str">
        <f>IFERROR(INDEX(PACK!$C:$C,MATCH($P353,PACK!$A:$A,0)),"")</f>
        <v/>
      </c>
      <c r="S353" s="21" t="str">
        <f t="shared" si="45"/>
        <v/>
      </c>
    </row>
    <row r="354" spans="6:19" x14ac:dyDescent="0.25">
      <c r="F354" s="21" t="str">
        <f>IFERROR(INDEX(PACK!$C:$C,MATCH($A354,PACK!$A:$A,0)),"")</f>
        <v/>
      </c>
      <c r="G354" s="21" t="str">
        <f>IFERROR(INDEX(PACK!$D:$D,MATCH($A354,PACK!$A:$A,0)),"")</f>
        <v/>
      </c>
      <c r="H354" s="21" t="str">
        <f>IFERROR(INDEX(PACK!$E:$E,MATCH($A354,PACK!$A:$A,0)),"")</f>
        <v/>
      </c>
      <c r="I354" s="21" t="str">
        <f t="shared" si="43"/>
        <v/>
      </c>
      <c r="J354" s="21" t="str">
        <f t="shared" si="46"/>
        <v/>
      </c>
      <c r="K354" s="21" t="str">
        <f t="shared" si="44"/>
        <v/>
      </c>
      <c r="L354" s="21" t="str">
        <f t="shared" si="47"/>
        <v/>
      </c>
      <c r="R354" s="21" t="str">
        <f>IFERROR(INDEX(PACK!$C:$C,MATCH($P354,PACK!$A:$A,0)),"")</f>
        <v/>
      </c>
      <c r="S354" s="21" t="str">
        <f t="shared" si="45"/>
        <v/>
      </c>
    </row>
    <row r="355" spans="6:19" x14ac:dyDescent="0.25">
      <c r="F355" s="21" t="str">
        <f>IFERROR(INDEX(PACK!$C:$C,MATCH($A355,PACK!$A:$A,0)),"")</f>
        <v/>
      </c>
      <c r="G355" s="21" t="str">
        <f>IFERROR(INDEX(PACK!$D:$D,MATCH($A355,PACK!$A:$A,0)),"")</f>
        <v/>
      </c>
      <c r="H355" s="21" t="str">
        <f>IFERROR(INDEX(PACK!$E:$E,MATCH($A355,PACK!$A:$A,0)),"")</f>
        <v/>
      </c>
      <c r="I355" s="21" t="str">
        <f t="shared" si="43"/>
        <v/>
      </c>
      <c r="J355" s="21" t="str">
        <f t="shared" si="46"/>
        <v/>
      </c>
      <c r="K355" s="21" t="str">
        <f t="shared" si="44"/>
        <v/>
      </c>
      <c r="L355" s="21" t="str">
        <f t="shared" si="47"/>
        <v/>
      </c>
      <c r="R355" s="21" t="str">
        <f>IFERROR(INDEX(PACK!$C:$C,MATCH($P355,PACK!$A:$A,0)),"")</f>
        <v/>
      </c>
      <c r="S355" s="21" t="str">
        <f t="shared" si="45"/>
        <v/>
      </c>
    </row>
    <row r="356" spans="6:19" x14ac:dyDescent="0.25">
      <c r="F356" s="21" t="str">
        <f>IFERROR(INDEX(PACK!$C:$C,MATCH($A356,PACK!$A:$A,0)),"")</f>
        <v/>
      </c>
      <c r="G356" s="21" t="str">
        <f>IFERROR(INDEX(PACK!$D:$D,MATCH($A356,PACK!$A:$A,0)),"")</f>
        <v/>
      </c>
      <c r="H356" s="21" t="str">
        <f>IFERROR(INDEX(PACK!$E:$E,MATCH($A356,PACK!$A:$A,0)),"")</f>
        <v/>
      </c>
      <c r="I356" s="21" t="str">
        <f t="shared" si="43"/>
        <v/>
      </c>
      <c r="J356" s="21" t="str">
        <f t="shared" si="46"/>
        <v/>
      </c>
      <c r="K356" s="21" t="str">
        <f t="shared" si="44"/>
        <v/>
      </c>
      <c r="L356" s="21" t="str">
        <f t="shared" si="47"/>
        <v/>
      </c>
      <c r="R356" s="21" t="str">
        <f>IFERROR(INDEX(PACK!$C:$C,MATCH($P356,PACK!$A:$A,0)),"")</f>
        <v/>
      </c>
      <c r="S356" s="21" t="str">
        <f t="shared" si="45"/>
        <v/>
      </c>
    </row>
    <row r="357" spans="6:19" x14ac:dyDescent="0.25">
      <c r="F357" s="21" t="str">
        <f>IFERROR(INDEX(PACK!$C:$C,MATCH($A357,PACK!$A:$A,0)),"")</f>
        <v/>
      </c>
      <c r="G357" s="21" t="str">
        <f>IFERROR(INDEX(PACK!$D:$D,MATCH($A357,PACK!$A:$A,0)),"")</f>
        <v/>
      </c>
      <c r="H357" s="21" t="str">
        <f>IFERROR(INDEX(PACK!$E:$E,MATCH($A357,PACK!$A:$A,0)),"")</f>
        <v/>
      </c>
      <c r="I357" s="21" t="str">
        <f t="shared" si="43"/>
        <v/>
      </c>
      <c r="J357" s="21" t="str">
        <f t="shared" si="46"/>
        <v/>
      </c>
      <c r="K357" s="21" t="str">
        <f t="shared" si="44"/>
        <v/>
      </c>
      <c r="L357" s="21" t="str">
        <f t="shared" si="47"/>
        <v/>
      </c>
      <c r="R357" s="21" t="str">
        <f>IFERROR(INDEX(PACK!$C:$C,MATCH($P357,PACK!$A:$A,0)),"")</f>
        <v/>
      </c>
      <c r="S357" s="21" t="str">
        <f t="shared" si="45"/>
        <v/>
      </c>
    </row>
    <row r="358" spans="6:19" x14ac:dyDescent="0.25">
      <c r="F358" s="21" t="str">
        <f>IFERROR(INDEX(PACK!$C:$C,MATCH($A358,PACK!$A:$A,0)),"")</f>
        <v/>
      </c>
      <c r="G358" s="21" t="str">
        <f>IFERROR(INDEX(PACK!$D:$D,MATCH($A358,PACK!$A:$A,0)),"")</f>
        <v/>
      </c>
      <c r="H358" s="21" t="str">
        <f>IFERROR(INDEX(PACK!$E:$E,MATCH($A358,PACK!$A:$A,0)),"")</f>
        <v/>
      </c>
      <c r="I358" s="21" t="str">
        <f t="shared" si="43"/>
        <v/>
      </c>
      <c r="J358" s="21" t="str">
        <f t="shared" si="46"/>
        <v/>
      </c>
      <c r="K358" s="21" t="str">
        <f t="shared" si="44"/>
        <v/>
      </c>
      <c r="L358" s="21" t="str">
        <f t="shared" si="47"/>
        <v/>
      </c>
      <c r="R358" s="21" t="str">
        <f>IFERROR(INDEX(PACK!$C:$C,MATCH($P358,PACK!$A:$A,0)),"")</f>
        <v/>
      </c>
      <c r="S358" s="21" t="str">
        <f t="shared" si="45"/>
        <v/>
      </c>
    </row>
    <row r="359" spans="6:19" x14ac:dyDescent="0.25">
      <c r="F359" s="21" t="str">
        <f>IFERROR(INDEX(PACK!$C:$C,MATCH($A359,PACK!$A:$A,0)),"")</f>
        <v/>
      </c>
      <c r="G359" s="21" t="str">
        <f>IFERROR(INDEX(PACK!$D:$D,MATCH($A359,PACK!$A:$A,0)),"")</f>
        <v/>
      </c>
      <c r="H359" s="21" t="str">
        <f>IFERROR(INDEX(PACK!$E:$E,MATCH($A359,PACK!$A:$A,0)),"")</f>
        <v/>
      </c>
      <c r="I359" s="21" t="str">
        <f t="shared" si="43"/>
        <v/>
      </c>
      <c r="J359" s="21" t="str">
        <f t="shared" si="46"/>
        <v/>
      </c>
      <c r="K359" s="21" t="str">
        <f t="shared" si="44"/>
        <v/>
      </c>
      <c r="L359" s="21" t="str">
        <f t="shared" si="47"/>
        <v/>
      </c>
      <c r="R359" s="21" t="str">
        <f>IFERROR(INDEX(PACK!$C:$C,MATCH($P359,PACK!$A:$A,0)),"")</f>
        <v/>
      </c>
      <c r="S359" s="21" t="str">
        <f t="shared" si="45"/>
        <v/>
      </c>
    </row>
    <row r="360" spans="6:19" x14ac:dyDescent="0.25">
      <c r="F360" s="21" t="str">
        <f>IFERROR(INDEX(PACK!$C:$C,MATCH($A360,PACK!$A:$A,0)),"")</f>
        <v/>
      </c>
      <c r="G360" s="21" t="str">
        <f>IFERROR(INDEX(PACK!$D:$D,MATCH($A360,PACK!$A:$A,0)),"")</f>
        <v/>
      </c>
      <c r="H360" s="21" t="str">
        <f>IFERROR(INDEX(PACK!$E:$E,MATCH($A360,PACK!$A:$A,0)),"")</f>
        <v/>
      </c>
      <c r="I360" s="21" t="str">
        <f t="shared" si="43"/>
        <v/>
      </c>
      <c r="J360" s="21" t="str">
        <f t="shared" si="46"/>
        <v/>
      </c>
      <c r="K360" s="21" t="str">
        <f t="shared" si="44"/>
        <v/>
      </c>
      <c r="L360" s="21" t="str">
        <f t="shared" si="47"/>
        <v/>
      </c>
      <c r="R360" s="21" t="str">
        <f>IFERROR(INDEX(PACK!$C:$C,MATCH($P360,PACK!$A:$A,0)),"")</f>
        <v/>
      </c>
      <c r="S360" s="21" t="str">
        <f t="shared" si="45"/>
        <v/>
      </c>
    </row>
    <row r="361" spans="6:19" x14ac:dyDescent="0.25">
      <c r="F361" s="21" t="str">
        <f>IFERROR(INDEX(PACK!$C:$C,MATCH($A361,PACK!$A:$A,0)),"")</f>
        <v/>
      </c>
      <c r="G361" s="21" t="str">
        <f>IFERROR(INDEX(PACK!$D:$D,MATCH($A361,PACK!$A:$A,0)),"")</f>
        <v/>
      </c>
      <c r="H361" s="21" t="str">
        <f>IFERROR(INDEX(PACK!$E:$E,MATCH($A361,PACK!$A:$A,0)),"")</f>
        <v/>
      </c>
      <c r="I361" s="21" t="str">
        <f t="shared" si="43"/>
        <v/>
      </c>
      <c r="J361" s="21" t="str">
        <f t="shared" si="46"/>
        <v/>
      </c>
      <c r="K361" s="21" t="str">
        <f t="shared" si="44"/>
        <v/>
      </c>
      <c r="L361" s="21" t="str">
        <f t="shared" si="47"/>
        <v/>
      </c>
      <c r="R361" s="21" t="str">
        <f>IFERROR(INDEX(PACK!$C:$C,MATCH($P361,PACK!$A:$A,0)),"")</f>
        <v/>
      </c>
      <c r="S361" s="21" t="str">
        <f t="shared" si="45"/>
        <v/>
      </c>
    </row>
    <row r="362" spans="6:19" x14ac:dyDescent="0.25">
      <c r="F362" s="21" t="str">
        <f>IFERROR(INDEX(PACK!$C:$C,MATCH($A362,PACK!$A:$A,0)),"")</f>
        <v/>
      </c>
      <c r="G362" s="21" t="str">
        <f>IFERROR(INDEX(PACK!$D:$D,MATCH($A362,PACK!$A:$A,0)),"")</f>
        <v/>
      </c>
      <c r="H362" s="21" t="str">
        <f>IFERROR(INDEX(PACK!$E:$E,MATCH($A362,PACK!$A:$A,0)),"")</f>
        <v/>
      </c>
      <c r="I362" s="21" t="str">
        <f t="shared" si="43"/>
        <v/>
      </c>
      <c r="J362" s="21" t="str">
        <f t="shared" si="46"/>
        <v/>
      </c>
      <c r="K362" s="21" t="str">
        <f t="shared" si="44"/>
        <v/>
      </c>
      <c r="L362" s="21" t="str">
        <f t="shared" si="47"/>
        <v/>
      </c>
      <c r="R362" s="21" t="str">
        <f>IFERROR(INDEX(PACK!$C:$C,MATCH($P362,PACK!$A:$A,0)),"")</f>
        <v/>
      </c>
      <c r="S362" s="21" t="str">
        <f t="shared" si="45"/>
        <v/>
      </c>
    </row>
    <row r="363" spans="6:19" x14ac:dyDescent="0.25">
      <c r="F363" s="21" t="str">
        <f>IFERROR(INDEX(PACK!$C:$C,MATCH($A363,PACK!$A:$A,0)),"")</f>
        <v/>
      </c>
      <c r="G363" s="21" t="str">
        <f>IFERROR(INDEX(PACK!$D:$D,MATCH($A363,PACK!$A:$A,0)),"")</f>
        <v/>
      </c>
      <c r="H363" s="21" t="str">
        <f>IFERROR(INDEX(PACK!$E:$E,MATCH($A363,PACK!$A:$A,0)),"")</f>
        <v/>
      </c>
      <c r="I363" s="21" t="str">
        <f t="shared" si="43"/>
        <v/>
      </c>
      <c r="J363" s="21" t="str">
        <f t="shared" si="46"/>
        <v/>
      </c>
      <c r="K363" s="21" t="str">
        <f t="shared" si="44"/>
        <v/>
      </c>
      <c r="L363" s="21" t="str">
        <f t="shared" si="47"/>
        <v/>
      </c>
      <c r="R363" s="21" t="str">
        <f>IFERROR(INDEX(PACK!$C:$C,MATCH($P363,PACK!$A:$A,0)),"")</f>
        <v/>
      </c>
      <c r="S363" s="21" t="str">
        <f t="shared" si="45"/>
        <v/>
      </c>
    </row>
    <row r="364" spans="6:19" x14ac:dyDescent="0.25">
      <c r="F364" s="21" t="str">
        <f>IFERROR(INDEX(PACK!$C:$C,MATCH($A364,PACK!$A:$A,0)),"")</f>
        <v/>
      </c>
      <c r="G364" s="21" t="str">
        <f>IFERROR(INDEX(PACK!$D:$D,MATCH($A364,PACK!$A:$A,0)),"")</f>
        <v/>
      </c>
      <c r="H364" s="21" t="str">
        <f>IFERROR(INDEX(PACK!$E:$E,MATCH($A364,PACK!$A:$A,0)),"")</f>
        <v/>
      </c>
      <c r="I364" s="21" t="str">
        <f t="shared" si="43"/>
        <v/>
      </c>
      <c r="J364" s="21" t="str">
        <f t="shared" si="46"/>
        <v/>
      </c>
      <c r="K364" s="21" t="str">
        <f t="shared" si="44"/>
        <v/>
      </c>
      <c r="L364" s="21" t="str">
        <f t="shared" si="47"/>
        <v/>
      </c>
      <c r="R364" s="21" t="str">
        <f>IFERROR(INDEX(PACK!$C:$C,MATCH($P364,PACK!$A:$A,0)),"")</f>
        <v/>
      </c>
      <c r="S364" s="21" t="str">
        <f t="shared" si="45"/>
        <v/>
      </c>
    </row>
    <row r="365" spans="6:19" x14ac:dyDescent="0.25">
      <c r="F365" s="21" t="str">
        <f>IFERROR(INDEX(PACK!$C:$C,MATCH($A365,PACK!$A:$A,0)),"")</f>
        <v/>
      </c>
      <c r="G365" s="21" t="str">
        <f>IFERROR(INDEX(PACK!$D:$D,MATCH($A365,PACK!$A:$A,0)),"")</f>
        <v/>
      </c>
      <c r="H365" s="21" t="str">
        <f>IFERROR(INDEX(PACK!$E:$E,MATCH($A365,PACK!$A:$A,0)),"")</f>
        <v/>
      </c>
      <c r="I365" s="21" t="str">
        <f t="shared" si="43"/>
        <v/>
      </c>
      <c r="J365" s="21" t="str">
        <f t="shared" si="46"/>
        <v/>
      </c>
      <c r="K365" s="21" t="str">
        <f t="shared" si="44"/>
        <v/>
      </c>
      <c r="L365" s="21" t="str">
        <f t="shared" si="47"/>
        <v/>
      </c>
      <c r="R365" s="21" t="str">
        <f>IFERROR(INDEX(PACK!$C:$C,MATCH($P365,PACK!$A:$A,0)),"")</f>
        <v/>
      </c>
      <c r="S365" s="21" t="str">
        <f t="shared" si="45"/>
        <v/>
      </c>
    </row>
    <row r="366" spans="6:19" x14ac:dyDescent="0.25">
      <c r="F366" s="21" t="str">
        <f>IFERROR(INDEX(PACK!$C:$C,MATCH($A366,PACK!$A:$A,0)),"")</f>
        <v/>
      </c>
      <c r="G366" s="21" t="str">
        <f>IFERROR(INDEX(PACK!$D:$D,MATCH($A366,PACK!$A:$A,0)),"")</f>
        <v/>
      </c>
      <c r="H366" s="21" t="str">
        <f>IFERROR(INDEX(PACK!$E:$E,MATCH($A366,PACK!$A:$A,0)),"")</f>
        <v/>
      </c>
      <c r="I366" s="21" t="str">
        <f t="shared" si="43"/>
        <v/>
      </c>
      <c r="J366" s="21" t="str">
        <f t="shared" si="46"/>
        <v/>
      </c>
      <c r="K366" s="21" t="str">
        <f t="shared" si="44"/>
        <v/>
      </c>
      <c r="L366" s="21" t="str">
        <f t="shared" si="47"/>
        <v/>
      </c>
      <c r="R366" s="21" t="str">
        <f>IFERROR(INDEX(PACK!$C:$C,MATCH($P366,PACK!$A:$A,0)),"")</f>
        <v/>
      </c>
      <c r="S366" s="21" t="str">
        <f t="shared" si="45"/>
        <v/>
      </c>
    </row>
    <row r="367" spans="6:19" x14ac:dyDescent="0.25">
      <c r="F367" s="21" t="str">
        <f>IFERROR(INDEX(PACK!$C:$C,MATCH($A367,PACK!$A:$A,0)),"")</f>
        <v/>
      </c>
      <c r="G367" s="21" t="str">
        <f>IFERROR(INDEX(PACK!$D:$D,MATCH($A367,PACK!$A:$A,0)),"")</f>
        <v/>
      </c>
      <c r="H367" s="21" t="str">
        <f>IFERROR(INDEX(PACK!$E:$E,MATCH($A367,PACK!$A:$A,0)),"")</f>
        <v/>
      </c>
      <c r="I367" s="21" t="str">
        <f t="shared" si="43"/>
        <v/>
      </c>
      <c r="J367" s="21" t="str">
        <f t="shared" si="46"/>
        <v/>
      </c>
      <c r="K367" s="21" t="str">
        <f t="shared" si="44"/>
        <v/>
      </c>
      <c r="L367" s="21" t="str">
        <f t="shared" si="47"/>
        <v/>
      </c>
      <c r="R367" s="21" t="str">
        <f>IFERROR(INDEX(PACK!$C:$C,MATCH($P367,PACK!$A:$A,0)),"")</f>
        <v/>
      </c>
      <c r="S367" s="21" t="str">
        <f t="shared" si="45"/>
        <v/>
      </c>
    </row>
    <row r="368" spans="6:19" x14ac:dyDescent="0.25">
      <c r="F368" s="21" t="str">
        <f>IFERROR(INDEX(PACK!$C:$C,MATCH($A368,PACK!$A:$A,0)),"")</f>
        <v/>
      </c>
      <c r="G368" s="21" t="str">
        <f>IFERROR(INDEX(PACK!$D:$D,MATCH($A368,PACK!$A:$A,0)),"")</f>
        <v/>
      </c>
      <c r="H368" s="21" t="str">
        <f>IFERROR(INDEX(PACK!$E:$E,MATCH($A368,PACK!$A:$A,0)),"")</f>
        <v/>
      </c>
      <c r="I368" s="21" t="str">
        <f t="shared" si="43"/>
        <v/>
      </c>
      <c r="J368" s="21" t="str">
        <f t="shared" si="46"/>
        <v/>
      </c>
      <c r="K368" s="21" t="str">
        <f t="shared" si="44"/>
        <v/>
      </c>
      <c r="L368" s="21" t="str">
        <f t="shared" si="47"/>
        <v/>
      </c>
      <c r="R368" s="21" t="str">
        <f>IFERROR(INDEX(PACK!$C:$C,MATCH($P368,PACK!$A:$A,0)),"")</f>
        <v/>
      </c>
      <c r="S368" s="21" t="str">
        <f t="shared" si="45"/>
        <v/>
      </c>
    </row>
    <row r="369" spans="6:19" x14ac:dyDescent="0.25">
      <c r="F369" s="21" t="str">
        <f>IFERROR(INDEX(PACK!$C:$C,MATCH($A369,PACK!$A:$A,0)),"")</f>
        <v/>
      </c>
      <c r="G369" s="21" t="str">
        <f>IFERROR(INDEX(PACK!$D:$D,MATCH($A369,PACK!$A:$A,0)),"")</f>
        <v/>
      </c>
      <c r="H369" s="21" t="str">
        <f>IFERROR(INDEX(PACK!$E:$E,MATCH($A369,PACK!$A:$A,0)),"")</f>
        <v/>
      </c>
      <c r="I369" s="21" t="str">
        <f t="shared" si="43"/>
        <v/>
      </c>
      <c r="J369" s="21" t="str">
        <f t="shared" si="46"/>
        <v/>
      </c>
      <c r="K369" s="21" t="str">
        <f t="shared" si="44"/>
        <v/>
      </c>
      <c r="L369" s="21" t="str">
        <f t="shared" si="47"/>
        <v/>
      </c>
      <c r="R369" s="21" t="str">
        <f>IFERROR(INDEX(PACK!$C:$C,MATCH($P369,PACK!$A:$A,0)),"")</f>
        <v/>
      </c>
      <c r="S369" s="21" t="str">
        <f t="shared" si="45"/>
        <v/>
      </c>
    </row>
    <row r="370" spans="6:19" x14ac:dyDescent="0.25">
      <c r="F370" s="21" t="str">
        <f>IFERROR(INDEX(PACK!$C:$C,MATCH($A370,PACK!$A:$A,0)),"")</f>
        <v/>
      </c>
      <c r="G370" s="21" t="str">
        <f>IFERROR(INDEX(PACK!$D:$D,MATCH($A370,PACK!$A:$A,0)),"")</f>
        <v/>
      </c>
      <c r="H370" s="21" t="str">
        <f>IFERROR(INDEX(PACK!$E:$E,MATCH($A370,PACK!$A:$A,0)),"")</f>
        <v/>
      </c>
      <c r="I370" s="21" t="str">
        <f t="shared" si="43"/>
        <v/>
      </c>
      <c r="J370" s="21" t="str">
        <f t="shared" si="46"/>
        <v/>
      </c>
      <c r="K370" s="21" t="str">
        <f t="shared" si="44"/>
        <v/>
      </c>
      <c r="L370" s="21" t="str">
        <f t="shared" si="47"/>
        <v/>
      </c>
      <c r="R370" s="21" t="str">
        <f>IFERROR(INDEX(PACK!$C:$C,MATCH($P370,PACK!$A:$A,0)),"")</f>
        <v/>
      </c>
      <c r="S370" s="21" t="str">
        <f t="shared" si="45"/>
        <v/>
      </c>
    </row>
    <row r="371" spans="6:19" x14ac:dyDescent="0.25">
      <c r="F371" s="21" t="str">
        <f>IFERROR(INDEX(PACK!$C:$C,MATCH($A371,PACK!$A:$A,0)),"")</f>
        <v/>
      </c>
      <c r="G371" s="21" t="str">
        <f>IFERROR(INDEX(PACK!$D:$D,MATCH($A371,PACK!$A:$A,0)),"")</f>
        <v/>
      </c>
      <c r="H371" s="21" t="str">
        <f>IFERROR(INDEX(PACK!$E:$E,MATCH($A371,PACK!$A:$A,0)),"")</f>
        <v/>
      </c>
      <c r="I371" s="21" t="str">
        <f t="shared" si="43"/>
        <v/>
      </c>
      <c r="J371" s="21" t="str">
        <f t="shared" si="46"/>
        <v/>
      </c>
      <c r="K371" s="21" t="str">
        <f t="shared" si="44"/>
        <v/>
      </c>
      <c r="L371" s="21" t="str">
        <f t="shared" si="47"/>
        <v/>
      </c>
      <c r="R371" s="21" t="str">
        <f>IFERROR(INDEX(PACK!$C:$C,MATCH($P371,PACK!$A:$A,0)),"")</f>
        <v/>
      </c>
      <c r="S371" s="21" t="str">
        <f t="shared" si="45"/>
        <v/>
      </c>
    </row>
    <row r="372" spans="6:19" x14ac:dyDescent="0.25">
      <c r="F372" s="21" t="str">
        <f>IFERROR(INDEX(PACK!$C:$C,MATCH($A372,PACK!$A:$A,0)),"")</f>
        <v/>
      </c>
      <c r="G372" s="21" t="str">
        <f>IFERROR(INDEX(PACK!$D:$D,MATCH($A372,PACK!$A:$A,0)),"")</f>
        <v/>
      </c>
      <c r="H372" s="21" t="str">
        <f>IFERROR(INDEX(PACK!$E:$E,MATCH($A372,PACK!$A:$A,0)),"")</f>
        <v/>
      </c>
      <c r="I372" s="21" t="str">
        <f t="shared" si="43"/>
        <v/>
      </c>
      <c r="J372" s="21" t="str">
        <f t="shared" si="46"/>
        <v/>
      </c>
      <c r="K372" s="21" t="str">
        <f t="shared" si="44"/>
        <v/>
      </c>
      <c r="L372" s="21" t="str">
        <f t="shared" si="47"/>
        <v/>
      </c>
      <c r="R372" s="21" t="str">
        <f>IFERROR(INDEX(PACK!$C:$C,MATCH($P372,PACK!$A:$A,0)),"")</f>
        <v/>
      </c>
      <c r="S372" s="21" t="str">
        <f t="shared" si="45"/>
        <v/>
      </c>
    </row>
    <row r="373" spans="6:19" x14ac:dyDescent="0.25">
      <c r="F373" s="21" t="str">
        <f>IFERROR(INDEX(PACK!$C:$C,MATCH($A373,PACK!$A:$A,0)),"")</f>
        <v/>
      </c>
      <c r="G373" s="21" t="str">
        <f>IFERROR(INDEX(PACK!$D:$D,MATCH($A373,PACK!$A:$A,0)),"")</f>
        <v/>
      </c>
      <c r="H373" s="21" t="str">
        <f>IFERROR(INDEX(PACK!$E:$E,MATCH($A373,PACK!$A:$A,0)),"")</f>
        <v/>
      </c>
      <c r="I373" s="21" t="str">
        <f t="shared" si="43"/>
        <v/>
      </c>
      <c r="J373" s="21" t="str">
        <f t="shared" si="46"/>
        <v/>
      </c>
      <c r="K373" s="21" t="str">
        <f t="shared" si="44"/>
        <v/>
      </c>
      <c r="L373" s="21" t="str">
        <f t="shared" si="47"/>
        <v/>
      </c>
      <c r="R373" s="21" t="str">
        <f>IFERROR(INDEX(PACK!$C:$C,MATCH($P373,PACK!$A:$A,0)),"")</f>
        <v/>
      </c>
      <c r="S373" s="21" t="str">
        <f t="shared" si="45"/>
        <v/>
      </c>
    </row>
    <row r="374" spans="6:19" x14ac:dyDescent="0.25">
      <c r="F374" s="21" t="str">
        <f>IFERROR(INDEX(PACK!$C:$C,MATCH($A374,PACK!$A:$A,0)),"")</f>
        <v/>
      </c>
      <c r="G374" s="21" t="str">
        <f>IFERROR(INDEX(PACK!$D:$D,MATCH($A374,PACK!$A:$A,0)),"")</f>
        <v/>
      </c>
      <c r="H374" s="21" t="str">
        <f>IFERROR(INDEX(PACK!$E:$E,MATCH($A374,PACK!$A:$A,0)),"")</f>
        <v/>
      </c>
      <c r="I374" s="21" t="str">
        <f t="shared" si="43"/>
        <v/>
      </c>
      <c r="J374" s="21" t="str">
        <f t="shared" si="46"/>
        <v/>
      </c>
      <c r="K374" s="21" t="str">
        <f t="shared" si="44"/>
        <v/>
      </c>
      <c r="L374" s="21" t="str">
        <f t="shared" si="47"/>
        <v/>
      </c>
      <c r="R374" s="21" t="str">
        <f>IFERROR(INDEX(PACK!$C:$C,MATCH($P374,PACK!$A:$A,0)),"")</f>
        <v/>
      </c>
      <c r="S374" s="21" t="str">
        <f t="shared" si="45"/>
        <v/>
      </c>
    </row>
    <row r="375" spans="6:19" x14ac:dyDescent="0.25">
      <c r="F375" s="21" t="str">
        <f>IFERROR(INDEX(PACK!$C:$C,MATCH($A375,PACK!$A:$A,0)),"")</f>
        <v/>
      </c>
      <c r="G375" s="21" t="str">
        <f>IFERROR(INDEX(PACK!$D:$D,MATCH($A375,PACK!$A:$A,0)),"")</f>
        <v/>
      </c>
      <c r="H375" s="21" t="str">
        <f>IFERROR(INDEX(PACK!$E:$E,MATCH($A375,PACK!$A:$A,0)),"")</f>
        <v/>
      </c>
      <c r="I375" s="21" t="str">
        <f t="shared" si="43"/>
        <v/>
      </c>
      <c r="J375" s="21" t="str">
        <f t="shared" si="46"/>
        <v/>
      </c>
      <c r="K375" s="21" t="str">
        <f t="shared" si="44"/>
        <v/>
      </c>
      <c r="L375" s="21" t="str">
        <f t="shared" si="47"/>
        <v/>
      </c>
      <c r="R375" s="21" t="str">
        <f>IFERROR(INDEX(PACK!$C:$C,MATCH($P375,PACK!$A:$A,0)),"")</f>
        <v/>
      </c>
      <c r="S375" s="21" t="str">
        <f t="shared" si="45"/>
        <v/>
      </c>
    </row>
    <row r="376" spans="6:19" x14ac:dyDescent="0.25">
      <c r="F376" s="21" t="str">
        <f>IFERROR(INDEX(PACK!$C:$C,MATCH($A376,PACK!$A:$A,0)),"")</f>
        <v/>
      </c>
      <c r="G376" s="21" t="str">
        <f>IFERROR(INDEX(PACK!$D:$D,MATCH($A376,PACK!$A:$A,0)),"")</f>
        <v/>
      </c>
      <c r="H376" s="21" t="str">
        <f>IFERROR(INDEX(PACK!$E:$E,MATCH($A376,PACK!$A:$A,0)),"")</f>
        <v/>
      </c>
      <c r="I376" s="21" t="str">
        <f t="shared" si="43"/>
        <v/>
      </c>
      <c r="J376" s="21" t="str">
        <f t="shared" si="46"/>
        <v/>
      </c>
      <c r="K376" s="21" t="str">
        <f t="shared" si="44"/>
        <v/>
      </c>
      <c r="L376" s="21" t="str">
        <f t="shared" si="47"/>
        <v/>
      </c>
      <c r="R376" s="21" t="str">
        <f>IFERROR(INDEX(PACK!$C:$C,MATCH($P376,PACK!$A:$A,0)),"")</f>
        <v/>
      </c>
      <c r="S376" s="21" t="str">
        <f t="shared" si="45"/>
        <v/>
      </c>
    </row>
    <row r="377" spans="6:19" x14ac:dyDescent="0.25">
      <c r="F377" s="21" t="str">
        <f>IFERROR(INDEX(PACK!$C:$C,MATCH($A377,PACK!$A:$A,0)),"")</f>
        <v/>
      </c>
      <c r="G377" s="21" t="str">
        <f>IFERROR(INDEX(PACK!$D:$D,MATCH($A377,PACK!$A:$A,0)),"")</f>
        <v/>
      </c>
      <c r="H377" s="21" t="str">
        <f>IFERROR(INDEX(PACK!$E:$E,MATCH($A377,PACK!$A:$A,0)),"")</f>
        <v/>
      </c>
      <c r="I377" s="21" t="str">
        <f t="shared" si="43"/>
        <v/>
      </c>
      <c r="J377" s="21" t="str">
        <f t="shared" si="46"/>
        <v/>
      </c>
      <c r="K377" s="21" t="str">
        <f t="shared" si="44"/>
        <v/>
      </c>
      <c r="L377" s="21" t="str">
        <f t="shared" si="47"/>
        <v/>
      </c>
      <c r="R377" s="21" t="str">
        <f>IFERROR(INDEX(PACK!$C:$C,MATCH($P377,PACK!$A:$A,0)),"")</f>
        <v/>
      </c>
      <c r="S377" s="21" t="str">
        <f t="shared" si="45"/>
        <v/>
      </c>
    </row>
    <row r="378" spans="6:19" x14ac:dyDescent="0.25">
      <c r="F378" s="21" t="str">
        <f>IFERROR(INDEX(PACK!$C:$C,MATCH($A378,PACK!$A:$A,0)),"")</f>
        <v/>
      </c>
      <c r="G378" s="21" t="str">
        <f>IFERROR(INDEX(PACK!$D:$D,MATCH($A378,PACK!$A:$A,0)),"")</f>
        <v/>
      </c>
      <c r="H378" s="21" t="str">
        <f>IFERROR(INDEX(PACK!$E:$E,MATCH($A378,PACK!$A:$A,0)),"")</f>
        <v/>
      </c>
      <c r="I378" s="21" t="str">
        <f t="shared" si="43"/>
        <v/>
      </c>
      <c r="J378" s="21" t="str">
        <f t="shared" si="46"/>
        <v/>
      </c>
      <c r="K378" s="21" t="str">
        <f t="shared" si="44"/>
        <v/>
      </c>
      <c r="L378" s="21" t="str">
        <f t="shared" si="47"/>
        <v/>
      </c>
      <c r="R378" s="21" t="str">
        <f>IFERROR(INDEX(PACK!$C:$C,MATCH($P378,PACK!$A:$A,0)),"")</f>
        <v/>
      </c>
      <c r="S378" s="21" t="str">
        <f t="shared" si="45"/>
        <v/>
      </c>
    </row>
    <row r="379" spans="6:19" x14ac:dyDescent="0.25">
      <c r="F379" s="21" t="str">
        <f>IFERROR(INDEX(PACK!$C:$C,MATCH($A379,PACK!$A:$A,0)),"")</f>
        <v/>
      </c>
      <c r="G379" s="21" t="str">
        <f>IFERROR(INDEX(PACK!$D:$D,MATCH($A379,PACK!$A:$A,0)),"")</f>
        <v/>
      </c>
      <c r="H379" s="21" t="str">
        <f>IFERROR(INDEX(PACK!$E:$E,MATCH($A379,PACK!$A:$A,0)),"")</f>
        <v/>
      </c>
      <c r="I379" s="21" t="str">
        <f t="shared" si="43"/>
        <v/>
      </c>
      <c r="J379" s="21" t="str">
        <f t="shared" si="46"/>
        <v/>
      </c>
      <c r="K379" s="21" t="str">
        <f t="shared" si="44"/>
        <v/>
      </c>
      <c r="L379" s="21" t="str">
        <f t="shared" si="47"/>
        <v/>
      </c>
      <c r="R379" s="21" t="str">
        <f>IFERROR(INDEX(PACK!$C:$C,MATCH($P379,PACK!$A:$A,0)),"")</f>
        <v/>
      </c>
      <c r="S379" s="21" t="str">
        <f t="shared" si="45"/>
        <v/>
      </c>
    </row>
    <row r="380" spans="6:19" x14ac:dyDescent="0.25">
      <c r="F380" s="21" t="str">
        <f>IFERROR(INDEX(PACK!$C:$C,MATCH($A380,PACK!$A:$A,0)),"")</f>
        <v/>
      </c>
      <c r="G380" s="21" t="str">
        <f>IFERROR(INDEX(PACK!$D:$D,MATCH($A380,PACK!$A:$A,0)),"")</f>
        <v/>
      </c>
      <c r="H380" s="21" t="str">
        <f>IFERROR(INDEX(PACK!$E:$E,MATCH($A380,PACK!$A:$A,0)),"")</f>
        <v/>
      </c>
      <c r="I380" s="21" t="str">
        <f t="shared" si="43"/>
        <v/>
      </c>
      <c r="J380" s="21" t="str">
        <f t="shared" si="46"/>
        <v/>
      </c>
      <c r="K380" s="21" t="str">
        <f t="shared" si="44"/>
        <v/>
      </c>
      <c r="L380" s="21" t="str">
        <f t="shared" si="47"/>
        <v/>
      </c>
      <c r="R380" s="21" t="str">
        <f>IFERROR(INDEX(PACK!$C:$C,MATCH($P380,PACK!$A:$A,0)),"")</f>
        <v/>
      </c>
      <c r="S380" s="21" t="str">
        <f t="shared" si="45"/>
        <v/>
      </c>
    </row>
    <row r="381" spans="6:19" x14ac:dyDescent="0.25">
      <c r="F381" s="21" t="str">
        <f>IFERROR(INDEX(PACK!$C:$C,MATCH($A381,PACK!$A:$A,0)),"")</f>
        <v/>
      </c>
      <c r="G381" s="21" t="str">
        <f>IFERROR(INDEX(PACK!$D:$D,MATCH($A381,PACK!$A:$A,0)),"")</f>
        <v/>
      </c>
      <c r="H381" s="21" t="str">
        <f>IFERROR(INDEX(PACK!$E:$E,MATCH($A381,PACK!$A:$A,0)),"")</f>
        <v/>
      </c>
      <c r="I381" s="21" t="str">
        <f t="shared" si="43"/>
        <v/>
      </c>
      <c r="J381" s="21" t="str">
        <f t="shared" si="46"/>
        <v/>
      </c>
      <c r="K381" s="21" t="str">
        <f t="shared" si="44"/>
        <v/>
      </c>
      <c r="L381" s="21" t="str">
        <f t="shared" si="47"/>
        <v/>
      </c>
      <c r="R381" s="21" t="str">
        <f>IFERROR(INDEX(PACK!$C:$C,MATCH($P381,PACK!$A:$A,0)),"")</f>
        <v/>
      </c>
      <c r="S381" s="21" t="str">
        <f t="shared" si="45"/>
        <v/>
      </c>
    </row>
    <row r="382" spans="6:19" x14ac:dyDescent="0.25">
      <c r="F382" s="21" t="str">
        <f>IFERROR(INDEX(PACK!$C:$C,MATCH($A382,PACK!$A:$A,0)),"")</f>
        <v/>
      </c>
      <c r="G382" s="21" t="str">
        <f>IFERROR(INDEX(PACK!$D:$D,MATCH($A382,PACK!$A:$A,0)),"")</f>
        <v/>
      </c>
      <c r="H382" s="21" t="str">
        <f>IFERROR(INDEX(PACK!$E:$E,MATCH($A382,PACK!$A:$A,0)),"")</f>
        <v/>
      </c>
      <c r="I382" s="21" t="str">
        <f t="shared" si="43"/>
        <v/>
      </c>
      <c r="J382" s="21" t="str">
        <f t="shared" si="46"/>
        <v/>
      </c>
      <c r="K382" s="21" t="str">
        <f t="shared" si="44"/>
        <v/>
      </c>
      <c r="L382" s="21" t="str">
        <f t="shared" si="47"/>
        <v/>
      </c>
      <c r="R382" s="21" t="str">
        <f>IFERROR(INDEX(PACK!$C:$C,MATCH($P382,PACK!$A:$A,0)),"")</f>
        <v/>
      </c>
      <c r="S382" s="21" t="str">
        <f t="shared" si="45"/>
        <v/>
      </c>
    </row>
    <row r="383" spans="6:19" x14ac:dyDescent="0.25">
      <c r="F383" s="21" t="str">
        <f>IFERROR(INDEX(PACK!$C:$C,MATCH($A383,PACK!$A:$A,0)),"")</f>
        <v/>
      </c>
      <c r="G383" s="21" t="str">
        <f>IFERROR(INDEX(PACK!$D:$D,MATCH($A383,PACK!$A:$A,0)),"")</f>
        <v/>
      </c>
      <c r="H383" s="21" t="str">
        <f>IFERROR(INDEX(PACK!$E:$E,MATCH($A383,PACK!$A:$A,0)),"")</f>
        <v/>
      </c>
      <c r="I383" s="21" t="str">
        <f t="shared" si="43"/>
        <v/>
      </c>
      <c r="J383" s="21" t="str">
        <f t="shared" si="46"/>
        <v/>
      </c>
      <c r="K383" s="21" t="str">
        <f t="shared" si="44"/>
        <v/>
      </c>
      <c r="L383" s="21" t="str">
        <f t="shared" si="47"/>
        <v/>
      </c>
      <c r="R383" s="21" t="str">
        <f>IFERROR(INDEX(PACK!$C:$C,MATCH($P383,PACK!$A:$A,0)),"")</f>
        <v/>
      </c>
      <c r="S383" s="21" t="str">
        <f t="shared" si="45"/>
        <v/>
      </c>
    </row>
    <row r="384" spans="6:19" x14ac:dyDescent="0.25">
      <c r="F384" s="21" t="str">
        <f>IFERROR(INDEX(PACK!$C:$C,MATCH($A384,PACK!$A:$A,0)),"")</f>
        <v/>
      </c>
      <c r="G384" s="21" t="str">
        <f>IFERROR(INDEX(PACK!$D:$D,MATCH($A384,PACK!$A:$A,0)),"")</f>
        <v/>
      </c>
      <c r="H384" s="21" t="str">
        <f>IFERROR(INDEX(PACK!$E:$E,MATCH($A384,PACK!$A:$A,0)),"")</f>
        <v/>
      </c>
      <c r="I384" s="21" t="str">
        <f t="shared" si="43"/>
        <v/>
      </c>
      <c r="J384" s="21" t="str">
        <f t="shared" si="46"/>
        <v/>
      </c>
      <c r="K384" s="21" t="str">
        <f t="shared" si="44"/>
        <v/>
      </c>
      <c r="L384" s="21" t="str">
        <f t="shared" si="47"/>
        <v/>
      </c>
      <c r="R384" s="21" t="str">
        <f>IFERROR(INDEX(PACK!$C:$C,MATCH($P384,PACK!$A:$A,0)),"")</f>
        <v/>
      </c>
      <c r="S384" s="21" t="str">
        <f t="shared" si="45"/>
        <v/>
      </c>
    </row>
    <row r="385" spans="6:19" x14ac:dyDescent="0.25">
      <c r="F385" s="21" t="str">
        <f>IFERROR(INDEX(PACK!$C:$C,MATCH($A385,PACK!$A:$A,0)),"")</f>
        <v/>
      </c>
      <c r="G385" s="21" t="str">
        <f>IFERROR(INDEX(PACK!$D:$D,MATCH($A385,PACK!$A:$A,0)),"")</f>
        <v/>
      </c>
      <c r="H385" s="21" t="str">
        <f>IFERROR(INDEX(PACK!$E:$E,MATCH($A385,PACK!$A:$A,0)),"")</f>
        <v/>
      </c>
      <c r="I385" s="21" t="str">
        <f t="shared" si="43"/>
        <v/>
      </c>
      <c r="J385" s="21" t="str">
        <f t="shared" si="46"/>
        <v/>
      </c>
      <c r="K385" s="21" t="str">
        <f t="shared" si="44"/>
        <v/>
      </c>
      <c r="L385" s="21" t="str">
        <f t="shared" si="47"/>
        <v/>
      </c>
      <c r="R385" s="21" t="str">
        <f>IFERROR(INDEX(PACK!$C:$C,MATCH($P385,PACK!$A:$A,0)),"")</f>
        <v/>
      </c>
      <c r="S385" s="21" t="str">
        <f t="shared" si="45"/>
        <v/>
      </c>
    </row>
    <row r="386" spans="6:19" x14ac:dyDescent="0.25">
      <c r="F386" s="21" t="str">
        <f>IFERROR(INDEX(PACK!$C:$C,MATCH($A386,PACK!$A:$A,0)),"")</f>
        <v/>
      </c>
      <c r="G386" s="21" t="str">
        <f>IFERROR(INDEX(PACK!$D:$D,MATCH($A386,PACK!$A:$A,0)),"")</f>
        <v/>
      </c>
      <c r="H386" s="21" t="str">
        <f>IFERROR(INDEX(PACK!$E:$E,MATCH($A386,PACK!$A:$A,0)),"")</f>
        <v/>
      </c>
      <c r="I386" s="21" t="str">
        <f t="shared" si="43"/>
        <v/>
      </c>
      <c r="J386" s="21" t="str">
        <f t="shared" si="46"/>
        <v/>
      </c>
      <c r="K386" s="21" t="str">
        <f t="shared" si="44"/>
        <v/>
      </c>
      <c r="L386" s="21" t="str">
        <f t="shared" si="47"/>
        <v/>
      </c>
      <c r="R386" s="21" t="str">
        <f>IFERROR(INDEX(PACK!$C:$C,MATCH($P386,PACK!$A:$A,0)),"")</f>
        <v/>
      </c>
      <c r="S386" s="21" t="str">
        <f t="shared" si="45"/>
        <v/>
      </c>
    </row>
    <row r="387" spans="6:19" x14ac:dyDescent="0.25">
      <c r="F387" s="21" t="str">
        <f>IFERROR(INDEX(PACK!$C:$C,MATCH($A387,PACK!$A:$A,0)),"")</f>
        <v/>
      </c>
      <c r="G387" s="21" t="str">
        <f>IFERROR(INDEX(PACK!$D:$D,MATCH($A387,PACK!$A:$A,0)),"")</f>
        <v/>
      </c>
      <c r="H387" s="21" t="str">
        <f>IFERROR(INDEX(PACK!$E:$E,MATCH($A387,PACK!$A:$A,0)),"")</f>
        <v/>
      </c>
      <c r="I387" s="21" t="str">
        <f t="shared" ref="I387:I450" si="48">IFERROR(C387/F387,"")</f>
        <v/>
      </c>
      <c r="J387" s="21" t="str">
        <f t="shared" si="46"/>
        <v/>
      </c>
      <c r="K387" s="21" t="str">
        <f t="shared" ref="K387:K450" si="49">IFERROR(MOD(I387,H387),"")</f>
        <v/>
      </c>
      <c r="L387" s="21" t="str">
        <f t="shared" si="47"/>
        <v/>
      </c>
      <c r="R387" s="21" t="str">
        <f>IFERROR(INDEX(PACK!$C:$C,MATCH($P387,PACK!$A:$A,0)),"")</f>
        <v/>
      </c>
      <c r="S387" s="21" t="str">
        <f t="shared" ref="S387:S450" si="50">IFERROR(Q387/R387,"")</f>
        <v/>
      </c>
    </row>
    <row r="388" spans="6:19" x14ac:dyDescent="0.25">
      <c r="F388" s="21" t="str">
        <f>IFERROR(INDEX(PACK!$C:$C,MATCH($A388,PACK!$A:$A,0)),"")</f>
        <v/>
      </c>
      <c r="G388" s="21" t="str">
        <f>IFERROR(INDEX(PACK!$D:$D,MATCH($A388,PACK!$A:$A,0)),"")</f>
        <v/>
      </c>
      <c r="H388" s="21" t="str">
        <f>IFERROR(INDEX(PACK!$E:$E,MATCH($A388,PACK!$A:$A,0)),"")</f>
        <v/>
      </c>
      <c r="I388" s="21" t="str">
        <f t="shared" si="48"/>
        <v/>
      </c>
      <c r="J388" s="21" t="str">
        <f t="shared" si="46"/>
        <v/>
      </c>
      <c r="K388" s="21" t="str">
        <f t="shared" si="49"/>
        <v/>
      </c>
      <c r="L388" s="21" t="str">
        <f t="shared" si="47"/>
        <v/>
      </c>
      <c r="R388" s="21" t="str">
        <f>IFERROR(INDEX(PACK!$C:$C,MATCH($P388,PACK!$A:$A,0)),"")</f>
        <v/>
      </c>
      <c r="S388" s="21" t="str">
        <f t="shared" si="50"/>
        <v/>
      </c>
    </row>
    <row r="389" spans="6:19" x14ac:dyDescent="0.25">
      <c r="F389" s="21" t="str">
        <f>IFERROR(INDEX(PACK!$C:$C,MATCH($A389,PACK!$A:$A,0)),"")</f>
        <v/>
      </c>
      <c r="G389" s="21" t="str">
        <f>IFERROR(INDEX(PACK!$D:$D,MATCH($A389,PACK!$A:$A,0)),"")</f>
        <v/>
      </c>
      <c r="H389" s="21" t="str">
        <f>IFERROR(INDEX(PACK!$E:$E,MATCH($A389,PACK!$A:$A,0)),"")</f>
        <v/>
      </c>
      <c r="I389" s="21" t="str">
        <f t="shared" si="48"/>
        <v/>
      </c>
      <c r="J389" s="21" t="str">
        <f t="shared" si="46"/>
        <v/>
      </c>
      <c r="K389" s="21" t="str">
        <f t="shared" si="49"/>
        <v/>
      </c>
      <c r="L389" s="21" t="str">
        <f t="shared" si="47"/>
        <v/>
      </c>
      <c r="R389" s="21" t="str">
        <f>IFERROR(INDEX(PACK!$C:$C,MATCH($P389,PACK!$A:$A,0)),"")</f>
        <v/>
      </c>
      <c r="S389" s="21" t="str">
        <f t="shared" si="50"/>
        <v/>
      </c>
    </row>
    <row r="390" spans="6:19" x14ac:dyDescent="0.25">
      <c r="F390" s="21" t="str">
        <f>IFERROR(INDEX(PACK!$C:$C,MATCH($A390,PACK!$A:$A,0)),"")</f>
        <v/>
      </c>
      <c r="G390" s="21" t="str">
        <f>IFERROR(INDEX(PACK!$D:$D,MATCH($A390,PACK!$A:$A,0)),"")</f>
        <v/>
      </c>
      <c r="H390" s="21" t="str">
        <f>IFERROR(INDEX(PACK!$E:$E,MATCH($A390,PACK!$A:$A,0)),"")</f>
        <v/>
      </c>
      <c r="I390" s="21" t="str">
        <f t="shared" si="48"/>
        <v/>
      </c>
      <c r="J390" s="21" t="str">
        <f t="shared" si="46"/>
        <v/>
      </c>
      <c r="K390" s="21" t="str">
        <f t="shared" si="49"/>
        <v/>
      </c>
      <c r="L390" s="21" t="str">
        <f t="shared" si="47"/>
        <v/>
      </c>
      <c r="R390" s="21" t="str">
        <f>IFERROR(INDEX(PACK!$C:$C,MATCH($P390,PACK!$A:$A,0)),"")</f>
        <v/>
      </c>
      <c r="S390" s="21" t="str">
        <f t="shared" si="50"/>
        <v/>
      </c>
    </row>
    <row r="391" spans="6:19" x14ac:dyDescent="0.25">
      <c r="F391" s="21" t="str">
        <f>IFERROR(INDEX(PACK!$C:$C,MATCH($A391,PACK!$A:$A,0)),"")</f>
        <v/>
      </c>
      <c r="G391" s="21" t="str">
        <f>IFERROR(INDEX(PACK!$D:$D,MATCH($A391,PACK!$A:$A,0)),"")</f>
        <v/>
      </c>
      <c r="H391" s="21" t="str">
        <f>IFERROR(INDEX(PACK!$E:$E,MATCH($A391,PACK!$A:$A,0)),"")</f>
        <v/>
      </c>
      <c r="I391" s="21" t="str">
        <f t="shared" si="48"/>
        <v/>
      </c>
      <c r="J391" s="21" t="str">
        <f t="shared" si="46"/>
        <v/>
      </c>
      <c r="K391" s="21" t="str">
        <f t="shared" si="49"/>
        <v/>
      </c>
      <c r="L391" s="21" t="str">
        <f t="shared" si="47"/>
        <v/>
      </c>
      <c r="R391" s="21" t="str">
        <f>IFERROR(INDEX(PACK!$C:$C,MATCH($P391,PACK!$A:$A,0)),"")</f>
        <v/>
      </c>
      <c r="S391" s="21" t="str">
        <f t="shared" si="50"/>
        <v/>
      </c>
    </row>
    <row r="392" spans="6:19" x14ac:dyDescent="0.25">
      <c r="F392" s="21" t="str">
        <f>IFERROR(INDEX(PACK!$C:$C,MATCH($A392,PACK!$A:$A,0)),"")</f>
        <v/>
      </c>
      <c r="G392" s="21" t="str">
        <f>IFERROR(INDEX(PACK!$D:$D,MATCH($A392,PACK!$A:$A,0)),"")</f>
        <v/>
      </c>
      <c r="H392" s="21" t="str">
        <f>IFERROR(INDEX(PACK!$E:$E,MATCH($A392,PACK!$A:$A,0)),"")</f>
        <v/>
      </c>
      <c r="I392" s="21" t="str">
        <f t="shared" si="48"/>
        <v/>
      </c>
      <c r="J392" s="21" t="str">
        <f t="shared" si="46"/>
        <v/>
      </c>
      <c r="K392" s="21" t="str">
        <f t="shared" si="49"/>
        <v/>
      </c>
      <c r="L392" s="21" t="str">
        <f t="shared" si="47"/>
        <v/>
      </c>
      <c r="R392" s="21" t="str">
        <f>IFERROR(INDEX(PACK!$C:$C,MATCH($P392,PACK!$A:$A,0)),"")</f>
        <v/>
      </c>
      <c r="S392" s="21" t="str">
        <f t="shared" si="50"/>
        <v/>
      </c>
    </row>
    <row r="393" spans="6:19" x14ac:dyDescent="0.25">
      <c r="F393" s="21" t="str">
        <f>IFERROR(INDEX(PACK!$C:$C,MATCH($A393,PACK!$A:$A,0)),"")</f>
        <v/>
      </c>
      <c r="G393" s="21" t="str">
        <f>IFERROR(INDEX(PACK!$D:$D,MATCH($A393,PACK!$A:$A,0)),"")</f>
        <v/>
      </c>
      <c r="H393" s="21" t="str">
        <f>IFERROR(INDEX(PACK!$E:$E,MATCH($A393,PACK!$A:$A,0)),"")</f>
        <v/>
      </c>
      <c r="I393" s="21" t="str">
        <f t="shared" si="48"/>
        <v/>
      </c>
      <c r="J393" s="21" t="str">
        <f t="shared" si="46"/>
        <v/>
      </c>
      <c r="K393" s="21" t="str">
        <f t="shared" si="49"/>
        <v/>
      </c>
      <c r="L393" s="21" t="str">
        <f t="shared" si="47"/>
        <v/>
      </c>
      <c r="R393" s="21" t="str">
        <f>IFERROR(INDEX(PACK!$C:$C,MATCH($P393,PACK!$A:$A,0)),"")</f>
        <v/>
      </c>
      <c r="S393" s="21" t="str">
        <f t="shared" si="50"/>
        <v/>
      </c>
    </row>
    <row r="394" spans="6:19" x14ac:dyDescent="0.25">
      <c r="F394" s="21" t="str">
        <f>IFERROR(INDEX(PACK!$C:$C,MATCH($A394,PACK!$A:$A,0)),"")</f>
        <v/>
      </c>
      <c r="G394" s="21" t="str">
        <f>IFERROR(INDEX(PACK!$D:$D,MATCH($A394,PACK!$A:$A,0)),"")</f>
        <v/>
      </c>
      <c r="H394" s="21" t="str">
        <f>IFERROR(INDEX(PACK!$E:$E,MATCH($A394,PACK!$A:$A,0)),"")</f>
        <v/>
      </c>
      <c r="I394" s="21" t="str">
        <f t="shared" si="48"/>
        <v/>
      </c>
      <c r="J394" s="21" t="str">
        <f t="shared" si="46"/>
        <v/>
      </c>
      <c r="K394" s="21" t="str">
        <f t="shared" si="49"/>
        <v/>
      </c>
      <c r="L394" s="21" t="str">
        <f t="shared" si="47"/>
        <v/>
      </c>
      <c r="R394" s="21" t="str">
        <f>IFERROR(INDEX(PACK!$C:$C,MATCH($P394,PACK!$A:$A,0)),"")</f>
        <v/>
      </c>
      <c r="S394" s="21" t="str">
        <f t="shared" si="50"/>
        <v/>
      </c>
    </row>
    <row r="395" spans="6:19" x14ac:dyDescent="0.25">
      <c r="F395" s="21" t="str">
        <f>IFERROR(INDEX(PACK!$C:$C,MATCH($A395,PACK!$A:$A,0)),"")</f>
        <v/>
      </c>
      <c r="G395" s="21" t="str">
        <f>IFERROR(INDEX(PACK!$D:$D,MATCH($A395,PACK!$A:$A,0)),"")</f>
        <v/>
      </c>
      <c r="H395" s="21" t="str">
        <f>IFERROR(INDEX(PACK!$E:$E,MATCH($A395,PACK!$A:$A,0)),"")</f>
        <v/>
      </c>
      <c r="I395" s="21" t="str">
        <f t="shared" si="48"/>
        <v/>
      </c>
      <c r="J395" s="21" t="str">
        <f t="shared" si="46"/>
        <v/>
      </c>
      <c r="K395" s="21" t="str">
        <f t="shared" si="49"/>
        <v/>
      </c>
      <c r="L395" s="21" t="str">
        <f t="shared" si="47"/>
        <v/>
      </c>
      <c r="R395" s="21" t="str">
        <f>IFERROR(INDEX(PACK!$C:$C,MATCH($P395,PACK!$A:$A,0)),"")</f>
        <v/>
      </c>
      <c r="S395" s="21" t="str">
        <f t="shared" si="50"/>
        <v/>
      </c>
    </row>
    <row r="396" spans="6:19" x14ac:dyDescent="0.25">
      <c r="F396" s="21" t="str">
        <f>IFERROR(INDEX(PACK!$C:$C,MATCH($A396,PACK!$A:$A,0)),"")</f>
        <v/>
      </c>
      <c r="G396" s="21" t="str">
        <f>IFERROR(INDEX(PACK!$D:$D,MATCH($A396,PACK!$A:$A,0)),"")</f>
        <v/>
      </c>
      <c r="H396" s="21" t="str">
        <f>IFERROR(INDEX(PACK!$E:$E,MATCH($A396,PACK!$A:$A,0)),"")</f>
        <v/>
      </c>
      <c r="I396" s="21" t="str">
        <f t="shared" si="48"/>
        <v/>
      </c>
      <c r="J396" s="21" t="str">
        <f t="shared" si="46"/>
        <v/>
      </c>
      <c r="K396" s="21" t="str">
        <f t="shared" si="49"/>
        <v/>
      </c>
      <c r="L396" s="21" t="str">
        <f t="shared" si="47"/>
        <v/>
      </c>
      <c r="R396" s="21" t="str">
        <f>IFERROR(INDEX(PACK!$C:$C,MATCH($P396,PACK!$A:$A,0)),"")</f>
        <v/>
      </c>
      <c r="S396" s="21" t="str">
        <f t="shared" si="50"/>
        <v/>
      </c>
    </row>
    <row r="397" spans="6:19" x14ac:dyDescent="0.25">
      <c r="F397" s="21" t="str">
        <f>IFERROR(INDEX(PACK!$C:$C,MATCH($A397,PACK!$A:$A,0)),"")</f>
        <v/>
      </c>
      <c r="G397" s="21" t="str">
        <f>IFERROR(INDEX(PACK!$D:$D,MATCH($A397,PACK!$A:$A,0)),"")</f>
        <v/>
      </c>
      <c r="H397" s="21" t="str">
        <f>IFERROR(INDEX(PACK!$E:$E,MATCH($A397,PACK!$A:$A,0)),"")</f>
        <v/>
      </c>
      <c r="I397" s="21" t="str">
        <f t="shared" si="48"/>
        <v/>
      </c>
      <c r="J397" s="21" t="str">
        <f t="shared" si="46"/>
        <v/>
      </c>
      <c r="K397" s="21" t="str">
        <f t="shared" si="49"/>
        <v/>
      </c>
      <c r="L397" s="21" t="str">
        <f t="shared" si="47"/>
        <v/>
      </c>
      <c r="R397" s="21" t="str">
        <f>IFERROR(INDEX(PACK!$C:$C,MATCH($P397,PACK!$A:$A,0)),"")</f>
        <v/>
      </c>
      <c r="S397" s="21" t="str">
        <f t="shared" si="50"/>
        <v/>
      </c>
    </row>
    <row r="398" spans="6:19" x14ac:dyDescent="0.25">
      <c r="F398" s="21" t="str">
        <f>IFERROR(INDEX(PACK!$C:$C,MATCH($A398,PACK!$A:$A,0)),"")</f>
        <v/>
      </c>
      <c r="G398" s="21" t="str">
        <f>IFERROR(INDEX(PACK!$D:$D,MATCH($A398,PACK!$A:$A,0)),"")</f>
        <v/>
      </c>
      <c r="H398" s="21" t="str">
        <f>IFERROR(INDEX(PACK!$E:$E,MATCH($A398,PACK!$A:$A,0)),"")</f>
        <v/>
      </c>
      <c r="I398" s="21" t="str">
        <f t="shared" si="48"/>
        <v/>
      </c>
      <c r="J398" s="21" t="str">
        <f t="shared" si="46"/>
        <v/>
      </c>
      <c r="K398" s="21" t="str">
        <f t="shared" si="49"/>
        <v/>
      </c>
      <c r="L398" s="21" t="str">
        <f t="shared" si="47"/>
        <v/>
      </c>
      <c r="R398" s="21" t="str">
        <f>IFERROR(INDEX(PACK!$C:$C,MATCH($P398,PACK!$A:$A,0)),"")</f>
        <v/>
      </c>
      <c r="S398" s="21" t="str">
        <f t="shared" si="50"/>
        <v/>
      </c>
    </row>
    <row r="399" spans="6:19" x14ac:dyDescent="0.25">
      <c r="F399" s="21" t="str">
        <f>IFERROR(INDEX(PACK!$C:$C,MATCH($A399,PACK!$A:$A,0)),"")</f>
        <v/>
      </c>
      <c r="G399" s="21" t="str">
        <f>IFERROR(INDEX(PACK!$D:$D,MATCH($A399,PACK!$A:$A,0)),"")</f>
        <v/>
      </c>
      <c r="H399" s="21" t="str">
        <f>IFERROR(INDEX(PACK!$E:$E,MATCH($A399,PACK!$A:$A,0)),"")</f>
        <v/>
      </c>
      <c r="I399" s="21" t="str">
        <f t="shared" si="48"/>
        <v/>
      </c>
      <c r="J399" s="21" t="str">
        <f t="shared" si="46"/>
        <v/>
      </c>
      <c r="K399" s="21" t="str">
        <f t="shared" si="49"/>
        <v/>
      </c>
      <c r="L399" s="21" t="str">
        <f t="shared" si="47"/>
        <v/>
      </c>
      <c r="R399" s="21" t="str">
        <f>IFERROR(INDEX(PACK!$C:$C,MATCH($P399,PACK!$A:$A,0)),"")</f>
        <v/>
      </c>
      <c r="S399" s="21" t="str">
        <f t="shared" si="50"/>
        <v/>
      </c>
    </row>
    <row r="400" spans="6:19" x14ac:dyDescent="0.25">
      <c r="F400" s="21" t="str">
        <f>IFERROR(INDEX(PACK!$C:$C,MATCH($A400,PACK!$A:$A,0)),"")</f>
        <v/>
      </c>
      <c r="G400" s="21" t="str">
        <f>IFERROR(INDEX(PACK!$D:$D,MATCH($A400,PACK!$A:$A,0)),"")</f>
        <v/>
      </c>
      <c r="H400" s="21" t="str">
        <f>IFERROR(INDEX(PACK!$E:$E,MATCH($A400,PACK!$A:$A,0)),"")</f>
        <v/>
      </c>
      <c r="I400" s="21" t="str">
        <f t="shared" si="48"/>
        <v/>
      </c>
      <c r="J400" s="21" t="str">
        <f t="shared" si="46"/>
        <v/>
      </c>
      <c r="K400" s="21" t="str">
        <f t="shared" si="49"/>
        <v/>
      </c>
      <c r="L400" s="21" t="str">
        <f t="shared" si="47"/>
        <v/>
      </c>
      <c r="R400" s="21" t="str">
        <f>IFERROR(INDEX(PACK!$C:$C,MATCH($P400,PACK!$A:$A,0)),"")</f>
        <v/>
      </c>
      <c r="S400" s="21" t="str">
        <f t="shared" si="50"/>
        <v/>
      </c>
    </row>
    <row r="401" spans="6:19" x14ac:dyDescent="0.25">
      <c r="F401" s="21" t="str">
        <f>IFERROR(INDEX(PACK!$C:$C,MATCH($A401,PACK!$A:$A,0)),"")</f>
        <v/>
      </c>
      <c r="G401" s="21" t="str">
        <f>IFERROR(INDEX(PACK!$D:$D,MATCH($A401,PACK!$A:$A,0)),"")</f>
        <v/>
      </c>
      <c r="H401" s="21" t="str">
        <f>IFERROR(INDEX(PACK!$E:$E,MATCH($A401,PACK!$A:$A,0)),"")</f>
        <v/>
      </c>
      <c r="I401" s="21" t="str">
        <f t="shared" si="48"/>
        <v/>
      </c>
      <c r="J401" s="21" t="str">
        <f t="shared" si="46"/>
        <v/>
      </c>
      <c r="K401" s="21" t="str">
        <f t="shared" si="49"/>
        <v/>
      </c>
      <c r="L401" s="21" t="str">
        <f t="shared" si="47"/>
        <v/>
      </c>
      <c r="R401" s="21" t="str">
        <f>IFERROR(INDEX(PACK!$C:$C,MATCH($P401,PACK!$A:$A,0)),"")</f>
        <v/>
      </c>
      <c r="S401" s="21" t="str">
        <f t="shared" si="50"/>
        <v/>
      </c>
    </row>
    <row r="402" spans="6:19" x14ac:dyDescent="0.25">
      <c r="F402" s="21" t="str">
        <f>IFERROR(INDEX(PACK!$C:$C,MATCH($A402,PACK!$A:$A,0)),"")</f>
        <v/>
      </c>
      <c r="G402" s="21" t="str">
        <f>IFERROR(INDEX(PACK!$D:$D,MATCH($A402,PACK!$A:$A,0)),"")</f>
        <v/>
      </c>
      <c r="H402" s="21" t="str">
        <f>IFERROR(INDEX(PACK!$E:$E,MATCH($A402,PACK!$A:$A,0)),"")</f>
        <v/>
      </c>
      <c r="I402" s="21" t="str">
        <f t="shared" si="48"/>
        <v/>
      </c>
      <c r="J402" s="21" t="str">
        <f t="shared" si="46"/>
        <v/>
      </c>
      <c r="K402" s="21" t="str">
        <f t="shared" si="49"/>
        <v/>
      </c>
      <c r="L402" s="21" t="str">
        <f t="shared" si="47"/>
        <v/>
      </c>
      <c r="R402" s="21" t="str">
        <f>IFERROR(INDEX(PACK!$C:$C,MATCH($P402,PACK!$A:$A,0)),"")</f>
        <v/>
      </c>
      <c r="S402" s="21" t="str">
        <f t="shared" si="50"/>
        <v/>
      </c>
    </row>
    <row r="403" spans="6:19" x14ac:dyDescent="0.25">
      <c r="F403" s="21" t="str">
        <f>IFERROR(INDEX(PACK!$C:$C,MATCH($A403,PACK!$A:$A,0)),"")</f>
        <v/>
      </c>
      <c r="G403" s="21" t="str">
        <f>IFERROR(INDEX(PACK!$D:$D,MATCH($A403,PACK!$A:$A,0)),"")</f>
        <v/>
      </c>
      <c r="H403" s="21" t="str">
        <f>IFERROR(INDEX(PACK!$E:$E,MATCH($A403,PACK!$A:$A,0)),"")</f>
        <v/>
      </c>
      <c r="I403" s="21" t="str">
        <f t="shared" si="48"/>
        <v/>
      </c>
      <c r="J403" s="21" t="str">
        <f t="shared" si="46"/>
        <v/>
      </c>
      <c r="K403" s="21" t="str">
        <f t="shared" si="49"/>
        <v/>
      </c>
      <c r="L403" s="21" t="str">
        <f t="shared" si="47"/>
        <v/>
      </c>
      <c r="R403" s="21" t="str">
        <f>IFERROR(INDEX(PACK!$C:$C,MATCH($P403,PACK!$A:$A,0)),"")</f>
        <v/>
      </c>
      <c r="S403" s="21" t="str">
        <f t="shared" si="50"/>
        <v/>
      </c>
    </row>
    <row r="404" spans="6:19" x14ac:dyDescent="0.25">
      <c r="F404" s="21" t="str">
        <f>IFERROR(INDEX(PACK!$C:$C,MATCH($A404,PACK!$A:$A,0)),"")</f>
        <v/>
      </c>
      <c r="G404" s="21" t="str">
        <f>IFERROR(INDEX(PACK!$D:$D,MATCH($A404,PACK!$A:$A,0)),"")</f>
        <v/>
      </c>
      <c r="H404" s="21" t="str">
        <f>IFERROR(INDEX(PACK!$E:$E,MATCH($A404,PACK!$A:$A,0)),"")</f>
        <v/>
      </c>
      <c r="I404" s="21" t="str">
        <f t="shared" si="48"/>
        <v/>
      </c>
      <c r="J404" s="21" t="str">
        <f t="shared" si="46"/>
        <v/>
      </c>
      <c r="K404" s="21" t="str">
        <f t="shared" si="49"/>
        <v/>
      </c>
      <c r="L404" s="21" t="str">
        <f t="shared" si="47"/>
        <v/>
      </c>
      <c r="R404" s="21" t="str">
        <f>IFERROR(INDEX(PACK!$C:$C,MATCH($P404,PACK!$A:$A,0)),"")</f>
        <v/>
      </c>
      <c r="S404" s="21" t="str">
        <f t="shared" si="50"/>
        <v/>
      </c>
    </row>
    <row r="405" spans="6:19" x14ac:dyDescent="0.25">
      <c r="F405" s="21" t="str">
        <f>IFERROR(INDEX(PACK!$C:$C,MATCH($A405,PACK!$A:$A,0)),"")</f>
        <v/>
      </c>
      <c r="G405" s="21" t="str">
        <f>IFERROR(INDEX(PACK!$D:$D,MATCH($A405,PACK!$A:$A,0)),"")</f>
        <v/>
      </c>
      <c r="H405" s="21" t="str">
        <f>IFERROR(INDEX(PACK!$E:$E,MATCH($A405,PACK!$A:$A,0)),"")</f>
        <v/>
      </c>
      <c r="I405" s="21" t="str">
        <f t="shared" si="48"/>
        <v/>
      </c>
      <c r="J405" s="21" t="str">
        <f t="shared" si="46"/>
        <v/>
      </c>
      <c r="K405" s="21" t="str">
        <f t="shared" si="49"/>
        <v/>
      </c>
      <c r="L405" s="21" t="str">
        <f t="shared" si="47"/>
        <v/>
      </c>
      <c r="R405" s="21" t="str">
        <f>IFERROR(INDEX(PACK!$C:$C,MATCH($P405,PACK!$A:$A,0)),"")</f>
        <v/>
      </c>
      <c r="S405" s="21" t="str">
        <f t="shared" si="50"/>
        <v/>
      </c>
    </row>
    <row r="406" spans="6:19" x14ac:dyDescent="0.25">
      <c r="F406" s="21" t="str">
        <f>IFERROR(INDEX(PACK!$C:$C,MATCH($A406,PACK!$A:$A,0)),"")</f>
        <v/>
      </c>
      <c r="G406" s="21" t="str">
        <f>IFERROR(INDEX(PACK!$D:$D,MATCH($A406,PACK!$A:$A,0)),"")</f>
        <v/>
      </c>
      <c r="H406" s="21" t="str">
        <f>IFERROR(INDEX(PACK!$E:$E,MATCH($A406,PACK!$A:$A,0)),"")</f>
        <v/>
      </c>
      <c r="I406" s="21" t="str">
        <f t="shared" si="48"/>
        <v/>
      </c>
      <c r="J406" s="21" t="str">
        <f t="shared" si="46"/>
        <v/>
      </c>
      <c r="K406" s="21" t="str">
        <f t="shared" si="49"/>
        <v/>
      </c>
      <c r="L406" s="21" t="str">
        <f t="shared" si="47"/>
        <v/>
      </c>
      <c r="R406" s="21" t="str">
        <f>IFERROR(INDEX(PACK!$C:$C,MATCH($P406,PACK!$A:$A,0)),"")</f>
        <v/>
      </c>
      <c r="S406" s="21" t="str">
        <f t="shared" si="50"/>
        <v/>
      </c>
    </row>
    <row r="407" spans="6:19" x14ac:dyDescent="0.25">
      <c r="F407" s="21" t="str">
        <f>IFERROR(INDEX(PACK!$C:$C,MATCH($A407,PACK!$A:$A,0)),"")</f>
        <v/>
      </c>
      <c r="G407" s="21" t="str">
        <f>IFERROR(INDEX(PACK!$D:$D,MATCH($A407,PACK!$A:$A,0)),"")</f>
        <v/>
      </c>
      <c r="H407" s="21" t="str">
        <f>IFERROR(INDEX(PACK!$E:$E,MATCH($A407,PACK!$A:$A,0)),"")</f>
        <v/>
      </c>
      <c r="I407" s="21" t="str">
        <f t="shared" si="48"/>
        <v/>
      </c>
      <c r="J407" s="21" t="str">
        <f t="shared" ref="J407:J470" si="51">IFERROR(ROUNDDOWN(C407/G407,0),"")</f>
        <v/>
      </c>
      <c r="K407" s="21" t="str">
        <f t="shared" si="49"/>
        <v/>
      </c>
      <c r="L407" s="21" t="str">
        <f t="shared" ref="L407:L470" si="52">IFERROR(K407*F407,"")</f>
        <v/>
      </c>
      <c r="R407" s="21" t="str">
        <f>IFERROR(INDEX(PACK!$C:$C,MATCH($P407,PACK!$A:$A,0)),"")</f>
        <v/>
      </c>
      <c r="S407" s="21" t="str">
        <f t="shared" si="50"/>
        <v/>
      </c>
    </row>
    <row r="408" spans="6:19" x14ac:dyDescent="0.25">
      <c r="F408" s="21" t="str">
        <f>IFERROR(INDEX(PACK!$C:$C,MATCH($A408,PACK!$A:$A,0)),"")</f>
        <v/>
      </c>
      <c r="G408" s="21" t="str">
        <f>IFERROR(INDEX(PACK!$D:$D,MATCH($A408,PACK!$A:$A,0)),"")</f>
        <v/>
      </c>
      <c r="H408" s="21" t="str">
        <f>IFERROR(INDEX(PACK!$E:$E,MATCH($A408,PACK!$A:$A,0)),"")</f>
        <v/>
      </c>
      <c r="I408" s="21" t="str">
        <f t="shared" si="48"/>
        <v/>
      </c>
      <c r="J408" s="21" t="str">
        <f t="shared" si="51"/>
        <v/>
      </c>
      <c r="K408" s="21" t="str">
        <f t="shared" si="49"/>
        <v/>
      </c>
      <c r="L408" s="21" t="str">
        <f t="shared" si="52"/>
        <v/>
      </c>
      <c r="R408" s="21" t="str">
        <f>IFERROR(INDEX(PACK!$C:$C,MATCH($P408,PACK!$A:$A,0)),"")</f>
        <v/>
      </c>
      <c r="S408" s="21" t="str">
        <f t="shared" si="50"/>
        <v/>
      </c>
    </row>
    <row r="409" spans="6:19" x14ac:dyDescent="0.25">
      <c r="F409" s="21" t="str">
        <f>IFERROR(INDEX(PACK!$C:$C,MATCH($A409,PACK!$A:$A,0)),"")</f>
        <v/>
      </c>
      <c r="G409" s="21" t="str">
        <f>IFERROR(INDEX(PACK!$D:$D,MATCH($A409,PACK!$A:$A,0)),"")</f>
        <v/>
      </c>
      <c r="H409" s="21" t="str">
        <f>IFERROR(INDEX(PACK!$E:$E,MATCH($A409,PACK!$A:$A,0)),"")</f>
        <v/>
      </c>
      <c r="I409" s="21" t="str">
        <f t="shared" si="48"/>
        <v/>
      </c>
      <c r="J409" s="21" t="str">
        <f t="shared" si="51"/>
        <v/>
      </c>
      <c r="K409" s="21" t="str">
        <f t="shared" si="49"/>
        <v/>
      </c>
      <c r="L409" s="21" t="str">
        <f t="shared" si="52"/>
        <v/>
      </c>
      <c r="R409" s="21" t="str">
        <f>IFERROR(INDEX(PACK!$C:$C,MATCH($P409,PACK!$A:$A,0)),"")</f>
        <v/>
      </c>
      <c r="S409" s="21" t="str">
        <f t="shared" si="50"/>
        <v/>
      </c>
    </row>
    <row r="410" spans="6:19" x14ac:dyDescent="0.25">
      <c r="F410" s="21" t="str">
        <f>IFERROR(INDEX(PACK!$C:$C,MATCH($A410,PACK!$A:$A,0)),"")</f>
        <v/>
      </c>
      <c r="G410" s="21" t="str">
        <f>IFERROR(INDEX(PACK!$D:$D,MATCH($A410,PACK!$A:$A,0)),"")</f>
        <v/>
      </c>
      <c r="H410" s="21" t="str">
        <f>IFERROR(INDEX(PACK!$E:$E,MATCH($A410,PACK!$A:$A,0)),"")</f>
        <v/>
      </c>
      <c r="I410" s="21" t="str">
        <f t="shared" si="48"/>
        <v/>
      </c>
      <c r="J410" s="21" t="str">
        <f t="shared" si="51"/>
        <v/>
      </c>
      <c r="K410" s="21" t="str">
        <f t="shared" si="49"/>
        <v/>
      </c>
      <c r="L410" s="21" t="str">
        <f t="shared" si="52"/>
        <v/>
      </c>
      <c r="R410" s="21" t="str">
        <f>IFERROR(INDEX(PACK!$C:$C,MATCH($P410,PACK!$A:$A,0)),"")</f>
        <v/>
      </c>
      <c r="S410" s="21" t="str">
        <f t="shared" si="50"/>
        <v/>
      </c>
    </row>
    <row r="411" spans="6:19" x14ac:dyDescent="0.25">
      <c r="F411" s="21" t="str">
        <f>IFERROR(INDEX(PACK!$C:$C,MATCH($A411,PACK!$A:$A,0)),"")</f>
        <v/>
      </c>
      <c r="G411" s="21" t="str">
        <f>IFERROR(INDEX(PACK!$D:$D,MATCH($A411,PACK!$A:$A,0)),"")</f>
        <v/>
      </c>
      <c r="H411" s="21" t="str">
        <f>IFERROR(INDEX(PACK!$E:$E,MATCH($A411,PACK!$A:$A,0)),"")</f>
        <v/>
      </c>
      <c r="I411" s="21" t="str">
        <f t="shared" si="48"/>
        <v/>
      </c>
      <c r="J411" s="21" t="str">
        <f t="shared" si="51"/>
        <v/>
      </c>
      <c r="K411" s="21" t="str">
        <f t="shared" si="49"/>
        <v/>
      </c>
      <c r="L411" s="21" t="str">
        <f t="shared" si="52"/>
        <v/>
      </c>
      <c r="R411" s="21" t="str">
        <f>IFERROR(INDEX(PACK!$C:$C,MATCH($P411,PACK!$A:$A,0)),"")</f>
        <v/>
      </c>
      <c r="S411" s="21" t="str">
        <f t="shared" si="50"/>
        <v/>
      </c>
    </row>
    <row r="412" spans="6:19" x14ac:dyDescent="0.25">
      <c r="F412" s="21" t="str">
        <f>IFERROR(INDEX(PACK!$C:$C,MATCH($A412,PACK!$A:$A,0)),"")</f>
        <v/>
      </c>
      <c r="G412" s="21" t="str">
        <f>IFERROR(INDEX(PACK!$D:$D,MATCH($A412,PACK!$A:$A,0)),"")</f>
        <v/>
      </c>
      <c r="H412" s="21" t="str">
        <f>IFERROR(INDEX(PACK!$E:$E,MATCH($A412,PACK!$A:$A,0)),"")</f>
        <v/>
      </c>
      <c r="I412" s="21" t="str">
        <f t="shared" si="48"/>
        <v/>
      </c>
      <c r="J412" s="21" t="str">
        <f t="shared" si="51"/>
        <v/>
      </c>
      <c r="K412" s="21" t="str">
        <f t="shared" si="49"/>
        <v/>
      </c>
      <c r="L412" s="21" t="str">
        <f t="shared" si="52"/>
        <v/>
      </c>
      <c r="R412" s="21" t="str">
        <f>IFERROR(INDEX(PACK!$C:$C,MATCH($P412,PACK!$A:$A,0)),"")</f>
        <v/>
      </c>
      <c r="S412" s="21" t="str">
        <f t="shared" si="50"/>
        <v/>
      </c>
    </row>
    <row r="413" spans="6:19" x14ac:dyDescent="0.25">
      <c r="F413" s="21" t="str">
        <f>IFERROR(INDEX(PACK!$C:$C,MATCH($A413,PACK!$A:$A,0)),"")</f>
        <v/>
      </c>
      <c r="G413" s="21" t="str">
        <f>IFERROR(INDEX(PACK!$D:$D,MATCH($A413,PACK!$A:$A,0)),"")</f>
        <v/>
      </c>
      <c r="H413" s="21" t="str">
        <f>IFERROR(INDEX(PACK!$E:$E,MATCH($A413,PACK!$A:$A,0)),"")</f>
        <v/>
      </c>
      <c r="I413" s="21" t="str">
        <f t="shared" si="48"/>
        <v/>
      </c>
      <c r="J413" s="21" t="str">
        <f t="shared" si="51"/>
        <v/>
      </c>
      <c r="K413" s="21" t="str">
        <f t="shared" si="49"/>
        <v/>
      </c>
      <c r="L413" s="21" t="str">
        <f t="shared" si="52"/>
        <v/>
      </c>
      <c r="R413" s="21" t="str">
        <f>IFERROR(INDEX(PACK!$C:$C,MATCH($P413,PACK!$A:$A,0)),"")</f>
        <v/>
      </c>
      <c r="S413" s="21" t="str">
        <f t="shared" si="50"/>
        <v/>
      </c>
    </row>
    <row r="414" spans="6:19" x14ac:dyDescent="0.25">
      <c r="F414" s="21" t="str">
        <f>IFERROR(INDEX(PACK!$C:$C,MATCH($A414,PACK!$A:$A,0)),"")</f>
        <v/>
      </c>
      <c r="G414" s="21" t="str">
        <f>IFERROR(INDEX(PACK!$D:$D,MATCH($A414,PACK!$A:$A,0)),"")</f>
        <v/>
      </c>
      <c r="H414" s="21" t="str">
        <f>IFERROR(INDEX(PACK!$E:$E,MATCH($A414,PACK!$A:$A,0)),"")</f>
        <v/>
      </c>
      <c r="I414" s="21" t="str">
        <f t="shared" si="48"/>
        <v/>
      </c>
      <c r="J414" s="21" t="str">
        <f t="shared" si="51"/>
        <v/>
      </c>
      <c r="K414" s="21" t="str">
        <f t="shared" si="49"/>
        <v/>
      </c>
      <c r="L414" s="21" t="str">
        <f t="shared" si="52"/>
        <v/>
      </c>
      <c r="R414" s="21" t="str">
        <f>IFERROR(INDEX(PACK!$C:$C,MATCH($P414,PACK!$A:$A,0)),"")</f>
        <v/>
      </c>
      <c r="S414" s="21" t="str">
        <f t="shared" si="50"/>
        <v/>
      </c>
    </row>
    <row r="415" spans="6:19" x14ac:dyDescent="0.25">
      <c r="F415" s="21" t="str">
        <f>IFERROR(INDEX(PACK!$C:$C,MATCH($A415,PACK!$A:$A,0)),"")</f>
        <v/>
      </c>
      <c r="G415" s="21" t="str">
        <f>IFERROR(INDEX(PACK!$D:$D,MATCH($A415,PACK!$A:$A,0)),"")</f>
        <v/>
      </c>
      <c r="H415" s="21" t="str">
        <f>IFERROR(INDEX(PACK!$E:$E,MATCH($A415,PACK!$A:$A,0)),"")</f>
        <v/>
      </c>
      <c r="I415" s="21" t="str">
        <f t="shared" si="48"/>
        <v/>
      </c>
      <c r="J415" s="21" t="str">
        <f t="shared" si="51"/>
        <v/>
      </c>
      <c r="K415" s="21" t="str">
        <f t="shared" si="49"/>
        <v/>
      </c>
      <c r="L415" s="21" t="str">
        <f t="shared" si="52"/>
        <v/>
      </c>
      <c r="R415" s="21" t="str">
        <f>IFERROR(INDEX(PACK!$C:$C,MATCH($P415,PACK!$A:$A,0)),"")</f>
        <v/>
      </c>
      <c r="S415" s="21" t="str">
        <f t="shared" si="50"/>
        <v/>
      </c>
    </row>
    <row r="416" spans="6:19" x14ac:dyDescent="0.25">
      <c r="F416" s="21" t="str">
        <f>IFERROR(INDEX(PACK!$C:$C,MATCH($A416,PACK!$A:$A,0)),"")</f>
        <v/>
      </c>
      <c r="G416" s="21" t="str">
        <f>IFERROR(INDEX(PACK!$D:$D,MATCH($A416,PACK!$A:$A,0)),"")</f>
        <v/>
      </c>
      <c r="H416" s="21" t="str">
        <f>IFERROR(INDEX(PACK!$E:$E,MATCH($A416,PACK!$A:$A,0)),"")</f>
        <v/>
      </c>
      <c r="I416" s="21" t="str">
        <f t="shared" si="48"/>
        <v/>
      </c>
      <c r="J416" s="21" t="str">
        <f t="shared" si="51"/>
        <v/>
      </c>
      <c r="K416" s="21" t="str">
        <f t="shared" si="49"/>
        <v/>
      </c>
      <c r="L416" s="21" t="str">
        <f t="shared" si="52"/>
        <v/>
      </c>
      <c r="R416" s="21" t="str">
        <f>IFERROR(INDEX(PACK!$C:$C,MATCH($P416,PACK!$A:$A,0)),"")</f>
        <v/>
      </c>
      <c r="S416" s="21" t="str">
        <f t="shared" si="50"/>
        <v/>
      </c>
    </row>
    <row r="417" spans="6:19" x14ac:dyDescent="0.25">
      <c r="F417" s="21" t="str">
        <f>IFERROR(INDEX(PACK!$C:$C,MATCH($A417,PACK!$A:$A,0)),"")</f>
        <v/>
      </c>
      <c r="G417" s="21" t="str">
        <f>IFERROR(INDEX(PACK!$D:$D,MATCH($A417,PACK!$A:$A,0)),"")</f>
        <v/>
      </c>
      <c r="H417" s="21" t="str">
        <f>IFERROR(INDEX(PACK!$E:$E,MATCH($A417,PACK!$A:$A,0)),"")</f>
        <v/>
      </c>
      <c r="I417" s="21" t="str">
        <f t="shared" si="48"/>
        <v/>
      </c>
      <c r="J417" s="21" t="str">
        <f t="shared" si="51"/>
        <v/>
      </c>
      <c r="K417" s="21" t="str">
        <f t="shared" si="49"/>
        <v/>
      </c>
      <c r="L417" s="21" t="str">
        <f t="shared" si="52"/>
        <v/>
      </c>
      <c r="R417" s="21" t="str">
        <f>IFERROR(INDEX(PACK!$C:$C,MATCH($P417,PACK!$A:$A,0)),"")</f>
        <v/>
      </c>
      <c r="S417" s="21" t="str">
        <f t="shared" si="50"/>
        <v/>
      </c>
    </row>
    <row r="418" spans="6:19" x14ac:dyDescent="0.25">
      <c r="F418" s="21" t="str">
        <f>IFERROR(INDEX(PACK!$C:$C,MATCH($A418,PACK!$A:$A,0)),"")</f>
        <v/>
      </c>
      <c r="G418" s="21" t="str">
        <f>IFERROR(INDEX(PACK!$D:$D,MATCH($A418,PACK!$A:$A,0)),"")</f>
        <v/>
      </c>
      <c r="H418" s="21" t="str">
        <f>IFERROR(INDEX(PACK!$E:$E,MATCH($A418,PACK!$A:$A,0)),"")</f>
        <v/>
      </c>
      <c r="I418" s="21" t="str">
        <f t="shared" si="48"/>
        <v/>
      </c>
      <c r="J418" s="21" t="str">
        <f t="shared" si="51"/>
        <v/>
      </c>
      <c r="K418" s="21" t="str">
        <f t="shared" si="49"/>
        <v/>
      </c>
      <c r="L418" s="21" t="str">
        <f t="shared" si="52"/>
        <v/>
      </c>
      <c r="R418" s="21" t="str">
        <f>IFERROR(INDEX(PACK!$C:$C,MATCH($P418,PACK!$A:$A,0)),"")</f>
        <v/>
      </c>
      <c r="S418" s="21" t="str">
        <f t="shared" si="50"/>
        <v/>
      </c>
    </row>
    <row r="419" spans="6:19" x14ac:dyDescent="0.25">
      <c r="F419" s="21" t="str">
        <f>IFERROR(INDEX(PACK!$C:$C,MATCH($A419,PACK!$A:$A,0)),"")</f>
        <v/>
      </c>
      <c r="G419" s="21" t="str">
        <f>IFERROR(INDEX(PACK!$D:$D,MATCH($A419,PACK!$A:$A,0)),"")</f>
        <v/>
      </c>
      <c r="H419" s="21" t="str">
        <f>IFERROR(INDEX(PACK!$E:$E,MATCH($A419,PACK!$A:$A,0)),"")</f>
        <v/>
      </c>
      <c r="I419" s="21" t="str">
        <f t="shared" si="48"/>
        <v/>
      </c>
      <c r="J419" s="21" t="str">
        <f t="shared" si="51"/>
        <v/>
      </c>
      <c r="K419" s="21" t="str">
        <f t="shared" si="49"/>
        <v/>
      </c>
      <c r="L419" s="21" t="str">
        <f t="shared" si="52"/>
        <v/>
      </c>
      <c r="R419" s="21" t="str">
        <f>IFERROR(INDEX(PACK!$C:$C,MATCH($P419,PACK!$A:$A,0)),"")</f>
        <v/>
      </c>
      <c r="S419" s="21" t="str">
        <f t="shared" si="50"/>
        <v/>
      </c>
    </row>
    <row r="420" spans="6:19" x14ac:dyDescent="0.25">
      <c r="F420" s="21" t="str">
        <f>IFERROR(INDEX(PACK!$C:$C,MATCH($A420,PACK!$A:$A,0)),"")</f>
        <v/>
      </c>
      <c r="G420" s="21" t="str">
        <f>IFERROR(INDEX(PACK!$D:$D,MATCH($A420,PACK!$A:$A,0)),"")</f>
        <v/>
      </c>
      <c r="H420" s="21" t="str">
        <f>IFERROR(INDEX(PACK!$E:$E,MATCH($A420,PACK!$A:$A,0)),"")</f>
        <v/>
      </c>
      <c r="I420" s="21" t="str">
        <f t="shared" si="48"/>
        <v/>
      </c>
      <c r="J420" s="21" t="str">
        <f t="shared" si="51"/>
        <v/>
      </c>
      <c r="K420" s="21" t="str">
        <f t="shared" si="49"/>
        <v/>
      </c>
      <c r="L420" s="21" t="str">
        <f t="shared" si="52"/>
        <v/>
      </c>
      <c r="R420" s="21" t="str">
        <f>IFERROR(INDEX(PACK!$C:$C,MATCH($P420,PACK!$A:$A,0)),"")</f>
        <v/>
      </c>
      <c r="S420" s="21" t="str">
        <f t="shared" si="50"/>
        <v/>
      </c>
    </row>
    <row r="421" spans="6:19" x14ac:dyDescent="0.25">
      <c r="F421" s="21" t="str">
        <f>IFERROR(INDEX(PACK!$C:$C,MATCH($A421,PACK!$A:$A,0)),"")</f>
        <v/>
      </c>
      <c r="G421" s="21" t="str">
        <f>IFERROR(INDEX(PACK!$D:$D,MATCH($A421,PACK!$A:$A,0)),"")</f>
        <v/>
      </c>
      <c r="H421" s="21" t="str">
        <f>IFERROR(INDEX(PACK!$E:$E,MATCH($A421,PACK!$A:$A,0)),"")</f>
        <v/>
      </c>
      <c r="I421" s="21" t="str">
        <f t="shared" si="48"/>
        <v/>
      </c>
      <c r="J421" s="21" t="str">
        <f t="shared" si="51"/>
        <v/>
      </c>
      <c r="K421" s="21" t="str">
        <f t="shared" si="49"/>
        <v/>
      </c>
      <c r="L421" s="21" t="str">
        <f t="shared" si="52"/>
        <v/>
      </c>
      <c r="R421" s="21" t="str">
        <f>IFERROR(INDEX(PACK!$C:$C,MATCH($P421,PACK!$A:$A,0)),"")</f>
        <v/>
      </c>
      <c r="S421" s="21" t="str">
        <f t="shared" si="50"/>
        <v/>
      </c>
    </row>
    <row r="422" spans="6:19" x14ac:dyDescent="0.25">
      <c r="F422" s="21" t="str">
        <f>IFERROR(INDEX(PACK!$C:$C,MATCH($A422,PACK!$A:$A,0)),"")</f>
        <v/>
      </c>
      <c r="G422" s="21" t="str">
        <f>IFERROR(INDEX(PACK!$D:$D,MATCH($A422,PACK!$A:$A,0)),"")</f>
        <v/>
      </c>
      <c r="H422" s="21" t="str">
        <f>IFERROR(INDEX(PACK!$E:$E,MATCH($A422,PACK!$A:$A,0)),"")</f>
        <v/>
      </c>
      <c r="I422" s="21" t="str">
        <f t="shared" si="48"/>
        <v/>
      </c>
      <c r="J422" s="21" t="str">
        <f t="shared" si="51"/>
        <v/>
      </c>
      <c r="K422" s="21" t="str">
        <f t="shared" si="49"/>
        <v/>
      </c>
      <c r="L422" s="21" t="str">
        <f t="shared" si="52"/>
        <v/>
      </c>
      <c r="R422" s="21" t="str">
        <f>IFERROR(INDEX(PACK!$C:$C,MATCH($P422,PACK!$A:$A,0)),"")</f>
        <v/>
      </c>
      <c r="S422" s="21" t="str">
        <f t="shared" si="50"/>
        <v/>
      </c>
    </row>
    <row r="423" spans="6:19" x14ac:dyDescent="0.25">
      <c r="F423" s="21" t="str">
        <f>IFERROR(INDEX(PACK!$C:$C,MATCH($A423,PACK!$A:$A,0)),"")</f>
        <v/>
      </c>
      <c r="G423" s="21" t="str">
        <f>IFERROR(INDEX(PACK!$D:$D,MATCH($A423,PACK!$A:$A,0)),"")</f>
        <v/>
      </c>
      <c r="H423" s="21" t="str">
        <f>IFERROR(INDEX(PACK!$E:$E,MATCH($A423,PACK!$A:$A,0)),"")</f>
        <v/>
      </c>
      <c r="I423" s="21" t="str">
        <f t="shared" si="48"/>
        <v/>
      </c>
      <c r="J423" s="21" t="str">
        <f t="shared" si="51"/>
        <v/>
      </c>
      <c r="K423" s="21" t="str">
        <f t="shared" si="49"/>
        <v/>
      </c>
      <c r="L423" s="21" t="str">
        <f t="shared" si="52"/>
        <v/>
      </c>
      <c r="R423" s="21" t="str">
        <f>IFERROR(INDEX(PACK!$C:$C,MATCH($P423,PACK!$A:$A,0)),"")</f>
        <v/>
      </c>
      <c r="S423" s="21" t="str">
        <f t="shared" si="50"/>
        <v/>
      </c>
    </row>
    <row r="424" spans="6:19" x14ac:dyDescent="0.25">
      <c r="F424" s="21" t="str">
        <f>IFERROR(INDEX(PACK!$C:$C,MATCH($A424,PACK!$A:$A,0)),"")</f>
        <v/>
      </c>
      <c r="G424" s="21" t="str">
        <f>IFERROR(INDEX(PACK!$D:$D,MATCH($A424,PACK!$A:$A,0)),"")</f>
        <v/>
      </c>
      <c r="H424" s="21" t="str">
        <f>IFERROR(INDEX(PACK!$E:$E,MATCH($A424,PACK!$A:$A,0)),"")</f>
        <v/>
      </c>
      <c r="I424" s="21" t="str">
        <f t="shared" si="48"/>
        <v/>
      </c>
      <c r="J424" s="21" t="str">
        <f t="shared" si="51"/>
        <v/>
      </c>
      <c r="K424" s="21" t="str">
        <f t="shared" si="49"/>
        <v/>
      </c>
      <c r="L424" s="21" t="str">
        <f t="shared" si="52"/>
        <v/>
      </c>
      <c r="R424" s="21" t="str">
        <f>IFERROR(INDEX(PACK!$C:$C,MATCH($P424,PACK!$A:$A,0)),"")</f>
        <v/>
      </c>
      <c r="S424" s="21" t="str">
        <f t="shared" si="50"/>
        <v/>
      </c>
    </row>
    <row r="425" spans="6:19" x14ac:dyDescent="0.25">
      <c r="F425" s="21" t="str">
        <f>IFERROR(INDEX(PACK!$C:$C,MATCH($A425,PACK!$A:$A,0)),"")</f>
        <v/>
      </c>
      <c r="G425" s="21" t="str">
        <f>IFERROR(INDEX(PACK!$D:$D,MATCH($A425,PACK!$A:$A,0)),"")</f>
        <v/>
      </c>
      <c r="H425" s="21" t="str">
        <f>IFERROR(INDEX(PACK!$E:$E,MATCH($A425,PACK!$A:$A,0)),"")</f>
        <v/>
      </c>
      <c r="I425" s="21" t="str">
        <f t="shared" si="48"/>
        <v/>
      </c>
      <c r="J425" s="21" t="str">
        <f t="shared" si="51"/>
        <v/>
      </c>
      <c r="K425" s="21" t="str">
        <f t="shared" si="49"/>
        <v/>
      </c>
      <c r="L425" s="21" t="str">
        <f t="shared" si="52"/>
        <v/>
      </c>
      <c r="R425" s="21" t="str">
        <f>IFERROR(INDEX(PACK!$C:$C,MATCH($P425,PACK!$A:$A,0)),"")</f>
        <v/>
      </c>
      <c r="S425" s="21" t="str">
        <f t="shared" si="50"/>
        <v/>
      </c>
    </row>
    <row r="426" spans="6:19" x14ac:dyDescent="0.25">
      <c r="F426" s="21" t="str">
        <f>IFERROR(INDEX(PACK!$C:$C,MATCH($A426,PACK!$A:$A,0)),"")</f>
        <v/>
      </c>
      <c r="G426" s="21" t="str">
        <f>IFERROR(INDEX(PACK!$D:$D,MATCH($A426,PACK!$A:$A,0)),"")</f>
        <v/>
      </c>
      <c r="H426" s="21" t="str">
        <f>IFERROR(INDEX(PACK!$E:$E,MATCH($A426,PACK!$A:$A,0)),"")</f>
        <v/>
      </c>
      <c r="I426" s="21" t="str">
        <f t="shared" si="48"/>
        <v/>
      </c>
      <c r="J426" s="21" t="str">
        <f t="shared" si="51"/>
        <v/>
      </c>
      <c r="K426" s="21" t="str">
        <f t="shared" si="49"/>
        <v/>
      </c>
      <c r="L426" s="21" t="str">
        <f t="shared" si="52"/>
        <v/>
      </c>
      <c r="R426" s="21" t="str">
        <f>IFERROR(INDEX(PACK!$C:$C,MATCH($P426,PACK!$A:$A,0)),"")</f>
        <v/>
      </c>
      <c r="S426" s="21" t="str">
        <f t="shared" si="50"/>
        <v/>
      </c>
    </row>
    <row r="427" spans="6:19" x14ac:dyDescent="0.25">
      <c r="F427" s="21" t="str">
        <f>IFERROR(INDEX(PACK!$C:$C,MATCH($A427,PACK!$A:$A,0)),"")</f>
        <v/>
      </c>
      <c r="G427" s="21" t="str">
        <f>IFERROR(INDEX(PACK!$D:$D,MATCH($A427,PACK!$A:$A,0)),"")</f>
        <v/>
      </c>
      <c r="H427" s="21" t="str">
        <f>IFERROR(INDEX(PACK!$E:$E,MATCH($A427,PACK!$A:$A,0)),"")</f>
        <v/>
      </c>
      <c r="I427" s="21" t="str">
        <f t="shared" si="48"/>
        <v/>
      </c>
      <c r="J427" s="21" t="str">
        <f t="shared" si="51"/>
        <v/>
      </c>
      <c r="K427" s="21" t="str">
        <f t="shared" si="49"/>
        <v/>
      </c>
      <c r="L427" s="21" t="str">
        <f t="shared" si="52"/>
        <v/>
      </c>
      <c r="R427" s="21" t="str">
        <f>IFERROR(INDEX(PACK!$C:$C,MATCH($P427,PACK!$A:$A,0)),"")</f>
        <v/>
      </c>
      <c r="S427" s="21" t="str">
        <f t="shared" si="50"/>
        <v/>
      </c>
    </row>
    <row r="428" spans="6:19" x14ac:dyDescent="0.25">
      <c r="F428" s="21" t="str">
        <f>IFERROR(INDEX(PACK!$C:$C,MATCH($A428,PACK!$A:$A,0)),"")</f>
        <v/>
      </c>
      <c r="G428" s="21" t="str">
        <f>IFERROR(INDEX(PACK!$D:$D,MATCH($A428,PACK!$A:$A,0)),"")</f>
        <v/>
      </c>
      <c r="H428" s="21" t="str">
        <f>IFERROR(INDEX(PACK!$E:$E,MATCH($A428,PACK!$A:$A,0)),"")</f>
        <v/>
      </c>
      <c r="I428" s="21" t="str">
        <f t="shared" si="48"/>
        <v/>
      </c>
      <c r="J428" s="21" t="str">
        <f t="shared" si="51"/>
        <v/>
      </c>
      <c r="K428" s="21" t="str">
        <f t="shared" si="49"/>
        <v/>
      </c>
      <c r="L428" s="21" t="str">
        <f t="shared" si="52"/>
        <v/>
      </c>
      <c r="R428" s="21" t="str">
        <f>IFERROR(INDEX(PACK!$C:$C,MATCH($P428,PACK!$A:$A,0)),"")</f>
        <v/>
      </c>
      <c r="S428" s="21" t="str">
        <f t="shared" si="50"/>
        <v/>
      </c>
    </row>
    <row r="429" spans="6:19" x14ac:dyDescent="0.25">
      <c r="F429" s="21" t="str">
        <f>IFERROR(INDEX(PACK!$C:$C,MATCH($A429,PACK!$A:$A,0)),"")</f>
        <v/>
      </c>
      <c r="G429" s="21" t="str">
        <f>IFERROR(INDEX(PACK!$D:$D,MATCH($A429,PACK!$A:$A,0)),"")</f>
        <v/>
      </c>
      <c r="H429" s="21" t="str">
        <f>IFERROR(INDEX(PACK!$E:$E,MATCH($A429,PACK!$A:$A,0)),"")</f>
        <v/>
      </c>
      <c r="I429" s="21" t="str">
        <f t="shared" si="48"/>
        <v/>
      </c>
      <c r="J429" s="21" t="str">
        <f t="shared" si="51"/>
        <v/>
      </c>
      <c r="K429" s="21" t="str">
        <f t="shared" si="49"/>
        <v/>
      </c>
      <c r="L429" s="21" t="str">
        <f t="shared" si="52"/>
        <v/>
      </c>
      <c r="R429" s="21" t="str">
        <f>IFERROR(INDEX(PACK!$C:$C,MATCH($P429,PACK!$A:$A,0)),"")</f>
        <v/>
      </c>
      <c r="S429" s="21" t="str">
        <f t="shared" si="50"/>
        <v/>
      </c>
    </row>
    <row r="430" spans="6:19" x14ac:dyDescent="0.25">
      <c r="F430" s="21" t="str">
        <f>IFERROR(INDEX(PACK!$C:$C,MATCH($A430,PACK!$A:$A,0)),"")</f>
        <v/>
      </c>
      <c r="G430" s="21" t="str">
        <f>IFERROR(INDEX(PACK!$D:$D,MATCH($A430,PACK!$A:$A,0)),"")</f>
        <v/>
      </c>
      <c r="H430" s="21" t="str">
        <f>IFERROR(INDEX(PACK!$E:$E,MATCH($A430,PACK!$A:$A,0)),"")</f>
        <v/>
      </c>
      <c r="I430" s="21" t="str">
        <f t="shared" si="48"/>
        <v/>
      </c>
      <c r="J430" s="21" t="str">
        <f t="shared" si="51"/>
        <v/>
      </c>
      <c r="K430" s="21" t="str">
        <f t="shared" si="49"/>
        <v/>
      </c>
      <c r="L430" s="21" t="str">
        <f t="shared" si="52"/>
        <v/>
      </c>
      <c r="R430" s="21" t="str">
        <f>IFERROR(INDEX(PACK!$C:$C,MATCH($P430,PACK!$A:$A,0)),"")</f>
        <v/>
      </c>
      <c r="S430" s="21" t="str">
        <f t="shared" si="50"/>
        <v/>
      </c>
    </row>
    <row r="431" spans="6:19" x14ac:dyDescent="0.25">
      <c r="F431" s="21" t="str">
        <f>IFERROR(INDEX(PACK!$C:$C,MATCH($A431,PACK!$A:$A,0)),"")</f>
        <v/>
      </c>
      <c r="G431" s="21" t="str">
        <f>IFERROR(INDEX(PACK!$D:$D,MATCH($A431,PACK!$A:$A,0)),"")</f>
        <v/>
      </c>
      <c r="H431" s="21" t="str">
        <f>IFERROR(INDEX(PACK!$E:$E,MATCH($A431,PACK!$A:$A,0)),"")</f>
        <v/>
      </c>
      <c r="I431" s="21" t="str">
        <f t="shared" si="48"/>
        <v/>
      </c>
      <c r="J431" s="21" t="str">
        <f t="shared" si="51"/>
        <v/>
      </c>
      <c r="K431" s="21" t="str">
        <f t="shared" si="49"/>
        <v/>
      </c>
      <c r="L431" s="21" t="str">
        <f t="shared" si="52"/>
        <v/>
      </c>
      <c r="R431" s="21" t="str">
        <f>IFERROR(INDEX(PACK!$C:$C,MATCH($P431,PACK!$A:$A,0)),"")</f>
        <v/>
      </c>
      <c r="S431" s="21" t="str">
        <f t="shared" si="50"/>
        <v/>
      </c>
    </row>
    <row r="432" spans="6:19" x14ac:dyDescent="0.25">
      <c r="F432" s="21" t="str">
        <f>IFERROR(INDEX(PACK!$C:$C,MATCH($A432,PACK!$A:$A,0)),"")</f>
        <v/>
      </c>
      <c r="G432" s="21" t="str">
        <f>IFERROR(INDEX(PACK!$D:$D,MATCH($A432,PACK!$A:$A,0)),"")</f>
        <v/>
      </c>
      <c r="H432" s="21" t="str">
        <f>IFERROR(INDEX(PACK!$E:$E,MATCH($A432,PACK!$A:$A,0)),"")</f>
        <v/>
      </c>
      <c r="I432" s="21" t="str">
        <f t="shared" si="48"/>
        <v/>
      </c>
      <c r="J432" s="21" t="str">
        <f t="shared" si="51"/>
        <v/>
      </c>
      <c r="K432" s="21" t="str">
        <f t="shared" si="49"/>
        <v/>
      </c>
      <c r="L432" s="21" t="str">
        <f t="shared" si="52"/>
        <v/>
      </c>
      <c r="R432" s="21" t="str">
        <f>IFERROR(INDEX(PACK!$C:$C,MATCH($P432,PACK!$A:$A,0)),"")</f>
        <v/>
      </c>
      <c r="S432" s="21" t="str">
        <f t="shared" si="50"/>
        <v/>
      </c>
    </row>
    <row r="433" spans="6:19" x14ac:dyDescent="0.25">
      <c r="F433" s="21" t="str">
        <f>IFERROR(INDEX(PACK!$C:$C,MATCH($A433,PACK!$A:$A,0)),"")</f>
        <v/>
      </c>
      <c r="G433" s="21" t="str">
        <f>IFERROR(INDEX(PACK!$D:$D,MATCH($A433,PACK!$A:$A,0)),"")</f>
        <v/>
      </c>
      <c r="H433" s="21" t="str">
        <f>IFERROR(INDEX(PACK!$E:$E,MATCH($A433,PACK!$A:$A,0)),"")</f>
        <v/>
      </c>
      <c r="I433" s="21" t="str">
        <f t="shared" si="48"/>
        <v/>
      </c>
      <c r="J433" s="21" t="str">
        <f t="shared" si="51"/>
        <v/>
      </c>
      <c r="K433" s="21" t="str">
        <f t="shared" si="49"/>
        <v/>
      </c>
      <c r="L433" s="21" t="str">
        <f t="shared" si="52"/>
        <v/>
      </c>
      <c r="R433" s="21" t="str">
        <f>IFERROR(INDEX(PACK!$C:$C,MATCH($P433,PACK!$A:$A,0)),"")</f>
        <v/>
      </c>
      <c r="S433" s="21" t="str">
        <f t="shared" si="50"/>
        <v/>
      </c>
    </row>
    <row r="434" spans="6:19" x14ac:dyDescent="0.25">
      <c r="F434" s="21" t="str">
        <f>IFERROR(INDEX(PACK!$C:$C,MATCH($A434,PACK!$A:$A,0)),"")</f>
        <v/>
      </c>
      <c r="G434" s="21" t="str">
        <f>IFERROR(INDEX(PACK!$D:$D,MATCH($A434,PACK!$A:$A,0)),"")</f>
        <v/>
      </c>
      <c r="H434" s="21" t="str">
        <f>IFERROR(INDEX(PACK!$E:$E,MATCH($A434,PACK!$A:$A,0)),"")</f>
        <v/>
      </c>
      <c r="I434" s="21" t="str">
        <f t="shared" si="48"/>
        <v/>
      </c>
      <c r="J434" s="21" t="str">
        <f t="shared" si="51"/>
        <v/>
      </c>
      <c r="K434" s="21" t="str">
        <f t="shared" si="49"/>
        <v/>
      </c>
      <c r="L434" s="21" t="str">
        <f t="shared" si="52"/>
        <v/>
      </c>
      <c r="R434" s="21" t="str">
        <f>IFERROR(INDEX(PACK!$C:$C,MATCH($P434,PACK!$A:$A,0)),"")</f>
        <v/>
      </c>
      <c r="S434" s="21" t="str">
        <f t="shared" si="50"/>
        <v/>
      </c>
    </row>
    <row r="435" spans="6:19" x14ac:dyDescent="0.25">
      <c r="F435" s="21" t="str">
        <f>IFERROR(INDEX(PACK!$C:$C,MATCH($A435,PACK!$A:$A,0)),"")</f>
        <v/>
      </c>
      <c r="G435" s="21" t="str">
        <f>IFERROR(INDEX(PACK!$D:$D,MATCH($A435,PACK!$A:$A,0)),"")</f>
        <v/>
      </c>
      <c r="H435" s="21" t="str">
        <f>IFERROR(INDEX(PACK!$E:$E,MATCH($A435,PACK!$A:$A,0)),"")</f>
        <v/>
      </c>
      <c r="I435" s="21" t="str">
        <f t="shared" si="48"/>
        <v/>
      </c>
      <c r="J435" s="21" t="str">
        <f t="shared" si="51"/>
        <v/>
      </c>
      <c r="K435" s="21" t="str">
        <f t="shared" si="49"/>
        <v/>
      </c>
      <c r="L435" s="21" t="str">
        <f t="shared" si="52"/>
        <v/>
      </c>
      <c r="R435" s="21" t="str">
        <f>IFERROR(INDEX(PACK!$C:$C,MATCH($P435,PACK!$A:$A,0)),"")</f>
        <v/>
      </c>
      <c r="S435" s="21" t="str">
        <f t="shared" si="50"/>
        <v/>
      </c>
    </row>
    <row r="436" spans="6:19" x14ac:dyDescent="0.25">
      <c r="F436" s="21" t="str">
        <f>IFERROR(INDEX(PACK!$C:$C,MATCH($A436,PACK!$A:$A,0)),"")</f>
        <v/>
      </c>
      <c r="G436" s="21" t="str">
        <f>IFERROR(INDEX(PACK!$D:$D,MATCH($A436,PACK!$A:$A,0)),"")</f>
        <v/>
      </c>
      <c r="H436" s="21" t="str">
        <f>IFERROR(INDEX(PACK!$E:$E,MATCH($A436,PACK!$A:$A,0)),"")</f>
        <v/>
      </c>
      <c r="I436" s="21" t="str">
        <f t="shared" si="48"/>
        <v/>
      </c>
      <c r="J436" s="21" t="str">
        <f t="shared" si="51"/>
        <v/>
      </c>
      <c r="K436" s="21" t="str">
        <f t="shared" si="49"/>
        <v/>
      </c>
      <c r="L436" s="21" t="str">
        <f t="shared" si="52"/>
        <v/>
      </c>
      <c r="R436" s="21" t="str">
        <f>IFERROR(INDEX(PACK!$C:$C,MATCH($P436,PACK!$A:$A,0)),"")</f>
        <v/>
      </c>
      <c r="S436" s="21" t="str">
        <f t="shared" si="50"/>
        <v/>
      </c>
    </row>
    <row r="437" spans="6:19" x14ac:dyDescent="0.25">
      <c r="F437" s="21" t="str">
        <f>IFERROR(INDEX(PACK!$C:$C,MATCH($A437,PACK!$A:$A,0)),"")</f>
        <v/>
      </c>
      <c r="G437" s="21" t="str">
        <f>IFERROR(INDEX(PACK!$D:$D,MATCH($A437,PACK!$A:$A,0)),"")</f>
        <v/>
      </c>
      <c r="H437" s="21" t="str">
        <f>IFERROR(INDEX(PACK!$E:$E,MATCH($A437,PACK!$A:$A,0)),"")</f>
        <v/>
      </c>
      <c r="I437" s="21" t="str">
        <f t="shared" si="48"/>
        <v/>
      </c>
      <c r="J437" s="21" t="str">
        <f t="shared" si="51"/>
        <v/>
      </c>
      <c r="K437" s="21" t="str">
        <f t="shared" si="49"/>
        <v/>
      </c>
      <c r="L437" s="21" t="str">
        <f t="shared" si="52"/>
        <v/>
      </c>
      <c r="R437" s="21" t="str">
        <f>IFERROR(INDEX(PACK!$C:$C,MATCH($P437,PACK!$A:$A,0)),"")</f>
        <v/>
      </c>
      <c r="S437" s="21" t="str">
        <f t="shared" si="50"/>
        <v/>
      </c>
    </row>
    <row r="438" spans="6:19" x14ac:dyDescent="0.25">
      <c r="F438" s="21" t="str">
        <f>IFERROR(INDEX(PACK!$C:$C,MATCH($A438,PACK!$A:$A,0)),"")</f>
        <v/>
      </c>
      <c r="G438" s="21" t="str">
        <f>IFERROR(INDEX(PACK!$D:$D,MATCH($A438,PACK!$A:$A,0)),"")</f>
        <v/>
      </c>
      <c r="H438" s="21" t="str">
        <f>IFERROR(INDEX(PACK!$E:$E,MATCH($A438,PACK!$A:$A,0)),"")</f>
        <v/>
      </c>
      <c r="I438" s="21" t="str">
        <f t="shared" si="48"/>
        <v/>
      </c>
      <c r="J438" s="21" t="str">
        <f t="shared" si="51"/>
        <v/>
      </c>
      <c r="K438" s="21" t="str">
        <f t="shared" si="49"/>
        <v/>
      </c>
      <c r="L438" s="21" t="str">
        <f t="shared" si="52"/>
        <v/>
      </c>
      <c r="R438" s="21" t="str">
        <f>IFERROR(INDEX(PACK!$C:$C,MATCH($P438,PACK!$A:$A,0)),"")</f>
        <v/>
      </c>
      <c r="S438" s="21" t="str">
        <f t="shared" si="50"/>
        <v/>
      </c>
    </row>
    <row r="439" spans="6:19" x14ac:dyDescent="0.25">
      <c r="F439" s="21" t="str">
        <f>IFERROR(INDEX(PACK!$C:$C,MATCH($A439,PACK!$A:$A,0)),"")</f>
        <v/>
      </c>
      <c r="G439" s="21" t="str">
        <f>IFERROR(INDEX(PACK!$D:$D,MATCH($A439,PACK!$A:$A,0)),"")</f>
        <v/>
      </c>
      <c r="H439" s="21" t="str">
        <f>IFERROR(INDEX(PACK!$E:$E,MATCH($A439,PACK!$A:$A,0)),"")</f>
        <v/>
      </c>
      <c r="I439" s="21" t="str">
        <f t="shared" si="48"/>
        <v/>
      </c>
      <c r="J439" s="21" t="str">
        <f t="shared" si="51"/>
        <v/>
      </c>
      <c r="K439" s="21" t="str">
        <f t="shared" si="49"/>
        <v/>
      </c>
      <c r="L439" s="21" t="str">
        <f t="shared" si="52"/>
        <v/>
      </c>
      <c r="R439" s="21" t="str">
        <f>IFERROR(INDEX(PACK!$C:$C,MATCH($P439,PACK!$A:$A,0)),"")</f>
        <v/>
      </c>
      <c r="S439" s="21" t="str">
        <f t="shared" si="50"/>
        <v/>
      </c>
    </row>
    <row r="440" spans="6:19" x14ac:dyDescent="0.25">
      <c r="F440" s="21" t="str">
        <f>IFERROR(INDEX(PACK!$C:$C,MATCH($A440,PACK!$A:$A,0)),"")</f>
        <v/>
      </c>
      <c r="G440" s="21" t="str">
        <f>IFERROR(INDEX(PACK!$D:$D,MATCH($A440,PACK!$A:$A,0)),"")</f>
        <v/>
      </c>
      <c r="H440" s="21" t="str">
        <f>IFERROR(INDEX(PACK!$E:$E,MATCH($A440,PACK!$A:$A,0)),"")</f>
        <v/>
      </c>
      <c r="I440" s="21" t="str">
        <f t="shared" si="48"/>
        <v/>
      </c>
      <c r="J440" s="21" t="str">
        <f t="shared" si="51"/>
        <v/>
      </c>
      <c r="K440" s="21" t="str">
        <f t="shared" si="49"/>
        <v/>
      </c>
      <c r="L440" s="21" t="str">
        <f t="shared" si="52"/>
        <v/>
      </c>
      <c r="R440" s="21" t="str">
        <f>IFERROR(INDEX(PACK!$C:$C,MATCH($P440,PACK!$A:$A,0)),"")</f>
        <v/>
      </c>
      <c r="S440" s="21" t="str">
        <f t="shared" si="50"/>
        <v/>
      </c>
    </row>
    <row r="441" spans="6:19" x14ac:dyDescent="0.25">
      <c r="F441" s="21" t="str">
        <f>IFERROR(INDEX(PACK!$C:$C,MATCH($A441,PACK!$A:$A,0)),"")</f>
        <v/>
      </c>
      <c r="G441" s="21" t="str">
        <f>IFERROR(INDEX(PACK!$D:$D,MATCH($A441,PACK!$A:$A,0)),"")</f>
        <v/>
      </c>
      <c r="H441" s="21" t="str">
        <f>IFERROR(INDEX(PACK!$E:$E,MATCH($A441,PACK!$A:$A,0)),"")</f>
        <v/>
      </c>
      <c r="I441" s="21" t="str">
        <f t="shared" si="48"/>
        <v/>
      </c>
      <c r="J441" s="21" t="str">
        <f t="shared" si="51"/>
        <v/>
      </c>
      <c r="K441" s="21" t="str">
        <f t="shared" si="49"/>
        <v/>
      </c>
      <c r="L441" s="21" t="str">
        <f t="shared" si="52"/>
        <v/>
      </c>
      <c r="R441" s="21" t="str">
        <f>IFERROR(INDEX(PACK!$C:$C,MATCH($P441,PACK!$A:$A,0)),"")</f>
        <v/>
      </c>
      <c r="S441" s="21" t="str">
        <f t="shared" si="50"/>
        <v/>
      </c>
    </row>
    <row r="442" spans="6:19" x14ac:dyDescent="0.25">
      <c r="F442" s="21" t="str">
        <f>IFERROR(INDEX(PACK!$C:$C,MATCH($A442,PACK!$A:$A,0)),"")</f>
        <v/>
      </c>
      <c r="G442" s="21" t="str">
        <f>IFERROR(INDEX(PACK!$D:$D,MATCH($A442,PACK!$A:$A,0)),"")</f>
        <v/>
      </c>
      <c r="H442" s="21" t="str">
        <f>IFERROR(INDEX(PACK!$E:$E,MATCH($A442,PACK!$A:$A,0)),"")</f>
        <v/>
      </c>
      <c r="I442" s="21" t="str">
        <f t="shared" si="48"/>
        <v/>
      </c>
      <c r="J442" s="21" t="str">
        <f t="shared" si="51"/>
        <v/>
      </c>
      <c r="K442" s="21" t="str">
        <f t="shared" si="49"/>
        <v/>
      </c>
      <c r="L442" s="21" t="str">
        <f t="shared" si="52"/>
        <v/>
      </c>
      <c r="R442" s="21" t="str">
        <f>IFERROR(INDEX(PACK!$C:$C,MATCH($P442,PACK!$A:$A,0)),"")</f>
        <v/>
      </c>
      <c r="S442" s="21" t="str">
        <f t="shared" si="50"/>
        <v/>
      </c>
    </row>
    <row r="443" spans="6:19" x14ac:dyDescent="0.25">
      <c r="F443" s="21" t="str">
        <f>IFERROR(INDEX(PACK!$C:$C,MATCH($A443,PACK!$A:$A,0)),"")</f>
        <v/>
      </c>
      <c r="G443" s="21" t="str">
        <f>IFERROR(INDEX(PACK!$D:$D,MATCH($A443,PACK!$A:$A,0)),"")</f>
        <v/>
      </c>
      <c r="H443" s="21" t="str">
        <f>IFERROR(INDEX(PACK!$E:$E,MATCH($A443,PACK!$A:$A,0)),"")</f>
        <v/>
      </c>
      <c r="I443" s="21" t="str">
        <f t="shared" si="48"/>
        <v/>
      </c>
      <c r="J443" s="21" t="str">
        <f t="shared" si="51"/>
        <v/>
      </c>
      <c r="K443" s="21" t="str">
        <f t="shared" si="49"/>
        <v/>
      </c>
      <c r="L443" s="21" t="str">
        <f t="shared" si="52"/>
        <v/>
      </c>
      <c r="R443" s="21" t="str">
        <f>IFERROR(INDEX(PACK!$C:$C,MATCH($P443,PACK!$A:$A,0)),"")</f>
        <v/>
      </c>
      <c r="S443" s="21" t="str">
        <f t="shared" si="50"/>
        <v/>
      </c>
    </row>
    <row r="444" spans="6:19" x14ac:dyDescent="0.25">
      <c r="F444" s="21" t="str">
        <f>IFERROR(INDEX(PACK!$C:$C,MATCH($A444,PACK!$A:$A,0)),"")</f>
        <v/>
      </c>
      <c r="G444" s="21" t="str">
        <f>IFERROR(INDEX(PACK!$D:$D,MATCH($A444,PACK!$A:$A,0)),"")</f>
        <v/>
      </c>
      <c r="H444" s="21" t="str">
        <f>IFERROR(INDEX(PACK!$E:$E,MATCH($A444,PACK!$A:$A,0)),"")</f>
        <v/>
      </c>
      <c r="I444" s="21" t="str">
        <f t="shared" si="48"/>
        <v/>
      </c>
      <c r="J444" s="21" t="str">
        <f t="shared" si="51"/>
        <v/>
      </c>
      <c r="K444" s="21" t="str">
        <f t="shared" si="49"/>
        <v/>
      </c>
      <c r="L444" s="21" t="str">
        <f t="shared" si="52"/>
        <v/>
      </c>
      <c r="R444" s="21" t="str">
        <f>IFERROR(INDEX(PACK!$C:$C,MATCH($P444,PACK!$A:$A,0)),"")</f>
        <v/>
      </c>
      <c r="S444" s="21" t="str">
        <f t="shared" si="50"/>
        <v/>
      </c>
    </row>
    <row r="445" spans="6:19" x14ac:dyDescent="0.25">
      <c r="F445" s="21" t="str">
        <f>IFERROR(INDEX(PACK!$C:$C,MATCH($A445,PACK!$A:$A,0)),"")</f>
        <v/>
      </c>
      <c r="G445" s="21" t="str">
        <f>IFERROR(INDEX(PACK!$D:$D,MATCH($A445,PACK!$A:$A,0)),"")</f>
        <v/>
      </c>
      <c r="H445" s="21" t="str">
        <f>IFERROR(INDEX(PACK!$E:$E,MATCH($A445,PACK!$A:$A,0)),"")</f>
        <v/>
      </c>
      <c r="I445" s="21" t="str">
        <f t="shared" si="48"/>
        <v/>
      </c>
      <c r="J445" s="21" t="str">
        <f t="shared" si="51"/>
        <v/>
      </c>
      <c r="K445" s="21" t="str">
        <f t="shared" si="49"/>
        <v/>
      </c>
      <c r="L445" s="21" t="str">
        <f t="shared" si="52"/>
        <v/>
      </c>
      <c r="R445" s="21" t="str">
        <f>IFERROR(INDEX(PACK!$C:$C,MATCH($P445,PACK!$A:$A,0)),"")</f>
        <v/>
      </c>
      <c r="S445" s="21" t="str">
        <f t="shared" si="50"/>
        <v/>
      </c>
    </row>
    <row r="446" spans="6:19" x14ac:dyDescent="0.25">
      <c r="F446" s="21" t="str">
        <f>IFERROR(INDEX(PACK!$C:$C,MATCH($A446,PACK!$A:$A,0)),"")</f>
        <v/>
      </c>
      <c r="G446" s="21" t="str">
        <f>IFERROR(INDEX(PACK!$D:$D,MATCH($A446,PACK!$A:$A,0)),"")</f>
        <v/>
      </c>
      <c r="H446" s="21" t="str">
        <f>IFERROR(INDEX(PACK!$E:$E,MATCH($A446,PACK!$A:$A,0)),"")</f>
        <v/>
      </c>
      <c r="I446" s="21" t="str">
        <f t="shared" si="48"/>
        <v/>
      </c>
      <c r="J446" s="21" t="str">
        <f t="shared" si="51"/>
        <v/>
      </c>
      <c r="K446" s="21" t="str">
        <f t="shared" si="49"/>
        <v/>
      </c>
      <c r="L446" s="21" t="str">
        <f t="shared" si="52"/>
        <v/>
      </c>
      <c r="R446" s="21" t="str">
        <f>IFERROR(INDEX(PACK!$C:$C,MATCH($P446,PACK!$A:$A,0)),"")</f>
        <v/>
      </c>
      <c r="S446" s="21" t="str">
        <f t="shared" si="50"/>
        <v/>
      </c>
    </row>
    <row r="447" spans="6:19" x14ac:dyDescent="0.25">
      <c r="F447" s="21" t="str">
        <f>IFERROR(INDEX(PACK!$C:$C,MATCH($A447,PACK!$A:$A,0)),"")</f>
        <v/>
      </c>
      <c r="G447" s="21" t="str">
        <f>IFERROR(INDEX(PACK!$D:$D,MATCH($A447,PACK!$A:$A,0)),"")</f>
        <v/>
      </c>
      <c r="H447" s="21" t="str">
        <f>IFERROR(INDEX(PACK!$E:$E,MATCH($A447,PACK!$A:$A,0)),"")</f>
        <v/>
      </c>
      <c r="I447" s="21" t="str">
        <f t="shared" si="48"/>
        <v/>
      </c>
      <c r="J447" s="21" t="str">
        <f t="shared" si="51"/>
        <v/>
      </c>
      <c r="K447" s="21" t="str">
        <f t="shared" si="49"/>
        <v/>
      </c>
      <c r="L447" s="21" t="str">
        <f t="shared" si="52"/>
        <v/>
      </c>
      <c r="R447" s="21" t="str">
        <f>IFERROR(INDEX(PACK!$C:$C,MATCH($P447,PACK!$A:$A,0)),"")</f>
        <v/>
      </c>
      <c r="S447" s="21" t="str">
        <f t="shared" si="50"/>
        <v/>
      </c>
    </row>
    <row r="448" spans="6:19" x14ac:dyDescent="0.25">
      <c r="F448" s="21" t="str">
        <f>IFERROR(INDEX(PACK!$C:$C,MATCH($A448,PACK!$A:$A,0)),"")</f>
        <v/>
      </c>
      <c r="G448" s="21" t="str">
        <f>IFERROR(INDEX(PACK!$D:$D,MATCH($A448,PACK!$A:$A,0)),"")</f>
        <v/>
      </c>
      <c r="H448" s="21" t="str">
        <f>IFERROR(INDEX(PACK!$E:$E,MATCH($A448,PACK!$A:$A,0)),"")</f>
        <v/>
      </c>
      <c r="I448" s="21" t="str">
        <f t="shared" si="48"/>
        <v/>
      </c>
      <c r="J448" s="21" t="str">
        <f t="shared" si="51"/>
        <v/>
      </c>
      <c r="K448" s="21" t="str">
        <f t="shared" si="49"/>
        <v/>
      </c>
      <c r="L448" s="21" t="str">
        <f t="shared" si="52"/>
        <v/>
      </c>
      <c r="R448" s="21" t="str">
        <f>IFERROR(INDEX(PACK!$C:$C,MATCH($P448,PACK!$A:$A,0)),"")</f>
        <v/>
      </c>
      <c r="S448" s="21" t="str">
        <f t="shared" si="50"/>
        <v/>
      </c>
    </row>
    <row r="449" spans="6:19" x14ac:dyDescent="0.25">
      <c r="F449" s="21" t="str">
        <f>IFERROR(INDEX(PACK!$C:$C,MATCH($A449,PACK!$A:$A,0)),"")</f>
        <v/>
      </c>
      <c r="G449" s="21" t="str">
        <f>IFERROR(INDEX(PACK!$D:$D,MATCH($A449,PACK!$A:$A,0)),"")</f>
        <v/>
      </c>
      <c r="H449" s="21" t="str">
        <f>IFERROR(INDEX(PACK!$E:$E,MATCH($A449,PACK!$A:$A,0)),"")</f>
        <v/>
      </c>
      <c r="I449" s="21" t="str">
        <f t="shared" si="48"/>
        <v/>
      </c>
      <c r="J449" s="21" t="str">
        <f t="shared" si="51"/>
        <v/>
      </c>
      <c r="K449" s="21" t="str">
        <f t="shared" si="49"/>
        <v/>
      </c>
      <c r="L449" s="21" t="str">
        <f t="shared" si="52"/>
        <v/>
      </c>
      <c r="R449" s="21" t="str">
        <f>IFERROR(INDEX(PACK!$C:$C,MATCH($P449,PACK!$A:$A,0)),"")</f>
        <v/>
      </c>
      <c r="S449" s="21" t="str">
        <f t="shared" si="50"/>
        <v/>
      </c>
    </row>
    <row r="450" spans="6:19" x14ac:dyDescent="0.25">
      <c r="F450" s="21" t="str">
        <f>IFERROR(INDEX(PACK!$C:$C,MATCH($A450,PACK!$A:$A,0)),"")</f>
        <v/>
      </c>
      <c r="G450" s="21" t="str">
        <f>IFERROR(INDEX(PACK!$D:$D,MATCH($A450,PACK!$A:$A,0)),"")</f>
        <v/>
      </c>
      <c r="H450" s="21" t="str">
        <f>IFERROR(INDEX(PACK!$E:$E,MATCH($A450,PACK!$A:$A,0)),"")</f>
        <v/>
      </c>
      <c r="I450" s="21" t="str">
        <f t="shared" si="48"/>
        <v/>
      </c>
      <c r="J450" s="21" t="str">
        <f t="shared" si="51"/>
        <v/>
      </c>
      <c r="K450" s="21" t="str">
        <f t="shared" si="49"/>
        <v/>
      </c>
      <c r="L450" s="21" t="str">
        <f t="shared" si="52"/>
        <v/>
      </c>
      <c r="R450" s="21" t="str">
        <f>IFERROR(INDEX(PACK!$C:$C,MATCH($P450,PACK!$A:$A,0)),"")</f>
        <v/>
      </c>
      <c r="S450" s="21" t="str">
        <f t="shared" si="50"/>
        <v/>
      </c>
    </row>
    <row r="451" spans="6:19" x14ac:dyDescent="0.25">
      <c r="F451" s="21" t="str">
        <f>IFERROR(INDEX(PACK!$C:$C,MATCH($A451,PACK!$A:$A,0)),"")</f>
        <v/>
      </c>
      <c r="G451" s="21" t="str">
        <f>IFERROR(INDEX(PACK!$D:$D,MATCH($A451,PACK!$A:$A,0)),"")</f>
        <v/>
      </c>
      <c r="H451" s="21" t="str">
        <f>IFERROR(INDEX(PACK!$E:$E,MATCH($A451,PACK!$A:$A,0)),"")</f>
        <v/>
      </c>
      <c r="I451" s="21" t="str">
        <f t="shared" ref="I451:I499" si="53">IFERROR(C451/F451,"")</f>
        <v/>
      </c>
      <c r="J451" s="21" t="str">
        <f t="shared" si="51"/>
        <v/>
      </c>
      <c r="K451" s="21" t="str">
        <f t="shared" ref="K451:K499" si="54">IFERROR(MOD(I451,H451),"")</f>
        <v/>
      </c>
      <c r="L451" s="21" t="str">
        <f t="shared" si="52"/>
        <v/>
      </c>
      <c r="R451" s="21" t="str">
        <f>IFERROR(INDEX(PACK!$C:$C,MATCH($P451,PACK!$A:$A,0)),"")</f>
        <v/>
      </c>
      <c r="S451" s="21" t="str">
        <f t="shared" ref="S451:S491" si="55">IFERROR(Q451/R451,"")</f>
        <v/>
      </c>
    </row>
    <row r="452" spans="6:19" x14ac:dyDescent="0.25">
      <c r="F452" s="21" t="str">
        <f>IFERROR(INDEX(PACK!$C:$C,MATCH($A452,PACK!$A:$A,0)),"")</f>
        <v/>
      </c>
      <c r="G452" s="21" t="str">
        <f>IFERROR(INDEX(PACK!$D:$D,MATCH($A452,PACK!$A:$A,0)),"")</f>
        <v/>
      </c>
      <c r="H452" s="21" t="str">
        <f>IFERROR(INDEX(PACK!$E:$E,MATCH($A452,PACK!$A:$A,0)),"")</f>
        <v/>
      </c>
      <c r="I452" s="21" t="str">
        <f t="shared" si="53"/>
        <v/>
      </c>
      <c r="J452" s="21" t="str">
        <f t="shared" si="51"/>
        <v/>
      </c>
      <c r="K452" s="21" t="str">
        <f t="shared" si="54"/>
        <v/>
      </c>
      <c r="L452" s="21" t="str">
        <f t="shared" si="52"/>
        <v/>
      </c>
      <c r="R452" s="21" t="str">
        <f>IFERROR(INDEX(PACK!$C:$C,MATCH($P452,PACK!$A:$A,0)),"")</f>
        <v/>
      </c>
      <c r="S452" s="21" t="str">
        <f t="shared" si="55"/>
        <v/>
      </c>
    </row>
    <row r="453" spans="6:19" x14ac:dyDescent="0.25">
      <c r="F453" s="21" t="str">
        <f>IFERROR(INDEX(PACK!$C:$C,MATCH($A453,PACK!$A:$A,0)),"")</f>
        <v/>
      </c>
      <c r="G453" s="21" t="str">
        <f>IFERROR(INDEX(PACK!$D:$D,MATCH($A453,PACK!$A:$A,0)),"")</f>
        <v/>
      </c>
      <c r="H453" s="21" t="str">
        <f>IFERROR(INDEX(PACK!$E:$E,MATCH($A453,PACK!$A:$A,0)),"")</f>
        <v/>
      </c>
      <c r="I453" s="21" t="str">
        <f t="shared" si="53"/>
        <v/>
      </c>
      <c r="J453" s="21" t="str">
        <f t="shared" si="51"/>
        <v/>
      </c>
      <c r="K453" s="21" t="str">
        <f t="shared" si="54"/>
        <v/>
      </c>
      <c r="L453" s="21" t="str">
        <f t="shared" si="52"/>
        <v/>
      </c>
      <c r="R453" s="21" t="str">
        <f>IFERROR(INDEX(PACK!$C:$C,MATCH($P453,PACK!$A:$A,0)),"")</f>
        <v/>
      </c>
      <c r="S453" s="21" t="str">
        <f t="shared" si="55"/>
        <v/>
      </c>
    </row>
    <row r="454" spans="6:19" x14ac:dyDescent="0.25">
      <c r="F454" s="21" t="str">
        <f>IFERROR(INDEX(PACK!$C:$C,MATCH($A454,PACK!$A:$A,0)),"")</f>
        <v/>
      </c>
      <c r="G454" s="21" t="str">
        <f>IFERROR(INDEX(PACK!$D:$D,MATCH($A454,PACK!$A:$A,0)),"")</f>
        <v/>
      </c>
      <c r="H454" s="21" t="str">
        <f>IFERROR(INDEX(PACK!$E:$E,MATCH($A454,PACK!$A:$A,0)),"")</f>
        <v/>
      </c>
      <c r="I454" s="21" t="str">
        <f t="shared" si="53"/>
        <v/>
      </c>
      <c r="J454" s="21" t="str">
        <f t="shared" si="51"/>
        <v/>
      </c>
      <c r="K454" s="21" t="str">
        <f t="shared" si="54"/>
        <v/>
      </c>
      <c r="L454" s="21" t="str">
        <f t="shared" si="52"/>
        <v/>
      </c>
      <c r="R454" s="21" t="str">
        <f>IFERROR(INDEX(PACK!$C:$C,MATCH($P454,PACK!$A:$A,0)),"")</f>
        <v/>
      </c>
      <c r="S454" s="21" t="str">
        <f t="shared" si="55"/>
        <v/>
      </c>
    </row>
    <row r="455" spans="6:19" x14ac:dyDescent="0.25">
      <c r="F455" s="21" t="str">
        <f>IFERROR(INDEX(PACK!$C:$C,MATCH($A455,PACK!$A:$A,0)),"")</f>
        <v/>
      </c>
      <c r="G455" s="21" t="str">
        <f>IFERROR(INDEX(PACK!$D:$D,MATCH($A455,PACK!$A:$A,0)),"")</f>
        <v/>
      </c>
      <c r="H455" s="21" t="str">
        <f>IFERROR(INDEX(PACK!$E:$E,MATCH($A455,PACK!$A:$A,0)),"")</f>
        <v/>
      </c>
      <c r="I455" s="21" t="str">
        <f t="shared" si="53"/>
        <v/>
      </c>
      <c r="J455" s="21" t="str">
        <f t="shared" si="51"/>
        <v/>
      </c>
      <c r="K455" s="21" t="str">
        <f t="shared" si="54"/>
        <v/>
      </c>
      <c r="L455" s="21" t="str">
        <f t="shared" si="52"/>
        <v/>
      </c>
      <c r="R455" s="21" t="str">
        <f>IFERROR(INDEX(PACK!$C:$C,MATCH($P455,PACK!$A:$A,0)),"")</f>
        <v/>
      </c>
      <c r="S455" s="21" t="str">
        <f t="shared" si="55"/>
        <v/>
      </c>
    </row>
    <row r="456" spans="6:19" x14ac:dyDescent="0.25">
      <c r="F456" s="21" t="str">
        <f>IFERROR(INDEX(PACK!$C:$C,MATCH($A456,PACK!$A:$A,0)),"")</f>
        <v/>
      </c>
      <c r="G456" s="21" t="str">
        <f>IFERROR(INDEX(PACK!$D:$D,MATCH($A456,PACK!$A:$A,0)),"")</f>
        <v/>
      </c>
      <c r="H456" s="21" t="str">
        <f>IFERROR(INDEX(PACK!$E:$E,MATCH($A456,PACK!$A:$A,0)),"")</f>
        <v/>
      </c>
      <c r="I456" s="21" t="str">
        <f t="shared" si="53"/>
        <v/>
      </c>
      <c r="J456" s="21" t="str">
        <f t="shared" si="51"/>
        <v/>
      </c>
      <c r="K456" s="21" t="str">
        <f t="shared" si="54"/>
        <v/>
      </c>
      <c r="L456" s="21" t="str">
        <f t="shared" si="52"/>
        <v/>
      </c>
      <c r="R456" s="21" t="str">
        <f>IFERROR(INDEX(PACK!$C:$C,MATCH($P456,PACK!$A:$A,0)),"")</f>
        <v/>
      </c>
      <c r="S456" s="21" t="str">
        <f t="shared" si="55"/>
        <v/>
      </c>
    </row>
    <row r="457" spans="6:19" x14ac:dyDescent="0.25">
      <c r="F457" s="21" t="str">
        <f>IFERROR(INDEX(PACK!$C:$C,MATCH($A457,PACK!$A:$A,0)),"")</f>
        <v/>
      </c>
      <c r="G457" s="21" t="str">
        <f>IFERROR(INDEX(PACK!$D:$D,MATCH($A457,PACK!$A:$A,0)),"")</f>
        <v/>
      </c>
      <c r="H457" s="21" t="str">
        <f>IFERROR(INDEX(PACK!$E:$E,MATCH($A457,PACK!$A:$A,0)),"")</f>
        <v/>
      </c>
      <c r="I457" s="21" t="str">
        <f t="shared" si="53"/>
        <v/>
      </c>
      <c r="J457" s="21" t="str">
        <f t="shared" si="51"/>
        <v/>
      </c>
      <c r="K457" s="21" t="str">
        <f t="shared" si="54"/>
        <v/>
      </c>
      <c r="L457" s="21" t="str">
        <f t="shared" si="52"/>
        <v/>
      </c>
      <c r="R457" s="21" t="str">
        <f>IFERROR(INDEX(PACK!$C:$C,MATCH($P457,PACK!$A:$A,0)),"")</f>
        <v/>
      </c>
      <c r="S457" s="21" t="str">
        <f t="shared" si="55"/>
        <v/>
      </c>
    </row>
    <row r="458" spans="6:19" x14ac:dyDescent="0.25">
      <c r="F458" s="21" t="str">
        <f>IFERROR(INDEX(PACK!$C:$C,MATCH($A458,PACK!$A:$A,0)),"")</f>
        <v/>
      </c>
      <c r="G458" s="21" t="str">
        <f>IFERROR(INDEX(PACK!$D:$D,MATCH($A458,PACK!$A:$A,0)),"")</f>
        <v/>
      </c>
      <c r="H458" s="21" t="str">
        <f>IFERROR(INDEX(PACK!$E:$E,MATCH($A458,PACK!$A:$A,0)),"")</f>
        <v/>
      </c>
      <c r="I458" s="21" t="str">
        <f t="shared" si="53"/>
        <v/>
      </c>
      <c r="J458" s="21" t="str">
        <f t="shared" si="51"/>
        <v/>
      </c>
      <c r="K458" s="21" t="str">
        <f t="shared" si="54"/>
        <v/>
      </c>
      <c r="L458" s="21" t="str">
        <f t="shared" si="52"/>
        <v/>
      </c>
      <c r="R458" s="21" t="str">
        <f>IFERROR(INDEX(PACK!$C:$C,MATCH($P458,PACK!$A:$A,0)),"")</f>
        <v/>
      </c>
      <c r="S458" s="21" t="str">
        <f t="shared" si="55"/>
        <v/>
      </c>
    </row>
    <row r="459" spans="6:19" x14ac:dyDescent="0.25">
      <c r="F459" s="21" t="str">
        <f>IFERROR(INDEX(PACK!$C:$C,MATCH($A459,PACK!$A:$A,0)),"")</f>
        <v/>
      </c>
      <c r="G459" s="21" t="str">
        <f>IFERROR(INDEX(PACK!$D:$D,MATCH($A459,PACK!$A:$A,0)),"")</f>
        <v/>
      </c>
      <c r="H459" s="21" t="str">
        <f>IFERROR(INDEX(PACK!$E:$E,MATCH($A459,PACK!$A:$A,0)),"")</f>
        <v/>
      </c>
      <c r="I459" s="21" t="str">
        <f t="shared" si="53"/>
        <v/>
      </c>
      <c r="J459" s="21" t="str">
        <f t="shared" si="51"/>
        <v/>
      </c>
      <c r="K459" s="21" t="str">
        <f t="shared" si="54"/>
        <v/>
      </c>
      <c r="L459" s="21" t="str">
        <f t="shared" si="52"/>
        <v/>
      </c>
      <c r="R459" s="21" t="str">
        <f>IFERROR(INDEX(PACK!$C:$C,MATCH($P459,PACK!$A:$A,0)),"")</f>
        <v/>
      </c>
      <c r="S459" s="21" t="str">
        <f t="shared" si="55"/>
        <v/>
      </c>
    </row>
    <row r="460" spans="6:19" x14ac:dyDescent="0.25">
      <c r="F460" s="21" t="str">
        <f>IFERROR(INDEX(PACK!$C:$C,MATCH($A460,PACK!$A:$A,0)),"")</f>
        <v/>
      </c>
      <c r="G460" s="21" t="str">
        <f>IFERROR(INDEX(PACK!$D:$D,MATCH($A460,PACK!$A:$A,0)),"")</f>
        <v/>
      </c>
      <c r="H460" s="21" t="str">
        <f>IFERROR(INDEX(PACK!$E:$E,MATCH($A460,PACK!$A:$A,0)),"")</f>
        <v/>
      </c>
      <c r="I460" s="21" t="str">
        <f t="shared" si="53"/>
        <v/>
      </c>
      <c r="J460" s="21" t="str">
        <f t="shared" si="51"/>
        <v/>
      </c>
      <c r="K460" s="21" t="str">
        <f t="shared" si="54"/>
        <v/>
      </c>
      <c r="L460" s="21" t="str">
        <f t="shared" si="52"/>
        <v/>
      </c>
      <c r="R460" s="21" t="str">
        <f>IFERROR(INDEX(PACK!$C:$C,MATCH($P460,PACK!$A:$A,0)),"")</f>
        <v/>
      </c>
      <c r="S460" s="21" t="str">
        <f t="shared" si="55"/>
        <v/>
      </c>
    </row>
    <row r="461" spans="6:19" x14ac:dyDescent="0.25">
      <c r="F461" s="21" t="str">
        <f>IFERROR(INDEX(PACK!$C:$C,MATCH($A461,PACK!$A:$A,0)),"")</f>
        <v/>
      </c>
      <c r="G461" s="21" t="str">
        <f>IFERROR(INDEX(PACK!$D:$D,MATCH($A461,PACK!$A:$A,0)),"")</f>
        <v/>
      </c>
      <c r="H461" s="21" t="str">
        <f>IFERROR(INDEX(PACK!$E:$E,MATCH($A461,PACK!$A:$A,0)),"")</f>
        <v/>
      </c>
      <c r="I461" s="21" t="str">
        <f t="shared" si="53"/>
        <v/>
      </c>
      <c r="J461" s="21" t="str">
        <f t="shared" si="51"/>
        <v/>
      </c>
      <c r="K461" s="21" t="str">
        <f t="shared" si="54"/>
        <v/>
      </c>
      <c r="L461" s="21" t="str">
        <f t="shared" si="52"/>
        <v/>
      </c>
      <c r="R461" s="21" t="str">
        <f>IFERROR(INDEX(PACK!$C:$C,MATCH($P461,PACK!$A:$A,0)),"")</f>
        <v/>
      </c>
      <c r="S461" s="21" t="str">
        <f t="shared" si="55"/>
        <v/>
      </c>
    </row>
    <row r="462" spans="6:19" x14ac:dyDescent="0.25">
      <c r="F462" s="21" t="str">
        <f>IFERROR(INDEX(PACK!$C:$C,MATCH($A462,PACK!$A:$A,0)),"")</f>
        <v/>
      </c>
      <c r="G462" s="21" t="str">
        <f>IFERROR(INDEX(PACK!$D:$D,MATCH($A462,PACK!$A:$A,0)),"")</f>
        <v/>
      </c>
      <c r="H462" s="21" t="str">
        <f>IFERROR(INDEX(PACK!$E:$E,MATCH($A462,PACK!$A:$A,0)),"")</f>
        <v/>
      </c>
      <c r="I462" s="21" t="str">
        <f t="shared" si="53"/>
        <v/>
      </c>
      <c r="J462" s="21" t="str">
        <f t="shared" si="51"/>
        <v/>
      </c>
      <c r="K462" s="21" t="str">
        <f t="shared" si="54"/>
        <v/>
      </c>
      <c r="L462" s="21" t="str">
        <f t="shared" si="52"/>
        <v/>
      </c>
      <c r="R462" s="21" t="str">
        <f>IFERROR(INDEX(PACK!$C:$C,MATCH($P462,PACK!$A:$A,0)),"")</f>
        <v/>
      </c>
      <c r="S462" s="21" t="str">
        <f t="shared" si="55"/>
        <v/>
      </c>
    </row>
    <row r="463" spans="6:19" x14ac:dyDescent="0.25">
      <c r="F463" s="21" t="str">
        <f>IFERROR(INDEX(PACK!$C:$C,MATCH($A463,PACK!$A:$A,0)),"")</f>
        <v/>
      </c>
      <c r="G463" s="21" t="str">
        <f>IFERROR(INDEX(PACK!$D:$D,MATCH($A463,PACK!$A:$A,0)),"")</f>
        <v/>
      </c>
      <c r="H463" s="21" t="str">
        <f>IFERROR(INDEX(PACK!$E:$E,MATCH($A463,PACK!$A:$A,0)),"")</f>
        <v/>
      </c>
      <c r="I463" s="21" t="str">
        <f t="shared" si="53"/>
        <v/>
      </c>
      <c r="J463" s="21" t="str">
        <f t="shared" si="51"/>
        <v/>
      </c>
      <c r="K463" s="21" t="str">
        <f t="shared" si="54"/>
        <v/>
      </c>
      <c r="L463" s="21" t="str">
        <f t="shared" si="52"/>
        <v/>
      </c>
      <c r="R463" s="21" t="str">
        <f>IFERROR(INDEX(PACK!$C:$C,MATCH($P463,PACK!$A:$A,0)),"")</f>
        <v/>
      </c>
      <c r="S463" s="21" t="str">
        <f t="shared" si="55"/>
        <v/>
      </c>
    </row>
    <row r="464" spans="6:19" x14ac:dyDescent="0.25">
      <c r="F464" s="21" t="str">
        <f>IFERROR(INDEX(PACK!$C:$C,MATCH($A464,PACK!$A:$A,0)),"")</f>
        <v/>
      </c>
      <c r="G464" s="21" t="str">
        <f>IFERROR(INDEX(PACK!$D:$D,MATCH($A464,PACK!$A:$A,0)),"")</f>
        <v/>
      </c>
      <c r="H464" s="21" t="str">
        <f>IFERROR(INDEX(PACK!$E:$E,MATCH($A464,PACK!$A:$A,0)),"")</f>
        <v/>
      </c>
      <c r="I464" s="21" t="str">
        <f t="shared" si="53"/>
        <v/>
      </c>
      <c r="J464" s="21" t="str">
        <f t="shared" si="51"/>
        <v/>
      </c>
      <c r="K464" s="21" t="str">
        <f t="shared" si="54"/>
        <v/>
      </c>
      <c r="L464" s="21" t="str">
        <f t="shared" si="52"/>
        <v/>
      </c>
      <c r="R464" s="21" t="str">
        <f>IFERROR(INDEX(PACK!$C:$C,MATCH($P464,PACK!$A:$A,0)),"")</f>
        <v/>
      </c>
      <c r="S464" s="21" t="str">
        <f t="shared" si="55"/>
        <v/>
      </c>
    </row>
    <row r="465" spans="6:19" x14ac:dyDescent="0.25">
      <c r="F465" s="21" t="str">
        <f>IFERROR(INDEX(PACK!$C:$C,MATCH($A465,PACK!$A:$A,0)),"")</f>
        <v/>
      </c>
      <c r="G465" s="21" t="str">
        <f>IFERROR(INDEX(PACK!$D:$D,MATCH($A465,PACK!$A:$A,0)),"")</f>
        <v/>
      </c>
      <c r="H465" s="21" t="str">
        <f>IFERROR(INDEX(PACK!$E:$E,MATCH($A465,PACK!$A:$A,0)),"")</f>
        <v/>
      </c>
      <c r="I465" s="21" t="str">
        <f t="shared" si="53"/>
        <v/>
      </c>
      <c r="J465" s="21" t="str">
        <f t="shared" si="51"/>
        <v/>
      </c>
      <c r="K465" s="21" t="str">
        <f t="shared" si="54"/>
        <v/>
      </c>
      <c r="L465" s="21" t="str">
        <f t="shared" si="52"/>
        <v/>
      </c>
      <c r="R465" s="21" t="str">
        <f>IFERROR(INDEX(PACK!$C:$C,MATCH($P465,PACK!$A:$A,0)),"")</f>
        <v/>
      </c>
      <c r="S465" s="21" t="str">
        <f t="shared" si="55"/>
        <v/>
      </c>
    </row>
    <row r="466" spans="6:19" x14ac:dyDescent="0.25">
      <c r="F466" s="21" t="str">
        <f>IFERROR(INDEX(PACK!$C:$C,MATCH($A466,PACK!$A:$A,0)),"")</f>
        <v/>
      </c>
      <c r="G466" s="21" t="str">
        <f>IFERROR(INDEX(PACK!$D:$D,MATCH($A466,PACK!$A:$A,0)),"")</f>
        <v/>
      </c>
      <c r="H466" s="21" t="str">
        <f>IFERROR(INDEX(PACK!$E:$E,MATCH($A466,PACK!$A:$A,0)),"")</f>
        <v/>
      </c>
      <c r="I466" s="21" t="str">
        <f t="shared" si="53"/>
        <v/>
      </c>
      <c r="J466" s="21" t="str">
        <f t="shared" si="51"/>
        <v/>
      </c>
      <c r="K466" s="21" t="str">
        <f t="shared" si="54"/>
        <v/>
      </c>
      <c r="L466" s="21" t="str">
        <f t="shared" si="52"/>
        <v/>
      </c>
      <c r="R466" s="21" t="str">
        <f>IFERROR(INDEX(PACK!$C:$C,MATCH($P466,PACK!$A:$A,0)),"")</f>
        <v/>
      </c>
      <c r="S466" s="21" t="str">
        <f t="shared" si="55"/>
        <v/>
      </c>
    </row>
    <row r="467" spans="6:19" x14ac:dyDescent="0.25">
      <c r="F467" s="21" t="str">
        <f>IFERROR(INDEX(PACK!$C:$C,MATCH($A467,PACK!$A:$A,0)),"")</f>
        <v/>
      </c>
      <c r="G467" s="21" t="str">
        <f>IFERROR(INDEX(PACK!$D:$D,MATCH($A467,PACK!$A:$A,0)),"")</f>
        <v/>
      </c>
      <c r="H467" s="21" t="str">
        <f>IFERROR(INDEX(PACK!$E:$E,MATCH($A467,PACK!$A:$A,0)),"")</f>
        <v/>
      </c>
      <c r="I467" s="21" t="str">
        <f t="shared" si="53"/>
        <v/>
      </c>
      <c r="J467" s="21" t="str">
        <f t="shared" si="51"/>
        <v/>
      </c>
      <c r="K467" s="21" t="str">
        <f t="shared" si="54"/>
        <v/>
      </c>
      <c r="L467" s="21" t="str">
        <f t="shared" si="52"/>
        <v/>
      </c>
      <c r="R467" s="21" t="str">
        <f>IFERROR(INDEX(PACK!$C:$C,MATCH($P467,PACK!$A:$A,0)),"")</f>
        <v/>
      </c>
      <c r="S467" s="21" t="str">
        <f t="shared" si="55"/>
        <v/>
      </c>
    </row>
    <row r="468" spans="6:19" x14ac:dyDescent="0.25">
      <c r="F468" s="21" t="str">
        <f>IFERROR(INDEX(PACK!$C:$C,MATCH($A468,PACK!$A:$A,0)),"")</f>
        <v/>
      </c>
      <c r="G468" s="21" t="str">
        <f>IFERROR(INDEX(PACK!$D:$D,MATCH($A468,PACK!$A:$A,0)),"")</f>
        <v/>
      </c>
      <c r="H468" s="21" t="str">
        <f>IFERROR(INDEX(PACK!$E:$E,MATCH($A468,PACK!$A:$A,0)),"")</f>
        <v/>
      </c>
      <c r="I468" s="21" t="str">
        <f t="shared" si="53"/>
        <v/>
      </c>
      <c r="J468" s="21" t="str">
        <f t="shared" si="51"/>
        <v/>
      </c>
      <c r="K468" s="21" t="str">
        <f t="shared" si="54"/>
        <v/>
      </c>
      <c r="L468" s="21" t="str">
        <f t="shared" si="52"/>
        <v/>
      </c>
      <c r="R468" s="21" t="str">
        <f>IFERROR(INDEX(PACK!$C:$C,MATCH($P468,PACK!$A:$A,0)),"")</f>
        <v/>
      </c>
      <c r="S468" s="21" t="str">
        <f t="shared" si="55"/>
        <v/>
      </c>
    </row>
    <row r="469" spans="6:19" x14ac:dyDescent="0.25">
      <c r="F469" s="21" t="str">
        <f>IFERROR(INDEX(PACK!$C:$C,MATCH($A469,PACK!$A:$A,0)),"")</f>
        <v/>
      </c>
      <c r="G469" s="21" t="str">
        <f>IFERROR(INDEX(PACK!$D:$D,MATCH($A469,PACK!$A:$A,0)),"")</f>
        <v/>
      </c>
      <c r="H469" s="21" t="str">
        <f>IFERROR(INDEX(PACK!$E:$E,MATCH($A469,PACK!$A:$A,0)),"")</f>
        <v/>
      </c>
      <c r="I469" s="21" t="str">
        <f t="shared" si="53"/>
        <v/>
      </c>
      <c r="J469" s="21" t="str">
        <f t="shared" si="51"/>
        <v/>
      </c>
      <c r="K469" s="21" t="str">
        <f t="shared" si="54"/>
        <v/>
      </c>
      <c r="L469" s="21" t="str">
        <f t="shared" si="52"/>
        <v/>
      </c>
      <c r="R469" s="21" t="str">
        <f>IFERROR(INDEX(PACK!$C:$C,MATCH($P469,PACK!$A:$A,0)),"")</f>
        <v/>
      </c>
      <c r="S469" s="21" t="str">
        <f t="shared" si="55"/>
        <v/>
      </c>
    </row>
    <row r="470" spans="6:19" x14ac:dyDescent="0.25">
      <c r="F470" s="21" t="str">
        <f>IFERROR(INDEX(PACK!$C:$C,MATCH($A470,PACK!$A:$A,0)),"")</f>
        <v/>
      </c>
      <c r="G470" s="21" t="str">
        <f>IFERROR(INDEX(PACK!$D:$D,MATCH($A470,PACK!$A:$A,0)),"")</f>
        <v/>
      </c>
      <c r="H470" s="21" t="str">
        <f>IFERROR(INDEX(PACK!$E:$E,MATCH($A470,PACK!$A:$A,0)),"")</f>
        <v/>
      </c>
      <c r="I470" s="21" t="str">
        <f t="shared" si="53"/>
        <v/>
      </c>
      <c r="J470" s="21" t="str">
        <f t="shared" si="51"/>
        <v/>
      </c>
      <c r="K470" s="21" t="str">
        <f t="shared" si="54"/>
        <v/>
      </c>
      <c r="L470" s="21" t="str">
        <f t="shared" si="52"/>
        <v/>
      </c>
      <c r="R470" s="21" t="str">
        <f>IFERROR(INDEX(PACK!$C:$C,MATCH($P470,PACK!$A:$A,0)),"")</f>
        <v/>
      </c>
      <c r="S470" s="21" t="str">
        <f t="shared" si="55"/>
        <v/>
      </c>
    </row>
    <row r="471" spans="6:19" x14ac:dyDescent="0.25">
      <c r="F471" s="21" t="str">
        <f>IFERROR(INDEX(PACK!$C:$C,MATCH($A471,PACK!$A:$A,0)),"")</f>
        <v/>
      </c>
      <c r="G471" s="21" t="str">
        <f>IFERROR(INDEX(PACK!$D:$D,MATCH($A471,PACK!$A:$A,0)),"")</f>
        <v/>
      </c>
      <c r="H471" s="21" t="str">
        <f>IFERROR(INDEX(PACK!$E:$E,MATCH($A471,PACK!$A:$A,0)),"")</f>
        <v/>
      </c>
      <c r="I471" s="21" t="str">
        <f t="shared" si="53"/>
        <v/>
      </c>
      <c r="J471" s="21" t="str">
        <f t="shared" ref="J471:J499" si="56">IFERROR(ROUNDDOWN(C471/G471,0),"")</f>
        <v/>
      </c>
      <c r="K471" s="21" t="str">
        <f t="shared" si="54"/>
        <v/>
      </c>
      <c r="L471" s="21" t="str">
        <f t="shared" ref="L471:L499" si="57">IFERROR(K471*F471,"")</f>
        <v/>
      </c>
      <c r="R471" s="21" t="str">
        <f>IFERROR(INDEX(PACK!$C:$C,MATCH($P471,PACK!$A:$A,0)),"")</f>
        <v/>
      </c>
      <c r="S471" s="21" t="str">
        <f t="shared" si="55"/>
        <v/>
      </c>
    </row>
    <row r="472" spans="6:19" x14ac:dyDescent="0.25">
      <c r="F472" s="21" t="str">
        <f>IFERROR(INDEX(PACK!$C:$C,MATCH($A472,PACK!$A:$A,0)),"")</f>
        <v/>
      </c>
      <c r="G472" s="21" t="str">
        <f>IFERROR(INDEX(PACK!$D:$D,MATCH($A472,PACK!$A:$A,0)),"")</f>
        <v/>
      </c>
      <c r="H472" s="21" t="str">
        <f>IFERROR(INDEX(PACK!$E:$E,MATCH($A472,PACK!$A:$A,0)),"")</f>
        <v/>
      </c>
      <c r="I472" s="21" t="str">
        <f t="shared" si="53"/>
        <v/>
      </c>
      <c r="J472" s="21" t="str">
        <f t="shared" si="56"/>
        <v/>
      </c>
      <c r="K472" s="21" t="str">
        <f t="shared" si="54"/>
        <v/>
      </c>
      <c r="L472" s="21" t="str">
        <f t="shared" si="57"/>
        <v/>
      </c>
      <c r="R472" s="21" t="str">
        <f>IFERROR(INDEX(PACK!$C:$C,MATCH($P472,PACK!$A:$A,0)),"")</f>
        <v/>
      </c>
      <c r="S472" s="21" t="str">
        <f t="shared" si="55"/>
        <v/>
      </c>
    </row>
    <row r="473" spans="6:19" x14ac:dyDescent="0.25">
      <c r="F473" s="21" t="str">
        <f>IFERROR(INDEX(PACK!$C:$C,MATCH($A473,PACK!$A:$A,0)),"")</f>
        <v/>
      </c>
      <c r="G473" s="21" t="str">
        <f>IFERROR(INDEX(PACK!$D:$D,MATCH($A473,PACK!$A:$A,0)),"")</f>
        <v/>
      </c>
      <c r="H473" s="21" t="str">
        <f>IFERROR(INDEX(PACK!$E:$E,MATCH($A473,PACK!$A:$A,0)),"")</f>
        <v/>
      </c>
      <c r="I473" s="21" t="str">
        <f t="shared" si="53"/>
        <v/>
      </c>
      <c r="J473" s="21" t="str">
        <f t="shared" si="56"/>
        <v/>
      </c>
      <c r="K473" s="21" t="str">
        <f t="shared" si="54"/>
        <v/>
      </c>
      <c r="L473" s="21" t="str">
        <f t="shared" si="57"/>
        <v/>
      </c>
      <c r="R473" s="21" t="str">
        <f>IFERROR(INDEX(PACK!$C:$C,MATCH($P473,PACK!$A:$A,0)),"")</f>
        <v/>
      </c>
      <c r="S473" s="21" t="str">
        <f t="shared" si="55"/>
        <v/>
      </c>
    </row>
    <row r="474" spans="6:19" x14ac:dyDescent="0.25">
      <c r="F474" s="21" t="str">
        <f>IFERROR(INDEX(PACK!$C:$C,MATCH($A474,PACK!$A:$A,0)),"")</f>
        <v/>
      </c>
      <c r="G474" s="21" t="str">
        <f>IFERROR(INDEX(PACK!$D:$D,MATCH($A474,PACK!$A:$A,0)),"")</f>
        <v/>
      </c>
      <c r="H474" s="21" t="str">
        <f>IFERROR(INDEX(PACK!$E:$E,MATCH($A474,PACK!$A:$A,0)),"")</f>
        <v/>
      </c>
      <c r="I474" s="21" t="str">
        <f t="shared" si="53"/>
        <v/>
      </c>
      <c r="J474" s="21" t="str">
        <f t="shared" si="56"/>
        <v/>
      </c>
      <c r="K474" s="21" t="str">
        <f t="shared" si="54"/>
        <v/>
      </c>
      <c r="L474" s="21" t="str">
        <f t="shared" si="57"/>
        <v/>
      </c>
      <c r="R474" s="21" t="str">
        <f>IFERROR(INDEX(PACK!$C:$C,MATCH($P474,PACK!$A:$A,0)),"")</f>
        <v/>
      </c>
      <c r="S474" s="21" t="str">
        <f t="shared" si="55"/>
        <v/>
      </c>
    </row>
    <row r="475" spans="6:19" x14ac:dyDescent="0.25">
      <c r="F475" s="21" t="str">
        <f>IFERROR(INDEX(PACK!$C:$C,MATCH($A475,PACK!$A:$A,0)),"")</f>
        <v/>
      </c>
      <c r="G475" s="21" t="str">
        <f>IFERROR(INDEX(PACK!$D:$D,MATCH($A475,PACK!$A:$A,0)),"")</f>
        <v/>
      </c>
      <c r="H475" s="21" t="str">
        <f>IFERROR(INDEX(PACK!$E:$E,MATCH($A475,PACK!$A:$A,0)),"")</f>
        <v/>
      </c>
      <c r="I475" s="21" t="str">
        <f t="shared" si="53"/>
        <v/>
      </c>
      <c r="J475" s="21" t="str">
        <f t="shared" si="56"/>
        <v/>
      </c>
      <c r="K475" s="21" t="str">
        <f t="shared" si="54"/>
        <v/>
      </c>
      <c r="L475" s="21" t="str">
        <f t="shared" si="57"/>
        <v/>
      </c>
      <c r="R475" s="21" t="str">
        <f>IFERROR(INDEX(PACK!$C:$C,MATCH($P475,PACK!$A:$A,0)),"")</f>
        <v/>
      </c>
      <c r="S475" s="21" t="str">
        <f t="shared" si="55"/>
        <v/>
      </c>
    </row>
    <row r="476" spans="6:19" x14ac:dyDescent="0.25">
      <c r="F476" s="21" t="str">
        <f>IFERROR(INDEX(PACK!$C:$C,MATCH($A476,PACK!$A:$A,0)),"")</f>
        <v/>
      </c>
      <c r="G476" s="21" t="str">
        <f>IFERROR(INDEX(PACK!$D:$D,MATCH($A476,PACK!$A:$A,0)),"")</f>
        <v/>
      </c>
      <c r="H476" s="21" t="str">
        <f>IFERROR(INDEX(PACK!$E:$E,MATCH($A476,PACK!$A:$A,0)),"")</f>
        <v/>
      </c>
      <c r="I476" s="21" t="str">
        <f t="shared" si="53"/>
        <v/>
      </c>
      <c r="J476" s="21" t="str">
        <f t="shared" si="56"/>
        <v/>
      </c>
      <c r="K476" s="21" t="str">
        <f t="shared" si="54"/>
        <v/>
      </c>
      <c r="L476" s="21" t="str">
        <f t="shared" si="57"/>
        <v/>
      </c>
      <c r="R476" s="21" t="str">
        <f>IFERROR(INDEX(PACK!$C:$C,MATCH($P476,PACK!$A:$A,0)),"")</f>
        <v/>
      </c>
      <c r="S476" s="21" t="str">
        <f t="shared" si="55"/>
        <v/>
      </c>
    </row>
    <row r="477" spans="6:19" x14ac:dyDescent="0.25">
      <c r="F477" s="21" t="str">
        <f>IFERROR(INDEX(PACK!$C:$C,MATCH($A477,PACK!$A:$A,0)),"")</f>
        <v/>
      </c>
      <c r="G477" s="21" t="str">
        <f>IFERROR(INDEX(PACK!$D:$D,MATCH($A477,PACK!$A:$A,0)),"")</f>
        <v/>
      </c>
      <c r="H477" s="21" t="str">
        <f>IFERROR(INDEX(PACK!$E:$E,MATCH($A477,PACK!$A:$A,0)),"")</f>
        <v/>
      </c>
      <c r="I477" s="21" t="str">
        <f t="shared" si="53"/>
        <v/>
      </c>
      <c r="J477" s="21" t="str">
        <f t="shared" si="56"/>
        <v/>
      </c>
      <c r="K477" s="21" t="str">
        <f t="shared" si="54"/>
        <v/>
      </c>
      <c r="L477" s="21" t="str">
        <f t="shared" si="57"/>
        <v/>
      </c>
      <c r="R477" s="21" t="str">
        <f>IFERROR(INDEX(PACK!$C:$C,MATCH($P477,PACK!$A:$A,0)),"")</f>
        <v/>
      </c>
      <c r="S477" s="21" t="str">
        <f t="shared" si="55"/>
        <v/>
      </c>
    </row>
    <row r="478" spans="6:19" x14ac:dyDescent="0.25">
      <c r="F478" s="21" t="str">
        <f>IFERROR(INDEX(PACK!$C:$C,MATCH($A478,PACK!$A:$A,0)),"")</f>
        <v/>
      </c>
      <c r="G478" s="21" t="str">
        <f>IFERROR(INDEX(PACK!$D:$D,MATCH($A478,PACK!$A:$A,0)),"")</f>
        <v/>
      </c>
      <c r="H478" s="21" t="str">
        <f>IFERROR(INDEX(PACK!$E:$E,MATCH($A478,PACK!$A:$A,0)),"")</f>
        <v/>
      </c>
      <c r="I478" s="21" t="str">
        <f t="shared" si="53"/>
        <v/>
      </c>
      <c r="J478" s="21" t="str">
        <f t="shared" si="56"/>
        <v/>
      </c>
      <c r="K478" s="21" t="str">
        <f t="shared" si="54"/>
        <v/>
      </c>
      <c r="L478" s="21" t="str">
        <f t="shared" si="57"/>
        <v/>
      </c>
      <c r="R478" s="21" t="str">
        <f>IFERROR(INDEX(PACK!$C:$C,MATCH($P478,PACK!$A:$A,0)),"")</f>
        <v/>
      </c>
      <c r="S478" s="21" t="str">
        <f t="shared" si="55"/>
        <v/>
      </c>
    </row>
    <row r="479" spans="6:19" x14ac:dyDescent="0.25">
      <c r="F479" s="21" t="str">
        <f>IFERROR(INDEX(PACK!$C:$C,MATCH($A479,PACK!$A:$A,0)),"")</f>
        <v/>
      </c>
      <c r="G479" s="21" t="str">
        <f>IFERROR(INDEX(PACK!$D:$D,MATCH($A479,PACK!$A:$A,0)),"")</f>
        <v/>
      </c>
      <c r="H479" s="21" t="str">
        <f>IFERROR(INDEX(PACK!$E:$E,MATCH($A479,PACK!$A:$A,0)),"")</f>
        <v/>
      </c>
      <c r="I479" s="21" t="str">
        <f t="shared" si="53"/>
        <v/>
      </c>
      <c r="J479" s="21" t="str">
        <f t="shared" si="56"/>
        <v/>
      </c>
      <c r="K479" s="21" t="str">
        <f t="shared" si="54"/>
        <v/>
      </c>
      <c r="L479" s="21" t="str">
        <f t="shared" si="57"/>
        <v/>
      </c>
      <c r="R479" s="21" t="str">
        <f>IFERROR(INDEX(PACK!$C:$C,MATCH($P479,PACK!$A:$A,0)),"")</f>
        <v/>
      </c>
      <c r="S479" s="21" t="str">
        <f t="shared" si="55"/>
        <v/>
      </c>
    </row>
    <row r="480" spans="6:19" x14ac:dyDescent="0.25">
      <c r="F480" s="21" t="str">
        <f>IFERROR(INDEX(PACK!$C:$C,MATCH($A480,PACK!$A:$A,0)),"")</f>
        <v/>
      </c>
      <c r="G480" s="21" t="str">
        <f>IFERROR(INDEX(PACK!$D:$D,MATCH($A480,PACK!$A:$A,0)),"")</f>
        <v/>
      </c>
      <c r="H480" s="21" t="str">
        <f>IFERROR(INDEX(PACK!$E:$E,MATCH($A480,PACK!$A:$A,0)),"")</f>
        <v/>
      </c>
      <c r="I480" s="21" t="str">
        <f t="shared" si="53"/>
        <v/>
      </c>
      <c r="J480" s="21" t="str">
        <f t="shared" si="56"/>
        <v/>
      </c>
      <c r="K480" s="21" t="str">
        <f t="shared" si="54"/>
        <v/>
      </c>
      <c r="L480" s="21" t="str">
        <f t="shared" si="57"/>
        <v/>
      </c>
      <c r="R480" s="21" t="str">
        <f>IFERROR(INDEX(PACK!$C:$C,MATCH($P480,PACK!$A:$A,0)),"")</f>
        <v/>
      </c>
      <c r="S480" s="21" t="str">
        <f t="shared" si="55"/>
        <v/>
      </c>
    </row>
    <row r="481" spans="6:19" x14ac:dyDescent="0.25">
      <c r="F481" s="21" t="str">
        <f>IFERROR(INDEX(PACK!$C:$C,MATCH($A481,PACK!$A:$A,0)),"")</f>
        <v/>
      </c>
      <c r="G481" s="21" t="str">
        <f>IFERROR(INDEX(PACK!$D:$D,MATCH($A481,PACK!$A:$A,0)),"")</f>
        <v/>
      </c>
      <c r="H481" s="21" t="str">
        <f>IFERROR(INDEX(PACK!$E:$E,MATCH($A481,PACK!$A:$A,0)),"")</f>
        <v/>
      </c>
      <c r="I481" s="21" t="str">
        <f t="shared" si="53"/>
        <v/>
      </c>
      <c r="J481" s="21" t="str">
        <f t="shared" si="56"/>
        <v/>
      </c>
      <c r="K481" s="21" t="str">
        <f t="shared" si="54"/>
        <v/>
      </c>
      <c r="L481" s="21" t="str">
        <f t="shared" si="57"/>
        <v/>
      </c>
      <c r="R481" s="21" t="str">
        <f>IFERROR(INDEX(PACK!$C:$C,MATCH($P481,PACK!$A:$A,0)),"")</f>
        <v/>
      </c>
      <c r="S481" s="21" t="str">
        <f t="shared" si="55"/>
        <v/>
      </c>
    </row>
    <row r="482" spans="6:19" x14ac:dyDescent="0.25">
      <c r="F482" s="21" t="str">
        <f>IFERROR(INDEX(PACK!$C:$C,MATCH($A482,PACK!$A:$A,0)),"")</f>
        <v/>
      </c>
      <c r="G482" s="21" t="str">
        <f>IFERROR(INDEX(PACK!$D:$D,MATCH($A482,PACK!$A:$A,0)),"")</f>
        <v/>
      </c>
      <c r="H482" s="21" t="str">
        <f>IFERROR(INDEX(PACK!$E:$E,MATCH($A482,PACK!$A:$A,0)),"")</f>
        <v/>
      </c>
      <c r="I482" s="21" t="str">
        <f t="shared" si="53"/>
        <v/>
      </c>
      <c r="J482" s="21" t="str">
        <f t="shared" si="56"/>
        <v/>
      </c>
      <c r="K482" s="21" t="str">
        <f t="shared" si="54"/>
        <v/>
      </c>
      <c r="L482" s="21" t="str">
        <f t="shared" si="57"/>
        <v/>
      </c>
      <c r="R482" s="21" t="str">
        <f>IFERROR(INDEX(PACK!$C:$C,MATCH($P482,PACK!$A:$A,0)),"")</f>
        <v/>
      </c>
      <c r="S482" s="21" t="str">
        <f t="shared" si="55"/>
        <v/>
      </c>
    </row>
    <row r="483" spans="6:19" x14ac:dyDescent="0.25">
      <c r="F483" s="21" t="str">
        <f>IFERROR(INDEX(PACK!$C:$C,MATCH($A483,PACK!$A:$A,0)),"")</f>
        <v/>
      </c>
      <c r="G483" s="21" t="str">
        <f>IFERROR(INDEX(PACK!$D:$D,MATCH($A483,PACK!$A:$A,0)),"")</f>
        <v/>
      </c>
      <c r="H483" s="21" t="str">
        <f>IFERROR(INDEX(PACK!$E:$E,MATCH($A483,PACK!$A:$A,0)),"")</f>
        <v/>
      </c>
      <c r="I483" s="21" t="str">
        <f t="shared" si="53"/>
        <v/>
      </c>
      <c r="J483" s="21" t="str">
        <f t="shared" si="56"/>
        <v/>
      </c>
      <c r="K483" s="21" t="str">
        <f t="shared" si="54"/>
        <v/>
      </c>
      <c r="L483" s="21" t="str">
        <f t="shared" si="57"/>
        <v/>
      </c>
      <c r="R483" s="21" t="str">
        <f>IFERROR(INDEX(PACK!$C:$C,MATCH($P483,PACK!$A:$A,0)),"")</f>
        <v/>
      </c>
      <c r="S483" s="21" t="str">
        <f t="shared" si="55"/>
        <v/>
      </c>
    </row>
    <row r="484" spans="6:19" x14ac:dyDescent="0.25">
      <c r="F484" s="21" t="str">
        <f>IFERROR(INDEX(PACK!$C:$C,MATCH($A484,PACK!$A:$A,0)),"")</f>
        <v/>
      </c>
      <c r="G484" s="21" t="str">
        <f>IFERROR(INDEX(PACK!$D:$D,MATCH($A484,PACK!$A:$A,0)),"")</f>
        <v/>
      </c>
      <c r="H484" s="21" t="str">
        <f>IFERROR(INDEX(PACK!$E:$E,MATCH($A484,PACK!$A:$A,0)),"")</f>
        <v/>
      </c>
      <c r="I484" s="21" t="str">
        <f t="shared" si="53"/>
        <v/>
      </c>
      <c r="J484" s="21" t="str">
        <f t="shared" si="56"/>
        <v/>
      </c>
      <c r="K484" s="21" t="str">
        <f t="shared" si="54"/>
        <v/>
      </c>
      <c r="L484" s="21" t="str">
        <f t="shared" si="57"/>
        <v/>
      </c>
      <c r="R484" s="21" t="str">
        <f>IFERROR(INDEX(PACK!$C:$C,MATCH($P484,PACK!$A:$A,0)),"")</f>
        <v/>
      </c>
      <c r="S484" s="21" t="str">
        <f t="shared" si="55"/>
        <v/>
      </c>
    </row>
    <row r="485" spans="6:19" x14ac:dyDescent="0.25">
      <c r="F485" s="21" t="str">
        <f>IFERROR(INDEX(PACK!$C:$C,MATCH($A485,PACK!$A:$A,0)),"")</f>
        <v/>
      </c>
      <c r="G485" s="21" t="str">
        <f>IFERROR(INDEX(PACK!$D:$D,MATCH($A485,PACK!$A:$A,0)),"")</f>
        <v/>
      </c>
      <c r="H485" s="21" t="str">
        <f>IFERROR(INDEX(PACK!$E:$E,MATCH($A485,PACK!$A:$A,0)),"")</f>
        <v/>
      </c>
      <c r="I485" s="21" t="str">
        <f t="shared" si="53"/>
        <v/>
      </c>
      <c r="J485" s="21" t="str">
        <f t="shared" si="56"/>
        <v/>
      </c>
      <c r="K485" s="21" t="str">
        <f t="shared" si="54"/>
        <v/>
      </c>
      <c r="L485" s="21" t="str">
        <f t="shared" si="57"/>
        <v/>
      </c>
      <c r="R485" s="21" t="str">
        <f>IFERROR(INDEX(PACK!$C:$C,MATCH($P485,PACK!$A:$A,0)),"")</f>
        <v/>
      </c>
      <c r="S485" s="21" t="str">
        <f t="shared" si="55"/>
        <v/>
      </c>
    </row>
    <row r="486" spans="6:19" x14ac:dyDescent="0.25">
      <c r="F486" s="21" t="str">
        <f>IFERROR(INDEX(PACK!$C:$C,MATCH($A486,PACK!$A:$A,0)),"")</f>
        <v/>
      </c>
      <c r="G486" s="21" t="str">
        <f>IFERROR(INDEX(PACK!$D:$D,MATCH($A486,PACK!$A:$A,0)),"")</f>
        <v/>
      </c>
      <c r="H486" s="21" t="str">
        <f>IFERROR(INDEX(PACK!$E:$E,MATCH($A486,PACK!$A:$A,0)),"")</f>
        <v/>
      </c>
      <c r="I486" s="21" t="str">
        <f t="shared" si="53"/>
        <v/>
      </c>
      <c r="J486" s="21" t="str">
        <f t="shared" si="56"/>
        <v/>
      </c>
      <c r="K486" s="21" t="str">
        <f t="shared" si="54"/>
        <v/>
      </c>
      <c r="L486" s="21" t="str">
        <f t="shared" si="57"/>
        <v/>
      </c>
      <c r="R486" s="21" t="str">
        <f>IFERROR(INDEX(PACK!$C:$C,MATCH($P486,PACK!$A:$A,0)),"")</f>
        <v/>
      </c>
      <c r="S486" s="21" t="str">
        <f t="shared" si="55"/>
        <v/>
      </c>
    </row>
    <row r="487" spans="6:19" x14ac:dyDescent="0.25">
      <c r="F487" s="21" t="str">
        <f>IFERROR(INDEX(PACK!$C:$C,MATCH($A487,PACK!$A:$A,0)),"")</f>
        <v/>
      </c>
      <c r="G487" s="21" t="str">
        <f>IFERROR(INDEX(PACK!$D:$D,MATCH($A487,PACK!$A:$A,0)),"")</f>
        <v/>
      </c>
      <c r="H487" s="21" t="str">
        <f>IFERROR(INDEX(PACK!$E:$E,MATCH($A487,PACK!$A:$A,0)),"")</f>
        <v/>
      </c>
      <c r="I487" s="21" t="str">
        <f t="shared" si="53"/>
        <v/>
      </c>
      <c r="J487" s="21" t="str">
        <f t="shared" si="56"/>
        <v/>
      </c>
      <c r="K487" s="21" t="str">
        <f t="shared" si="54"/>
        <v/>
      </c>
      <c r="L487" s="21" t="str">
        <f t="shared" si="57"/>
        <v/>
      </c>
      <c r="R487" s="21" t="str">
        <f>IFERROR(INDEX(PACK!$C:$C,MATCH($P487,PACK!$A:$A,0)),"")</f>
        <v/>
      </c>
      <c r="S487" s="21" t="str">
        <f t="shared" si="55"/>
        <v/>
      </c>
    </row>
    <row r="488" spans="6:19" x14ac:dyDescent="0.25">
      <c r="F488" s="21" t="str">
        <f>IFERROR(INDEX(PACK!$C:$C,MATCH($A488,PACK!$A:$A,0)),"")</f>
        <v/>
      </c>
      <c r="G488" s="21" t="str">
        <f>IFERROR(INDEX(PACK!$D:$D,MATCH($A488,PACK!$A:$A,0)),"")</f>
        <v/>
      </c>
      <c r="H488" s="21" t="str">
        <f>IFERROR(INDEX(PACK!$E:$E,MATCH($A488,PACK!$A:$A,0)),"")</f>
        <v/>
      </c>
      <c r="I488" s="21" t="str">
        <f t="shared" si="53"/>
        <v/>
      </c>
      <c r="J488" s="21" t="str">
        <f t="shared" si="56"/>
        <v/>
      </c>
      <c r="K488" s="21" t="str">
        <f t="shared" si="54"/>
        <v/>
      </c>
      <c r="L488" s="21" t="str">
        <f t="shared" si="57"/>
        <v/>
      </c>
      <c r="R488" s="21" t="str">
        <f>IFERROR(INDEX(PACK!$C:$C,MATCH($P488,PACK!$A:$A,0)),"")</f>
        <v/>
      </c>
      <c r="S488" s="21" t="str">
        <f t="shared" si="55"/>
        <v/>
      </c>
    </row>
    <row r="489" spans="6:19" x14ac:dyDescent="0.25">
      <c r="F489" s="21" t="str">
        <f>IFERROR(INDEX(PACK!$C:$C,MATCH($A489,PACK!$A:$A,0)),"")</f>
        <v/>
      </c>
      <c r="G489" s="21" t="str">
        <f>IFERROR(INDEX(PACK!$D:$D,MATCH($A489,PACK!$A:$A,0)),"")</f>
        <v/>
      </c>
      <c r="H489" s="21" t="str">
        <f>IFERROR(INDEX(PACK!$E:$E,MATCH($A489,PACK!$A:$A,0)),"")</f>
        <v/>
      </c>
      <c r="I489" s="21" t="str">
        <f t="shared" si="53"/>
        <v/>
      </c>
      <c r="J489" s="21" t="str">
        <f t="shared" si="56"/>
        <v/>
      </c>
      <c r="K489" s="21" t="str">
        <f t="shared" si="54"/>
        <v/>
      </c>
      <c r="L489" s="21" t="str">
        <f t="shared" si="57"/>
        <v/>
      </c>
      <c r="R489" s="21" t="str">
        <f>IFERROR(INDEX(PACK!$C:$C,MATCH($P489,PACK!$A:$A,0)),"")</f>
        <v/>
      </c>
      <c r="S489" s="21" t="str">
        <f t="shared" si="55"/>
        <v/>
      </c>
    </row>
    <row r="490" spans="6:19" x14ac:dyDescent="0.25">
      <c r="F490" s="21" t="str">
        <f>IFERROR(INDEX(PACK!$C:$C,MATCH($A490,PACK!$A:$A,0)),"")</f>
        <v/>
      </c>
      <c r="G490" s="21" t="str">
        <f>IFERROR(INDEX(PACK!$D:$D,MATCH($A490,PACK!$A:$A,0)),"")</f>
        <v/>
      </c>
      <c r="H490" s="21" t="str">
        <f>IFERROR(INDEX(PACK!$E:$E,MATCH($A490,PACK!$A:$A,0)),"")</f>
        <v/>
      </c>
      <c r="I490" s="21" t="str">
        <f t="shared" si="53"/>
        <v/>
      </c>
      <c r="J490" s="21" t="str">
        <f t="shared" si="56"/>
        <v/>
      </c>
      <c r="K490" s="21" t="str">
        <f t="shared" si="54"/>
        <v/>
      </c>
      <c r="L490" s="21" t="str">
        <f t="shared" si="57"/>
        <v/>
      </c>
      <c r="R490" s="21" t="str">
        <f>IFERROR(INDEX(PACK!$C:$C,MATCH($P490,PACK!$A:$A,0)),"")</f>
        <v/>
      </c>
      <c r="S490" s="21" t="str">
        <f t="shared" si="55"/>
        <v/>
      </c>
    </row>
    <row r="491" spans="6:19" x14ac:dyDescent="0.25">
      <c r="F491" s="21" t="str">
        <f>IFERROR(INDEX(PACK!$C:$C,MATCH($A491,PACK!$A:$A,0)),"")</f>
        <v/>
      </c>
      <c r="G491" s="21" t="str">
        <f>IFERROR(INDEX(PACK!$D:$D,MATCH($A491,PACK!$A:$A,0)),"")</f>
        <v/>
      </c>
      <c r="H491" s="21" t="str">
        <f>IFERROR(INDEX(PACK!$E:$E,MATCH($A491,PACK!$A:$A,0)),"")</f>
        <v/>
      </c>
      <c r="I491" s="21" t="str">
        <f t="shared" si="53"/>
        <v/>
      </c>
      <c r="J491" s="21" t="str">
        <f t="shared" si="56"/>
        <v/>
      </c>
      <c r="K491" s="21" t="str">
        <f t="shared" si="54"/>
        <v/>
      </c>
      <c r="L491" s="21" t="str">
        <f t="shared" si="57"/>
        <v/>
      </c>
      <c r="R491" s="21" t="str">
        <f>IFERROR(INDEX(PACK!$C:$C,MATCH($P491,PACK!$A:$A,0)),"")</f>
        <v/>
      </c>
      <c r="S491" s="21" t="str">
        <f t="shared" si="55"/>
        <v/>
      </c>
    </row>
    <row r="492" spans="6:19" x14ac:dyDescent="0.25">
      <c r="F492" s="21" t="str">
        <f>IFERROR(INDEX(PACK!$C:$C,MATCH($A492,PACK!$A:$A,0)),"")</f>
        <v/>
      </c>
      <c r="G492" s="21" t="str">
        <f>IFERROR(INDEX(PACK!$D:$D,MATCH($A492,PACK!$A:$A,0)),"")</f>
        <v/>
      </c>
      <c r="H492" s="21" t="str">
        <f>IFERROR(INDEX(PACK!$E:$E,MATCH($A492,PACK!$A:$A,0)),"")</f>
        <v/>
      </c>
      <c r="I492" s="21" t="str">
        <f t="shared" si="53"/>
        <v/>
      </c>
      <c r="J492" s="21" t="str">
        <f t="shared" si="56"/>
        <v/>
      </c>
      <c r="K492" s="21" t="str">
        <f t="shared" si="54"/>
        <v/>
      </c>
      <c r="L492" s="21" t="str">
        <f t="shared" si="57"/>
        <v/>
      </c>
    </row>
    <row r="493" spans="6:19" x14ac:dyDescent="0.25">
      <c r="F493" s="21" t="str">
        <f>IFERROR(INDEX(PACK!$C:$C,MATCH($A493,PACK!$A:$A,0)),"")</f>
        <v/>
      </c>
      <c r="G493" s="21" t="str">
        <f>IFERROR(INDEX(PACK!$D:$D,MATCH($A493,PACK!$A:$A,0)),"")</f>
        <v/>
      </c>
      <c r="H493" s="21" t="str">
        <f>IFERROR(INDEX(PACK!$E:$E,MATCH($A493,PACK!$A:$A,0)),"")</f>
        <v/>
      </c>
      <c r="I493" s="21" t="str">
        <f t="shared" si="53"/>
        <v/>
      </c>
      <c r="J493" s="21" t="str">
        <f t="shared" si="56"/>
        <v/>
      </c>
      <c r="K493" s="21" t="str">
        <f t="shared" si="54"/>
        <v/>
      </c>
      <c r="L493" s="21" t="str">
        <f t="shared" si="57"/>
        <v/>
      </c>
    </row>
    <row r="494" spans="6:19" x14ac:dyDescent="0.25">
      <c r="F494" s="21" t="str">
        <f>IFERROR(INDEX(PACK!$C:$C,MATCH($A494,PACK!$A:$A,0)),"")</f>
        <v/>
      </c>
      <c r="G494" s="21" t="str">
        <f>IFERROR(INDEX(PACK!$D:$D,MATCH($A494,PACK!$A:$A,0)),"")</f>
        <v/>
      </c>
      <c r="H494" s="21" t="str">
        <f>IFERROR(INDEX(PACK!$E:$E,MATCH($A494,PACK!$A:$A,0)),"")</f>
        <v/>
      </c>
      <c r="I494" s="21" t="str">
        <f t="shared" si="53"/>
        <v/>
      </c>
      <c r="J494" s="21" t="str">
        <f t="shared" si="56"/>
        <v/>
      </c>
      <c r="K494" s="21" t="str">
        <f t="shared" si="54"/>
        <v/>
      </c>
      <c r="L494" s="21" t="str">
        <f t="shared" si="57"/>
        <v/>
      </c>
    </row>
    <row r="495" spans="6:19" x14ac:dyDescent="0.25">
      <c r="F495" s="21" t="str">
        <f>IFERROR(INDEX(PACK!$C:$C,MATCH($A495,PACK!$A:$A,0)),"")</f>
        <v/>
      </c>
      <c r="G495" s="21" t="str">
        <f>IFERROR(INDEX(PACK!$D:$D,MATCH($A495,PACK!$A:$A,0)),"")</f>
        <v/>
      </c>
      <c r="H495" s="21" t="str">
        <f>IFERROR(INDEX(PACK!$E:$E,MATCH($A495,PACK!$A:$A,0)),"")</f>
        <v/>
      </c>
      <c r="I495" s="21" t="str">
        <f t="shared" si="53"/>
        <v/>
      </c>
      <c r="J495" s="21" t="str">
        <f t="shared" si="56"/>
        <v/>
      </c>
      <c r="K495" s="21" t="str">
        <f t="shared" si="54"/>
        <v/>
      </c>
      <c r="L495" s="21" t="str">
        <f t="shared" si="57"/>
        <v/>
      </c>
    </row>
    <row r="496" spans="6:19" x14ac:dyDescent="0.25">
      <c r="F496" s="21" t="str">
        <f>IFERROR(INDEX(PACK!$C:$C,MATCH($A496,PACK!$A:$A,0)),"")</f>
        <v/>
      </c>
      <c r="G496" s="21" t="str">
        <f>IFERROR(INDEX(PACK!$D:$D,MATCH($A496,PACK!$A:$A,0)),"")</f>
        <v/>
      </c>
      <c r="H496" s="21" t="str">
        <f>IFERROR(INDEX(PACK!$E:$E,MATCH($A496,PACK!$A:$A,0)),"")</f>
        <v/>
      </c>
      <c r="I496" s="21" t="str">
        <f t="shared" si="53"/>
        <v/>
      </c>
      <c r="J496" s="21" t="str">
        <f t="shared" si="56"/>
        <v/>
      </c>
      <c r="K496" s="21" t="str">
        <f t="shared" si="54"/>
        <v/>
      </c>
      <c r="L496" s="21" t="str">
        <f t="shared" si="57"/>
        <v/>
      </c>
    </row>
    <row r="497" spans="6:12" x14ac:dyDescent="0.25">
      <c r="F497" s="21" t="str">
        <f>IFERROR(INDEX(PACK!$C:$C,MATCH($A497,PACK!$A:$A,0)),"")</f>
        <v/>
      </c>
      <c r="G497" s="21" t="str">
        <f>IFERROR(INDEX(PACK!$D:$D,MATCH($A497,PACK!$A:$A,0)),"")</f>
        <v/>
      </c>
      <c r="H497" s="21" t="str">
        <f>IFERROR(INDEX(PACK!$E:$E,MATCH($A497,PACK!$A:$A,0)),"")</f>
        <v/>
      </c>
      <c r="I497" s="21" t="str">
        <f t="shared" si="53"/>
        <v/>
      </c>
      <c r="J497" s="21" t="str">
        <f t="shared" si="56"/>
        <v/>
      </c>
      <c r="K497" s="21" t="str">
        <f t="shared" si="54"/>
        <v/>
      </c>
      <c r="L497" s="21" t="str">
        <f t="shared" si="57"/>
        <v/>
      </c>
    </row>
    <row r="498" spans="6:12" x14ac:dyDescent="0.25">
      <c r="F498" s="21" t="str">
        <f>IFERROR(INDEX(PACK!$C:$C,MATCH($A498,PACK!$A:$A,0)),"")</f>
        <v/>
      </c>
      <c r="G498" s="21" t="str">
        <f>IFERROR(INDEX(PACK!$D:$D,MATCH($A498,PACK!$A:$A,0)),"")</f>
        <v/>
      </c>
      <c r="H498" s="21" t="str">
        <f>IFERROR(INDEX(PACK!$E:$E,MATCH($A498,PACK!$A:$A,0)),"")</f>
        <v/>
      </c>
      <c r="I498" s="21" t="str">
        <f t="shared" si="53"/>
        <v/>
      </c>
      <c r="J498" s="21" t="str">
        <f t="shared" si="56"/>
        <v/>
      </c>
      <c r="K498" s="21" t="str">
        <f t="shared" si="54"/>
        <v/>
      </c>
      <c r="L498" s="21" t="str">
        <f t="shared" si="57"/>
        <v/>
      </c>
    </row>
    <row r="499" spans="6:12" x14ac:dyDescent="0.25">
      <c r="F499" s="21" t="str">
        <f>IFERROR(INDEX(PACK!$C:$C,MATCH($A499,PACK!$A:$A,0)),"")</f>
        <v/>
      </c>
      <c r="G499" s="21" t="str">
        <f>IFERROR(INDEX(PACK!$D:$D,MATCH($A499,PACK!$A:$A,0)),"")</f>
        <v/>
      </c>
      <c r="H499" s="21" t="str">
        <f>IFERROR(INDEX(PACK!$E:$E,MATCH($A499,PACK!$A:$A,0)),"")</f>
        <v/>
      </c>
      <c r="I499" s="21" t="str">
        <f t="shared" si="53"/>
        <v/>
      </c>
      <c r="J499" s="21" t="str">
        <f t="shared" si="56"/>
        <v/>
      </c>
      <c r="K499" s="21" t="str">
        <f t="shared" si="54"/>
        <v/>
      </c>
      <c r="L499" s="21" t="str">
        <f t="shared" si="57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226F1-79F3-4894-BB5B-62861B55BFBC}">
  <sheetPr codeName="Sheet10">
    <tabColor theme="8" tint="-0.249977111117893"/>
    <pageSetUpPr fitToPage="1"/>
  </sheetPr>
  <dimension ref="A1:X348"/>
  <sheetViews>
    <sheetView zoomScale="110" zoomScaleNormal="110" workbookViewId="0">
      <selection activeCell="K5" sqref="K5"/>
    </sheetView>
  </sheetViews>
  <sheetFormatPr defaultRowHeight="15.75" outlineLevelCol="1" x14ac:dyDescent="0.25"/>
  <cols>
    <col min="1" max="1" width="4.42578125" style="92" bestFit="1" customWidth="1"/>
    <col min="2" max="2" width="17.140625" style="90" customWidth="1"/>
    <col min="3" max="3" width="8.7109375" style="86" customWidth="1"/>
    <col min="4" max="4" width="8" style="82" customWidth="1"/>
    <col min="5" max="5" width="7.7109375" style="84" customWidth="1" outlineLevel="1"/>
    <col min="6" max="6" width="9.85546875" style="79" customWidth="1"/>
    <col min="7" max="7" width="8" style="81" customWidth="1"/>
    <col min="8" max="8" width="7.42578125" style="48" customWidth="1" outlineLevel="1"/>
    <col min="9" max="9" width="8" style="48" customWidth="1" outlineLevel="1"/>
    <col min="10" max="10" width="12.140625" customWidth="1"/>
    <col min="11" max="11" width="23.42578125" customWidth="1"/>
    <col min="12" max="12" width="5" style="108" customWidth="1"/>
    <col min="13" max="13" width="24.140625" style="106" customWidth="1"/>
    <col min="14" max="14" width="11.140625" style="85" customWidth="1"/>
    <col min="15" max="15" width="9.28515625" style="95" bestFit="1" customWidth="1"/>
    <col min="16" max="16" width="9.140625" style="95"/>
    <col min="17" max="17" width="9.140625" style="51" hidden="1" customWidth="1" outlineLevel="1"/>
    <col min="18" max="18" width="9.140625" style="54" hidden="1" customWidth="1" outlineLevel="1"/>
    <col min="19" max="19" width="6.42578125" style="62" customWidth="1" collapsed="1"/>
    <col min="20" max="20" width="6.5703125" style="104" customWidth="1"/>
    <col min="21" max="21" width="22.85546875" style="104" bestFit="1" customWidth="1"/>
    <col min="22" max="22" width="9.28515625" style="104" bestFit="1" customWidth="1"/>
    <col min="23" max="23" width="9.28515625" style="101" bestFit="1" customWidth="1"/>
    <col min="24" max="24" width="9.28515625" bestFit="1" customWidth="1"/>
  </cols>
  <sheetData>
    <row r="1" spans="1:24" ht="72" customHeight="1" x14ac:dyDescent="0.3">
      <c r="A1" s="156" t="s">
        <v>3242</v>
      </c>
      <c r="B1" s="156"/>
      <c r="C1" s="156"/>
      <c r="D1" s="129"/>
      <c r="E1" s="163">
        <f>SUBTOTAL(9,F3:F1000)+SUM(R3:R1000)</f>
        <v>35</v>
      </c>
      <c r="F1" s="163"/>
      <c r="G1" s="163"/>
      <c r="H1" s="164" t="s">
        <v>4324</v>
      </c>
      <c r="I1" s="164"/>
      <c r="L1" s="157" t="s">
        <v>3177</v>
      </c>
      <c r="M1" s="158"/>
      <c r="N1" s="160">
        <f>+SUBTOTAL(9,Q3:Q1000)</f>
        <v>1210</v>
      </c>
      <c r="O1" s="161"/>
      <c r="P1" s="162"/>
      <c r="Q1" s="54"/>
      <c r="S1" s="159" t="s">
        <v>3239</v>
      </c>
      <c r="T1" s="159"/>
      <c r="U1" s="159"/>
      <c r="V1" s="97">
        <f>SUBTOTAL(9,S3:T1000)</f>
        <v>8</v>
      </c>
      <c r="W1" s="97">
        <f>SUBTOTAL(9,V3:V1000)</f>
        <v>1000</v>
      </c>
      <c r="X1" s="64">
        <f>COUNTIF(U3:U1000,"SM_*")</f>
        <v>5</v>
      </c>
    </row>
    <row r="2" spans="1:24" s="42" customFormat="1" ht="33.75" x14ac:dyDescent="0.25">
      <c r="A2" s="88" t="s">
        <v>3229</v>
      </c>
      <c r="B2" s="88" t="s">
        <v>3231</v>
      </c>
      <c r="C2" s="88" t="s">
        <v>3167</v>
      </c>
      <c r="D2" s="88" t="s">
        <v>3169</v>
      </c>
      <c r="E2" s="88" t="s">
        <v>3163</v>
      </c>
      <c r="F2" s="87" t="s">
        <v>61</v>
      </c>
      <c r="G2" s="87" t="s">
        <v>3166</v>
      </c>
      <c r="H2" s="46" t="s">
        <v>3226</v>
      </c>
      <c r="I2" s="46" t="s">
        <v>3227</v>
      </c>
      <c r="L2" s="105" t="s">
        <v>3229</v>
      </c>
      <c r="M2" s="105" t="s">
        <v>3245</v>
      </c>
      <c r="N2" s="93" t="s">
        <v>3252</v>
      </c>
      <c r="O2" s="96" t="s">
        <v>3233</v>
      </c>
      <c r="P2" s="96" t="s">
        <v>3161</v>
      </c>
      <c r="Q2" s="50" t="s">
        <v>3260</v>
      </c>
      <c r="R2" s="50" t="s">
        <v>3232</v>
      </c>
      <c r="S2" s="44" t="s">
        <v>3234</v>
      </c>
      <c r="T2" s="98" t="s">
        <v>3235</v>
      </c>
      <c r="U2" s="98" t="s">
        <v>3236</v>
      </c>
      <c r="V2" s="98" t="s">
        <v>3237</v>
      </c>
      <c r="W2" s="98" t="s">
        <v>3238</v>
      </c>
      <c r="X2"/>
    </row>
    <row r="3" spans="1:24" ht="19.5" customHeight="1" x14ac:dyDescent="0.25">
      <c r="A3" s="91">
        <f t="shared" ref="A3:A34" si="0">IF(LEN(B3)=0,"",ROW()-2)</f>
        <v>1</v>
      </c>
      <c r="B3" s="89" t="s">
        <v>4156</v>
      </c>
      <c r="C3" s="85">
        <v>40</v>
      </c>
      <c r="D3" s="82">
        <v>36</v>
      </c>
      <c r="E3" s="83">
        <v>1000</v>
      </c>
      <c r="F3" s="78">
        <v>27</v>
      </c>
      <c r="G3" s="80">
        <v>28</v>
      </c>
      <c r="H3" s="47">
        <v>200</v>
      </c>
      <c r="I3" s="47">
        <v>5600</v>
      </c>
      <c r="L3" s="107">
        <f t="shared" ref="L3:L34" si="1">IF(LEN(M3)=0,"",ROW()-2)</f>
        <v>1</v>
      </c>
      <c r="M3" s="103" t="s">
        <v>3433</v>
      </c>
      <c r="N3" s="109">
        <v>1000</v>
      </c>
      <c r="O3" s="94">
        <v>200000</v>
      </c>
      <c r="P3" s="94">
        <v>200</v>
      </c>
      <c r="Q3" s="49">
        <f t="shared" ref="Q3:Q34" si="2">IF(ISBLANK(M3),"",ROUNDUP(N3,0))</f>
        <v>1000</v>
      </c>
      <c r="R3" s="49">
        <f t="shared" ref="R3:R34" si="3">IF(ISBLANK(B3), "", IF(OR(AND(F3=0, G3&gt;=5), AND(F3&gt;0, G3&gt;1)), 1, 0))</f>
        <v>1</v>
      </c>
      <c r="S3" s="63"/>
      <c r="T3" s="99">
        <f t="shared" ref="T3:T34" si="4">IF(N3&gt;=5,1,0)</f>
        <v>1</v>
      </c>
      <c r="U3" s="103" t="str">
        <f t="shared" ref="U3:U34" si="5">IF(OR(ISBLANK(M3),SUM(S3,T3)=0),"",+M3)</f>
        <v>SM_BKD-20_004</v>
      </c>
      <c r="V3" s="100">
        <f t="shared" ref="V3:V34" si="6">IFERROR(+P3*SUM(S3:T3),"")</f>
        <v>200</v>
      </c>
      <c r="W3" s="101" t="b">
        <f t="shared" ref="W3:W34" si="7">AND(_xlfn.ISFORMULA(T3),NOT(ISNUMBER(S3)))</f>
        <v>1</v>
      </c>
    </row>
    <row r="4" spans="1:24" ht="19.5" customHeight="1" x14ac:dyDescent="0.25">
      <c r="A4" s="91">
        <f t="shared" si="0"/>
        <v>2</v>
      </c>
      <c r="B4" s="89" t="s">
        <v>4160</v>
      </c>
      <c r="C4" s="85">
        <v>40</v>
      </c>
      <c r="D4" s="82">
        <v>36</v>
      </c>
      <c r="E4" s="83">
        <v>70</v>
      </c>
      <c r="F4" s="78">
        <v>1</v>
      </c>
      <c r="G4" s="80">
        <v>34</v>
      </c>
      <c r="H4" s="47">
        <v>200</v>
      </c>
      <c r="I4" s="47">
        <v>6800</v>
      </c>
      <c r="L4" s="107">
        <f t="shared" si="1"/>
        <v>2</v>
      </c>
      <c r="M4" s="103" t="s">
        <v>3434</v>
      </c>
      <c r="N4" s="109">
        <v>50</v>
      </c>
      <c r="O4" s="94">
        <v>10000</v>
      </c>
      <c r="P4" s="94">
        <v>200</v>
      </c>
      <c r="Q4" s="49">
        <f t="shared" si="2"/>
        <v>50</v>
      </c>
      <c r="R4" s="49">
        <f t="shared" si="3"/>
        <v>1</v>
      </c>
      <c r="S4" s="63"/>
      <c r="T4" s="99">
        <f t="shared" si="4"/>
        <v>1</v>
      </c>
      <c r="U4" s="103" t="str">
        <f t="shared" si="5"/>
        <v>SM_BKG-20_004</v>
      </c>
      <c r="V4" s="100">
        <f t="shared" si="6"/>
        <v>200</v>
      </c>
      <c r="W4" s="101" t="b">
        <f t="shared" si="7"/>
        <v>1</v>
      </c>
      <c r="X4">
        <f>SUM(S4:T4)</f>
        <v>1</v>
      </c>
    </row>
    <row r="5" spans="1:24" ht="19.5" customHeight="1" x14ac:dyDescent="0.25">
      <c r="A5" s="91">
        <f t="shared" si="0"/>
        <v>3</v>
      </c>
      <c r="B5" s="89" t="s">
        <v>4158</v>
      </c>
      <c r="C5" s="85">
        <v>40</v>
      </c>
      <c r="D5" s="82">
        <v>36</v>
      </c>
      <c r="E5" s="83">
        <v>55</v>
      </c>
      <c r="F5" s="78">
        <v>1</v>
      </c>
      <c r="G5" s="80">
        <v>19</v>
      </c>
      <c r="H5" s="47">
        <v>200</v>
      </c>
      <c r="I5" s="47">
        <v>3800</v>
      </c>
      <c r="L5" s="107">
        <f t="shared" si="1"/>
        <v>3</v>
      </c>
      <c r="M5" s="103" t="s">
        <v>3435</v>
      </c>
      <c r="N5" s="109">
        <v>55</v>
      </c>
      <c r="O5" s="94">
        <v>11000</v>
      </c>
      <c r="P5" s="94">
        <v>200</v>
      </c>
      <c r="Q5" s="49">
        <f t="shared" si="2"/>
        <v>55</v>
      </c>
      <c r="R5" s="49">
        <f t="shared" si="3"/>
        <v>1</v>
      </c>
      <c r="S5" s="63"/>
      <c r="T5" s="99">
        <f t="shared" si="4"/>
        <v>1</v>
      </c>
      <c r="U5" s="103" t="str">
        <f t="shared" si="5"/>
        <v>SM_BKR-20_004</v>
      </c>
      <c r="V5" s="100">
        <f t="shared" si="6"/>
        <v>200</v>
      </c>
      <c r="W5" s="101" t="b">
        <f t="shared" si="7"/>
        <v>1</v>
      </c>
      <c r="X5">
        <f>SUM(S5:T5)</f>
        <v>1</v>
      </c>
    </row>
    <row r="6" spans="1:24" ht="19.5" customHeight="1" x14ac:dyDescent="0.25">
      <c r="A6" s="91">
        <f t="shared" si="0"/>
        <v>4</v>
      </c>
      <c r="B6" s="89" t="s">
        <v>4157</v>
      </c>
      <c r="C6" s="85">
        <v>40</v>
      </c>
      <c r="D6" s="82">
        <v>36</v>
      </c>
      <c r="E6" s="83">
        <v>50</v>
      </c>
      <c r="F6" s="78">
        <v>1</v>
      </c>
      <c r="G6" s="80">
        <v>14</v>
      </c>
      <c r="H6" s="47">
        <v>200</v>
      </c>
      <c r="I6" s="47">
        <v>2800</v>
      </c>
      <c r="L6" s="107">
        <f t="shared" si="1"/>
        <v>4</v>
      </c>
      <c r="M6" s="103" t="s">
        <v>3436</v>
      </c>
      <c r="N6" s="109">
        <v>35</v>
      </c>
      <c r="O6" s="94">
        <v>7000</v>
      </c>
      <c r="P6" s="94">
        <v>200</v>
      </c>
      <c r="Q6" s="49">
        <f t="shared" si="2"/>
        <v>35</v>
      </c>
      <c r="R6" s="49">
        <f t="shared" si="3"/>
        <v>1</v>
      </c>
      <c r="S6" s="63"/>
      <c r="T6" s="99">
        <f t="shared" si="4"/>
        <v>1</v>
      </c>
      <c r="U6" s="103" t="str">
        <f t="shared" si="5"/>
        <v>SM_BKY-20_004</v>
      </c>
      <c r="V6" s="100">
        <f t="shared" si="6"/>
        <v>200</v>
      </c>
      <c r="W6" s="101" t="b">
        <f t="shared" si="7"/>
        <v>1</v>
      </c>
      <c r="X6">
        <f>SUM(S6:T6)</f>
        <v>1</v>
      </c>
    </row>
    <row r="7" spans="1:24" ht="19.5" customHeight="1" x14ac:dyDescent="0.25">
      <c r="A7" s="91">
        <f t="shared" si="0"/>
        <v>5</v>
      </c>
      <c r="B7" s="89" t="s">
        <v>4159</v>
      </c>
      <c r="C7" s="85">
        <v>40</v>
      </c>
      <c r="D7" s="82">
        <v>36</v>
      </c>
      <c r="E7" s="83">
        <v>35</v>
      </c>
      <c r="F7" s="78">
        <v>0</v>
      </c>
      <c r="G7" s="80">
        <v>35</v>
      </c>
      <c r="H7" s="47">
        <v>200</v>
      </c>
      <c r="I7" s="47">
        <v>7000</v>
      </c>
      <c r="J7" s="61"/>
      <c r="K7" s="61"/>
      <c r="L7" s="107">
        <f t="shared" si="1"/>
        <v>5</v>
      </c>
      <c r="M7" s="103" t="s">
        <v>3437</v>
      </c>
      <c r="N7" s="109">
        <v>70</v>
      </c>
      <c r="O7" s="94">
        <v>14000</v>
      </c>
      <c r="P7" s="94">
        <v>200</v>
      </c>
      <c r="Q7" s="49">
        <f t="shared" si="2"/>
        <v>70</v>
      </c>
      <c r="R7" s="49">
        <f t="shared" si="3"/>
        <v>1</v>
      </c>
      <c r="S7" s="63"/>
      <c r="T7" s="99">
        <f t="shared" si="4"/>
        <v>1</v>
      </c>
      <c r="U7" s="103" t="str">
        <f t="shared" si="5"/>
        <v>SM_BKW-20_004</v>
      </c>
      <c r="V7" s="100">
        <f t="shared" si="6"/>
        <v>200</v>
      </c>
      <c r="W7" s="101" t="b">
        <f t="shared" si="7"/>
        <v>1</v>
      </c>
      <c r="X7">
        <f t="shared" ref="X7:X70" si="8">SUM(S7:T7)</f>
        <v>1</v>
      </c>
    </row>
    <row r="8" spans="1:24" ht="19.5" customHeight="1" x14ac:dyDescent="0.25">
      <c r="A8" s="91" t="str">
        <f t="shared" si="0"/>
        <v/>
      </c>
      <c r="B8" s="89"/>
      <c r="C8" s="85"/>
      <c r="E8" s="83"/>
      <c r="F8" s="78"/>
      <c r="G8" s="80"/>
      <c r="H8" s="47"/>
      <c r="I8" s="47"/>
      <c r="L8" s="107" t="str">
        <f t="shared" si="1"/>
        <v/>
      </c>
      <c r="M8" s="103"/>
      <c r="N8" s="109"/>
      <c r="O8" s="94"/>
      <c r="P8" s="94"/>
      <c r="Q8" s="49" t="str">
        <f t="shared" si="2"/>
        <v/>
      </c>
      <c r="R8" s="49" t="str">
        <f t="shared" si="3"/>
        <v/>
      </c>
      <c r="S8" s="63"/>
      <c r="T8" s="99">
        <f t="shared" si="4"/>
        <v>0</v>
      </c>
      <c r="U8" s="103" t="str">
        <f t="shared" si="5"/>
        <v/>
      </c>
      <c r="V8" s="100">
        <f t="shared" si="6"/>
        <v>0</v>
      </c>
      <c r="W8" s="102" t="b">
        <f t="shared" si="7"/>
        <v>1</v>
      </c>
      <c r="X8">
        <f t="shared" si="8"/>
        <v>0</v>
      </c>
    </row>
    <row r="9" spans="1:24" ht="19.5" customHeight="1" x14ac:dyDescent="0.25">
      <c r="A9" s="91" t="str">
        <f t="shared" si="0"/>
        <v/>
      </c>
      <c r="B9" s="89"/>
      <c r="C9" s="85"/>
      <c r="E9" s="83"/>
      <c r="F9" s="78"/>
      <c r="G9" s="80"/>
      <c r="H9" s="47"/>
      <c r="I9" s="47"/>
      <c r="L9" s="107" t="str">
        <f t="shared" si="1"/>
        <v/>
      </c>
      <c r="M9" s="103"/>
      <c r="N9" s="109"/>
      <c r="O9" s="94"/>
      <c r="P9" s="94"/>
      <c r="Q9" s="49" t="str">
        <f t="shared" si="2"/>
        <v/>
      </c>
      <c r="R9" s="49" t="str">
        <f t="shared" si="3"/>
        <v/>
      </c>
      <c r="S9" s="63"/>
      <c r="T9" s="99">
        <f t="shared" si="4"/>
        <v>0</v>
      </c>
      <c r="U9" s="103" t="str">
        <f t="shared" si="5"/>
        <v/>
      </c>
      <c r="V9" s="100">
        <f t="shared" si="6"/>
        <v>0</v>
      </c>
      <c r="W9" s="101" t="b">
        <f t="shared" si="7"/>
        <v>1</v>
      </c>
      <c r="X9">
        <f t="shared" si="8"/>
        <v>0</v>
      </c>
    </row>
    <row r="10" spans="1:24" ht="19.5" customHeight="1" x14ac:dyDescent="0.25">
      <c r="A10" s="91" t="str">
        <f t="shared" si="0"/>
        <v/>
      </c>
      <c r="B10" s="89"/>
      <c r="C10" s="85"/>
      <c r="E10" s="83"/>
      <c r="F10" s="78"/>
      <c r="G10" s="80"/>
      <c r="H10" s="47"/>
      <c r="I10" s="47"/>
      <c r="L10" s="107" t="str">
        <f t="shared" si="1"/>
        <v/>
      </c>
      <c r="M10" s="103"/>
      <c r="N10" s="109"/>
      <c r="O10" s="94"/>
      <c r="P10" s="94"/>
      <c r="Q10" s="49" t="str">
        <f t="shared" si="2"/>
        <v/>
      </c>
      <c r="R10" s="49" t="str">
        <f t="shared" si="3"/>
        <v/>
      </c>
      <c r="S10" s="63"/>
      <c r="T10" s="99">
        <f t="shared" si="4"/>
        <v>0</v>
      </c>
      <c r="U10" s="103" t="str">
        <f t="shared" si="5"/>
        <v/>
      </c>
      <c r="V10" s="100">
        <f t="shared" si="6"/>
        <v>0</v>
      </c>
      <c r="W10" s="101" t="b">
        <f t="shared" si="7"/>
        <v>1</v>
      </c>
      <c r="X10">
        <f t="shared" si="8"/>
        <v>0</v>
      </c>
    </row>
    <row r="11" spans="1:24" ht="19.5" customHeight="1" x14ac:dyDescent="0.25">
      <c r="A11" s="91" t="str">
        <f t="shared" si="0"/>
        <v/>
      </c>
      <c r="B11" s="89"/>
      <c r="C11" s="85"/>
      <c r="E11" s="83"/>
      <c r="F11" s="78"/>
      <c r="G11" s="80"/>
      <c r="H11" s="47"/>
      <c r="I11" s="47"/>
      <c r="L11" s="107" t="str">
        <f t="shared" si="1"/>
        <v/>
      </c>
      <c r="M11" s="103"/>
      <c r="N11" s="109"/>
      <c r="O11" s="94"/>
      <c r="P11" s="94"/>
      <c r="Q11" s="49" t="str">
        <f t="shared" si="2"/>
        <v/>
      </c>
      <c r="R11" s="49" t="str">
        <f t="shared" si="3"/>
        <v/>
      </c>
      <c r="S11" s="63"/>
      <c r="T11" s="99">
        <f t="shared" si="4"/>
        <v>0</v>
      </c>
      <c r="U11" s="103" t="str">
        <f t="shared" si="5"/>
        <v/>
      </c>
      <c r="V11" s="100">
        <f t="shared" si="6"/>
        <v>0</v>
      </c>
      <c r="W11" s="101" t="b">
        <f t="shared" si="7"/>
        <v>1</v>
      </c>
      <c r="X11">
        <f t="shared" si="8"/>
        <v>0</v>
      </c>
    </row>
    <row r="12" spans="1:24" ht="19.5" customHeight="1" x14ac:dyDescent="0.25">
      <c r="A12" s="91" t="str">
        <f t="shared" si="0"/>
        <v/>
      </c>
      <c r="B12" s="89"/>
      <c r="C12" s="85"/>
      <c r="E12" s="83"/>
      <c r="F12" s="78"/>
      <c r="G12" s="80"/>
      <c r="H12" s="47"/>
      <c r="I12" s="47"/>
      <c r="L12" s="107" t="str">
        <f t="shared" si="1"/>
        <v/>
      </c>
      <c r="M12" s="103"/>
      <c r="N12" s="109"/>
      <c r="O12" s="94"/>
      <c r="P12" s="94"/>
      <c r="Q12" s="49" t="str">
        <f t="shared" si="2"/>
        <v/>
      </c>
      <c r="R12" s="49" t="str">
        <f t="shared" si="3"/>
        <v/>
      </c>
      <c r="S12" s="63"/>
      <c r="T12" s="99">
        <f t="shared" si="4"/>
        <v>0</v>
      </c>
      <c r="U12" s="103" t="str">
        <f t="shared" si="5"/>
        <v/>
      </c>
      <c r="V12" s="100">
        <f t="shared" si="6"/>
        <v>0</v>
      </c>
      <c r="W12" s="101" t="b">
        <f t="shared" si="7"/>
        <v>1</v>
      </c>
      <c r="X12">
        <f t="shared" si="8"/>
        <v>0</v>
      </c>
    </row>
    <row r="13" spans="1:24" ht="19.5" customHeight="1" x14ac:dyDescent="0.25">
      <c r="A13" s="91" t="str">
        <f t="shared" si="0"/>
        <v/>
      </c>
      <c r="B13" s="89"/>
      <c r="C13" s="85"/>
      <c r="E13" s="83"/>
      <c r="F13" s="78"/>
      <c r="G13" s="80"/>
      <c r="H13" s="47"/>
      <c r="I13" s="47"/>
      <c r="L13" s="107" t="str">
        <f t="shared" si="1"/>
        <v/>
      </c>
      <c r="M13" s="103"/>
      <c r="N13" s="109"/>
      <c r="O13" s="94"/>
      <c r="P13" s="94"/>
      <c r="Q13" s="49" t="str">
        <f t="shared" si="2"/>
        <v/>
      </c>
      <c r="R13" s="49" t="str">
        <f t="shared" si="3"/>
        <v/>
      </c>
      <c r="S13" s="63"/>
      <c r="T13" s="99">
        <f t="shared" si="4"/>
        <v>0</v>
      </c>
      <c r="U13" s="103" t="str">
        <f t="shared" si="5"/>
        <v/>
      </c>
      <c r="V13" s="100">
        <f t="shared" si="6"/>
        <v>0</v>
      </c>
      <c r="W13" s="101" t="b">
        <f t="shared" si="7"/>
        <v>1</v>
      </c>
      <c r="X13">
        <f t="shared" si="8"/>
        <v>0</v>
      </c>
    </row>
    <row r="14" spans="1:24" s="61" customFormat="1" ht="19.5" customHeight="1" x14ac:dyDescent="0.25">
      <c r="A14" s="91" t="str">
        <f t="shared" si="0"/>
        <v/>
      </c>
      <c r="B14" s="89"/>
      <c r="C14" s="85"/>
      <c r="D14" s="82"/>
      <c r="E14" s="83"/>
      <c r="F14" s="78"/>
      <c r="G14" s="80"/>
      <c r="H14" s="47"/>
      <c r="I14" s="47"/>
      <c r="J14"/>
      <c r="K14"/>
      <c r="L14" s="107" t="str">
        <f t="shared" si="1"/>
        <v/>
      </c>
      <c r="M14" s="103"/>
      <c r="N14" s="109"/>
      <c r="O14" s="94"/>
      <c r="P14" s="94"/>
      <c r="Q14" s="49" t="str">
        <f t="shared" si="2"/>
        <v/>
      </c>
      <c r="R14" s="49" t="str">
        <f t="shared" si="3"/>
        <v/>
      </c>
      <c r="S14" s="63"/>
      <c r="T14" s="99">
        <f t="shared" si="4"/>
        <v>0</v>
      </c>
      <c r="U14" s="103" t="str">
        <f t="shared" si="5"/>
        <v/>
      </c>
      <c r="V14" s="100">
        <f t="shared" si="6"/>
        <v>0</v>
      </c>
      <c r="W14" s="101" t="b">
        <f t="shared" si="7"/>
        <v>1</v>
      </c>
      <c r="X14">
        <f t="shared" si="8"/>
        <v>0</v>
      </c>
    </row>
    <row r="15" spans="1:24" ht="19.5" customHeight="1" x14ac:dyDescent="0.25">
      <c r="A15" s="91" t="str">
        <f t="shared" si="0"/>
        <v/>
      </c>
      <c r="B15" s="89"/>
      <c r="C15" s="85"/>
      <c r="E15" s="83"/>
      <c r="F15" s="78"/>
      <c r="G15" s="80"/>
      <c r="H15" s="47"/>
      <c r="I15" s="47"/>
      <c r="L15" s="107" t="str">
        <f t="shared" si="1"/>
        <v/>
      </c>
      <c r="M15" s="103"/>
      <c r="N15" s="109"/>
      <c r="O15" s="94"/>
      <c r="P15" s="94"/>
      <c r="Q15" s="49" t="str">
        <f t="shared" si="2"/>
        <v/>
      </c>
      <c r="R15" s="49" t="str">
        <f t="shared" si="3"/>
        <v/>
      </c>
      <c r="S15" s="63"/>
      <c r="T15" s="99">
        <f t="shared" si="4"/>
        <v>0</v>
      </c>
      <c r="U15" s="103" t="str">
        <f t="shared" si="5"/>
        <v/>
      </c>
      <c r="V15" s="100">
        <f t="shared" si="6"/>
        <v>0</v>
      </c>
      <c r="W15" s="101" t="b">
        <f t="shared" si="7"/>
        <v>1</v>
      </c>
      <c r="X15">
        <f t="shared" si="8"/>
        <v>0</v>
      </c>
    </row>
    <row r="16" spans="1:24" ht="19.5" customHeight="1" x14ac:dyDescent="0.25">
      <c r="A16" s="91" t="str">
        <f t="shared" si="0"/>
        <v/>
      </c>
      <c r="B16" s="89"/>
      <c r="C16" s="85"/>
      <c r="E16" s="83"/>
      <c r="F16" s="78"/>
      <c r="G16" s="80"/>
      <c r="H16" s="47"/>
      <c r="I16" s="47"/>
      <c r="L16" s="107" t="str">
        <f t="shared" si="1"/>
        <v/>
      </c>
      <c r="M16" s="103"/>
      <c r="N16" s="109"/>
      <c r="O16" s="94"/>
      <c r="P16" s="94"/>
      <c r="Q16" s="49" t="str">
        <f t="shared" si="2"/>
        <v/>
      </c>
      <c r="R16" s="49" t="str">
        <f t="shared" si="3"/>
        <v/>
      </c>
      <c r="S16" s="63"/>
      <c r="T16" s="99">
        <f t="shared" si="4"/>
        <v>0</v>
      </c>
      <c r="U16" s="103" t="str">
        <f t="shared" si="5"/>
        <v/>
      </c>
      <c r="V16" s="100">
        <f t="shared" si="6"/>
        <v>0</v>
      </c>
      <c r="W16" s="101" t="b">
        <f t="shared" si="7"/>
        <v>1</v>
      </c>
      <c r="X16">
        <f t="shared" si="8"/>
        <v>0</v>
      </c>
    </row>
    <row r="17" spans="1:24" ht="19.5" customHeight="1" x14ac:dyDescent="0.25">
      <c r="A17" s="91" t="str">
        <f t="shared" si="0"/>
        <v/>
      </c>
      <c r="B17" s="89"/>
      <c r="C17" s="85"/>
      <c r="E17" s="83"/>
      <c r="F17" s="78"/>
      <c r="G17" s="80"/>
      <c r="H17" s="47"/>
      <c r="I17" s="47"/>
      <c r="L17" s="107" t="str">
        <f t="shared" si="1"/>
        <v/>
      </c>
      <c r="M17" s="103"/>
      <c r="N17" s="109"/>
      <c r="O17" s="94"/>
      <c r="P17" s="94"/>
      <c r="Q17" s="49" t="str">
        <f t="shared" si="2"/>
        <v/>
      </c>
      <c r="R17" s="49" t="str">
        <f t="shared" si="3"/>
        <v/>
      </c>
      <c r="S17" s="63"/>
      <c r="T17" s="99">
        <f t="shared" si="4"/>
        <v>0</v>
      </c>
      <c r="U17" s="103" t="str">
        <f t="shared" si="5"/>
        <v/>
      </c>
      <c r="V17" s="100">
        <f t="shared" si="6"/>
        <v>0</v>
      </c>
      <c r="W17" s="101" t="b">
        <f t="shared" si="7"/>
        <v>1</v>
      </c>
      <c r="X17">
        <f t="shared" si="8"/>
        <v>0</v>
      </c>
    </row>
    <row r="18" spans="1:24" ht="19.5" customHeight="1" x14ac:dyDescent="0.25">
      <c r="A18" s="91" t="str">
        <f t="shared" si="0"/>
        <v/>
      </c>
      <c r="B18" s="89"/>
      <c r="C18" s="85"/>
      <c r="E18" s="83"/>
      <c r="F18" s="78"/>
      <c r="G18" s="80"/>
      <c r="H18" s="47"/>
      <c r="I18" s="47"/>
      <c r="L18" s="107" t="str">
        <f t="shared" si="1"/>
        <v/>
      </c>
      <c r="M18" s="103"/>
      <c r="N18" s="109"/>
      <c r="O18" s="94"/>
      <c r="P18" s="94"/>
      <c r="Q18" s="49" t="str">
        <f t="shared" si="2"/>
        <v/>
      </c>
      <c r="R18" s="49" t="str">
        <f t="shared" si="3"/>
        <v/>
      </c>
      <c r="S18" s="63"/>
      <c r="T18" s="99">
        <f t="shared" si="4"/>
        <v>0</v>
      </c>
      <c r="U18" s="103" t="str">
        <f t="shared" si="5"/>
        <v/>
      </c>
      <c r="V18" s="100">
        <f t="shared" si="6"/>
        <v>0</v>
      </c>
      <c r="W18" s="101" t="b">
        <f t="shared" si="7"/>
        <v>1</v>
      </c>
      <c r="X18">
        <f t="shared" si="8"/>
        <v>0</v>
      </c>
    </row>
    <row r="19" spans="1:24" ht="19.5" customHeight="1" x14ac:dyDescent="0.25">
      <c r="A19" s="91" t="str">
        <f t="shared" si="0"/>
        <v/>
      </c>
      <c r="B19" s="89"/>
      <c r="C19" s="85"/>
      <c r="E19" s="83"/>
      <c r="F19" s="78"/>
      <c r="G19" s="80"/>
      <c r="H19" s="47"/>
      <c r="I19" s="47"/>
      <c r="L19" s="107" t="str">
        <f t="shared" si="1"/>
        <v/>
      </c>
      <c r="M19" s="103"/>
      <c r="N19" s="109"/>
      <c r="O19" s="94"/>
      <c r="P19" s="94"/>
      <c r="Q19" s="49" t="str">
        <f t="shared" si="2"/>
        <v/>
      </c>
      <c r="R19" s="49" t="str">
        <f t="shared" si="3"/>
        <v/>
      </c>
      <c r="S19" s="63"/>
      <c r="T19" s="99">
        <f t="shared" si="4"/>
        <v>0</v>
      </c>
      <c r="U19" s="103" t="str">
        <f t="shared" si="5"/>
        <v/>
      </c>
      <c r="V19" s="100">
        <f t="shared" si="6"/>
        <v>0</v>
      </c>
      <c r="W19" s="101" t="b">
        <f t="shared" si="7"/>
        <v>1</v>
      </c>
      <c r="X19">
        <f t="shared" si="8"/>
        <v>0</v>
      </c>
    </row>
    <row r="20" spans="1:24" ht="19.5" customHeight="1" x14ac:dyDescent="0.25">
      <c r="A20" s="91" t="str">
        <f t="shared" si="0"/>
        <v/>
      </c>
      <c r="B20" s="89"/>
      <c r="C20" s="85"/>
      <c r="E20" s="83"/>
      <c r="F20" s="78"/>
      <c r="G20" s="80"/>
      <c r="H20" s="47"/>
      <c r="I20" s="47"/>
      <c r="L20" s="107" t="str">
        <f t="shared" si="1"/>
        <v/>
      </c>
      <c r="M20" s="103"/>
      <c r="N20" s="109"/>
      <c r="O20" s="94"/>
      <c r="P20" s="94"/>
      <c r="Q20" s="49" t="str">
        <f t="shared" si="2"/>
        <v/>
      </c>
      <c r="R20" s="49" t="str">
        <f t="shared" si="3"/>
        <v/>
      </c>
      <c r="S20" s="63"/>
      <c r="T20" s="99">
        <f t="shared" si="4"/>
        <v>0</v>
      </c>
      <c r="U20" s="103" t="str">
        <f t="shared" si="5"/>
        <v/>
      </c>
      <c r="V20" s="100">
        <f t="shared" si="6"/>
        <v>0</v>
      </c>
      <c r="W20" s="101" t="b">
        <f t="shared" si="7"/>
        <v>1</v>
      </c>
      <c r="X20">
        <f t="shared" si="8"/>
        <v>0</v>
      </c>
    </row>
    <row r="21" spans="1:24" ht="19.5" customHeight="1" x14ac:dyDescent="0.25">
      <c r="A21" s="91" t="str">
        <f t="shared" si="0"/>
        <v/>
      </c>
      <c r="B21" s="89"/>
      <c r="C21" s="85"/>
      <c r="E21" s="83"/>
      <c r="F21" s="78"/>
      <c r="G21" s="80"/>
      <c r="H21" s="47"/>
      <c r="I21" s="47"/>
      <c r="L21" s="107" t="str">
        <f t="shared" si="1"/>
        <v/>
      </c>
      <c r="M21" s="103"/>
      <c r="N21" s="109"/>
      <c r="O21" s="94"/>
      <c r="P21" s="94"/>
      <c r="Q21" s="49" t="str">
        <f t="shared" si="2"/>
        <v/>
      </c>
      <c r="R21" s="49" t="str">
        <f t="shared" si="3"/>
        <v/>
      </c>
      <c r="S21" s="63"/>
      <c r="T21" s="99">
        <f t="shared" si="4"/>
        <v>0</v>
      </c>
      <c r="U21" s="103" t="str">
        <f t="shared" si="5"/>
        <v/>
      </c>
      <c r="V21" s="100">
        <f t="shared" si="6"/>
        <v>0</v>
      </c>
      <c r="W21" s="101" t="b">
        <f t="shared" si="7"/>
        <v>1</v>
      </c>
      <c r="X21">
        <f t="shared" si="8"/>
        <v>0</v>
      </c>
    </row>
    <row r="22" spans="1:24" ht="19.5" customHeight="1" x14ac:dyDescent="0.25">
      <c r="A22" s="91" t="str">
        <f t="shared" si="0"/>
        <v/>
      </c>
      <c r="B22" s="89"/>
      <c r="C22" s="85"/>
      <c r="E22" s="83"/>
      <c r="F22" s="78"/>
      <c r="G22" s="80"/>
      <c r="H22" s="47"/>
      <c r="I22" s="47"/>
      <c r="L22" s="107" t="str">
        <f t="shared" si="1"/>
        <v/>
      </c>
      <c r="M22" s="103"/>
      <c r="N22" s="109"/>
      <c r="O22" s="94"/>
      <c r="P22" s="94"/>
      <c r="Q22" s="49" t="str">
        <f t="shared" si="2"/>
        <v/>
      </c>
      <c r="R22" s="49" t="str">
        <f t="shared" si="3"/>
        <v/>
      </c>
      <c r="S22" s="63"/>
      <c r="T22" s="99">
        <f t="shared" si="4"/>
        <v>0</v>
      </c>
      <c r="U22" s="103" t="str">
        <f t="shared" si="5"/>
        <v/>
      </c>
      <c r="V22" s="100">
        <f t="shared" si="6"/>
        <v>0</v>
      </c>
      <c r="W22" s="101" t="b">
        <f t="shared" si="7"/>
        <v>1</v>
      </c>
      <c r="X22">
        <f t="shared" si="8"/>
        <v>0</v>
      </c>
    </row>
    <row r="23" spans="1:24" ht="19.5" customHeight="1" x14ac:dyDescent="0.25">
      <c r="A23" s="91" t="str">
        <f t="shared" si="0"/>
        <v/>
      </c>
      <c r="B23" s="89"/>
      <c r="C23" s="85"/>
      <c r="E23" s="83"/>
      <c r="F23" s="78"/>
      <c r="G23" s="80"/>
      <c r="H23" s="47"/>
      <c r="I23" s="47"/>
      <c r="L23" s="107" t="str">
        <f t="shared" si="1"/>
        <v/>
      </c>
      <c r="M23" s="103"/>
      <c r="N23" s="109"/>
      <c r="O23" s="94"/>
      <c r="P23" s="94"/>
      <c r="Q23" s="49" t="str">
        <f t="shared" si="2"/>
        <v/>
      </c>
      <c r="R23" s="49" t="str">
        <f t="shared" si="3"/>
        <v/>
      </c>
      <c r="S23" s="63"/>
      <c r="T23" s="99">
        <f t="shared" si="4"/>
        <v>0</v>
      </c>
      <c r="U23" s="103" t="str">
        <f t="shared" si="5"/>
        <v/>
      </c>
      <c r="V23" s="100">
        <f t="shared" si="6"/>
        <v>0</v>
      </c>
      <c r="W23" s="101" t="b">
        <f t="shared" si="7"/>
        <v>1</v>
      </c>
      <c r="X23">
        <f t="shared" si="8"/>
        <v>0</v>
      </c>
    </row>
    <row r="24" spans="1:24" ht="19.5" customHeight="1" x14ac:dyDescent="0.25">
      <c r="A24" s="91" t="str">
        <f t="shared" si="0"/>
        <v/>
      </c>
      <c r="B24" s="89"/>
      <c r="C24" s="85"/>
      <c r="E24" s="83"/>
      <c r="F24" s="78"/>
      <c r="G24" s="80"/>
      <c r="H24" s="47"/>
      <c r="I24" s="47"/>
      <c r="L24" s="107" t="str">
        <f t="shared" si="1"/>
        <v/>
      </c>
      <c r="M24" s="103"/>
      <c r="N24" s="109"/>
      <c r="O24" s="94"/>
      <c r="P24" s="94"/>
      <c r="Q24" s="49" t="str">
        <f t="shared" si="2"/>
        <v/>
      </c>
      <c r="R24" s="49" t="str">
        <f t="shared" si="3"/>
        <v/>
      </c>
      <c r="S24" s="63">
        <v>1</v>
      </c>
      <c r="T24" s="99">
        <f t="shared" si="4"/>
        <v>0</v>
      </c>
      <c r="U24" s="103" t="str">
        <f t="shared" si="5"/>
        <v/>
      </c>
      <c r="V24" s="100">
        <f t="shared" si="6"/>
        <v>0</v>
      </c>
      <c r="W24" s="101" t="b">
        <f t="shared" si="7"/>
        <v>0</v>
      </c>
      <c r="X24">
        <f t="shared" si="8"/>
        <v>1</v>
      </c>
    </row>
    <row r="25" spans="1:24" ht="19.5" customHeight="1" x14ac:dyDescent="0.25">
      <c r="A25" s="91" t="str">
        <f t="shared" si="0"/>
        <v/>
      </c>
      <c r="B25" s="89"/>
      <c r="C25" s="85"/>
      <c r="E25" s="83"/>
      <c r="F25" s="78"/>
      <c r="G25" s="80"/>
      <c r="H25" s="47"/>
      <c r="I25" s="47"/>
      <c r="L25" s="107" t="str">
        <f t="shared" si="1"/>
        <v/>
      </c>
      <c r="M25" s="103"/>
      <c r="N25" s="109"/>
      <c r="O25" s="94"/>
      <c r="P25" s="94"/>
      <c r="Q25" s="49" t="str">
        <f t="shared" si="2"/>
        <v/>
      </c>
      <c r="R25" s="49" t="str">
        <f t="shared" si="3"/>
        <v/>
      </c>
      <c r="S25" s="63"/>
      <c r="T25" s="99">
        <f t="shared" si="4"/>
        <v>0</v>
      </c>
      <c r="U25" s="103" t="str">
        <f t="shared" si="5"/>
        <v/>
      </c>
      <c r="V25" s="100">
        <f t="shared" si="6"/>
        <v>0</v>
      </c>
      <c r="W25" s="101" t="b">
        <f t="shared" si="7"/>
        <v>1</v>
      </c>
      <c r="X25">
        <f t="shared" si="8"/>
        <v>0</v>
      </c>
    </row>
    <row r="26" spans="1:24" ht="19.5" customHeight="1" x14ac:dyDescent="0.25">
      <c r="A26" s="91" t="str">
        <f t="shared" si="0"/>
        <v/>
      </c>
      <c r="B26" s="89"/>
      <c r="C26" s="85"/>
      <c r="E26" s="83"/>
      <c r="F26" s="78"/>
      <c r="G26" s="80"/>
      <c r="H26" s="47"/>
      <c r="I26" s="47"/>
      <c r="L26" s="107" t="str">
        <f t="shared" si="1"/>
        <v/>
      </c>
      <c r="M26" s="103"/>
      <c r="N26" s="109"/>
      <c r="O26" s="94"/>
      <c r="P26" s="94"/>
      <c r="Q26" s="49" t="str">
        <f t="shared" si="2"/>
        <v/>
      </c>
      <c r="R26" s="49" t="str">
        <f t="shared" si="3"/>
        <v/>
      </c>
      <c r="S26" s="63"/>
      <c r="T26" s="99">
        <f t="shared" si="4"/>
        <v>0</v>
      </c>
      <c r="U26" s="103" t="str">
        <f t="shared" si="5"/>
        <v/>
      </c>
      <c r="V26" s="100">
        <f t="shared" si="6"/>
        <v>0</v>
      </c>
      <c r="W26" s="101" t="b">
        <f t="shared" si="7"/>
        <v>1</v>
      </c>
      <c r="X26">
        <f t="shared" si="8"/>
        <v>0</v>
      </c>
    </row>
    <row r="27" spans="1:24" ht="19.5" customHeight="1" x14ac:dyDescent="0.25">
      <c r="A27" s="91" t="str">
        <f t="shared" si="0"/>
        <v/>
      </c>
      <c r="B27" s="89"/>
      <c r="C27" s="85"/>
      <c r="E27" s="83"/>
      <c r="F27" s="78"/>
      <c r="G27" s="80"/>
      <c r="H27" s="47"/>
      <c r="I27" s="47"/>
      <c r="L27" s="107" t="str">
        <f t="shared" si="1"/>
        <v/>
      </c>
      <c r="M27" s="103"/>
      <c r="N27" s="109"/>
      <c r="O27" s="94"/>
      <c r="P27" s="94"/>
      <c r="Q27" s="49" t="str">
        <f t="shared" si="2"/>
        <v/>
      </c>
      <c r="R27" s="49" t="str">
        <f t="shared" si="3"/>
        <v/>
      </c>
      <c r="S27" s="63"/>
      <c r="T27" s="99">
        <f t="shared" si="4"/>
        <v>0</v>
      </c>
      <c r="U27" s="103" t="str">
        <f t="shared" si="5"/>
        <v/>
      </c>
      <c r="V27" s="100">
        <f t="shared" si="6"/>
        <v>0</v>
      </c>
      <c r="W27" s="101" t="b">
        <f t="shared" si="7"/>
        <v>1</v>
      </c>
      <c r="X27">
        <f t="shared" si="8"/>
        <v>0</v>
      </c>
    </row>
    <row r="28" spans="1:24" ht="19.5" customHeight="1" x14ac:dyDescent="0.25">
      <c r="A28" s="91" t="str">
        <f t="shared" si="0"/>
        <v/>
      </c>
      <c r="B28" s="89"/>
      <c r="C28" s="85"/>
      <c r="E28" s="83"/>
      <c r="F28" s="78"/>
      <c r="G28" s="80"/>
      <c r="H28" s="47"/>
      <c r="I28" s="47"/>
      <c r="L28" s="107" t="str">
        <f t="shared" si="1"/>
        <v/>
      </c>
      <c r="M28" s="103"/>
      <c r="N28" s="109"/>
      <c r="O28" s="94"/>
      <c r="P28" s="94"/>
      <c r="Q28" s="49" t="str">
        <f t="shared" si="2"/>
        <v/>
      </c>
      <c r="R28" s="49" t="str">
        <f t="shared" si="3"/>
        <v/>
      </c>
      <c r="S28" s="63"/>
      <c r="T28" s="99">
        <f t="shared" si="4"/>
        <v>0</v>
      </c>
      <c r="U28" s="103" t="str">
        <f t="shared" si="5"/>
        <v/>
      </c>
      <c r="V28" s="100">
        <f t="shared" si="6"/>
        <v>0</v>
      </c>
      <c r="W28" s="101" t="b">
        <f t="shared" si="7"/>
        <v>1</v>
      </c>
      <c r="X28">
        <f t="shared" si="8"/>
        <v>0</v>
      </c>
    </row>
    <row r="29" spans="1:24" ht="19.5" customHeight="1" x14ac:dyDescent="0.25">
      <c r="A29" s="91" t="str">
        <f t="shared" si="0"/>
        <v/>
      </c>
      <c r="B29" s="89"/>
      <c r="C29" s="85"/>
      <c r="E29" s="83"/>
      <c r="F29" s="78"/>
      <c r="G29" s="80"/>
      <c r="H29" s="47"/>
      <c r="I29" s="47"/>
      <c r="L29" s="107" t="str">
        <f t="shared" si="1"/>
        <v/>
      </c>
      <c r="M29" s="103"/>
      <c r="N29" s="109"/>
      <c r="O29" s="94"/>
      <c r="P29" s="94"/>
      <c r="Q29" s="49" t="str">
        <f t="shared" si="2"/>
        <v/>
      </c>
      <c r="R29" s="49" t="str">
        <f t="shared" si="3"/>
        <v/>
      </c>
      <c r="S29" s="63"/>
      <c r="T29" s="99">
        <f t="shared" si="4"/>
        <v>0</v>
      </c>
      <c r="U29" s="103" t="str">
        <f t="shared" si="5"/>
        <v/>
      </c>
      <c r="V29" s="100">
        <f t="shared" si="6"/>
        <v>0</v>
      </c>
      <c r="W29" s="101" t="b">
        <f t="shared" si="7"/>
        <v>1</v>
      </c>
      <c r="X29">
        <f t="shared" si="8"/>
        <v>0</v>
      </c>
    </row>
    <row r="30" spans="1:24" ht="19.5" customHeight="1" x14ac:dyDescent="0.25">
      <c r="A30" s="91" t="str">
        <f t="shared" si="0"/>
        <v/>
      </c>
      <c r="B30" s="89"/>
      <c r="C30" s="85"/>
      <c r="E30" s="83"/>
      <c r="F30" s="78"/>
      <c r="G30" s="80"/>
      <c r="H30" s="47"/>
      <c r="I30" s="47"/>
      <c r="L30" s="107" t="str">
        <f t="shared" si="1"/>
        <v/>
      </c>
      <c r="M30" s="103"/>
      <c r="N30" s="109"/>
      <c r="O30" s="94"/>
      <c r="P30" s="94"/>
      <c r="Q30" s="49" t="str">
        <f t="shared" si="2"/>
        <v/>
      </c>
      <c r="R30" s="49" t="str">
        <f t="shared" si="3"/>
        <v/>
      </c>
      <c r="S30" s="63"/>
      <c r="T30" s="99">
        <f t="shared" si="4"/>
        <v>0</v>
      </c>
      <c r="U30" s="103" t="str">
        <f t="shared" si="5"/>
        <v/>
      </c>
      <c r="V30" s="100">
        <f t="shared" si="6"/>
        <v>0</v>
      </c>
      <c r="W30" s="101" t="b">
        <f t="shared" si="7"/>
        <v>1</v>
      </c>
      <c r="X30">
        <f t="shared" si="8"/>
        <v>0</v>
      </c>
    </row>
    <row r="31" spans="1:24" ht="19.5" customHeight="1" x14ac:dyDescent="0.25">
      <c r="A31" s="91" t="str">
        <f t="shared" si="0"/>
        <v/>
      </c>
      <c r="B31" s="89"/>
      <c r="C31" s="85"/>
      <c r="E31" s="83"/>
      <c r="F31" s="78"/>
      <c r="G31" s="80"/>
      <c r="H31" s="47"/>
      <c r="I31" s="47"/>
      <c r="L31" s="107" t="str">
        <f t="shared" si="1"/>
        <v/>
      </c>
      <c r="M31" s="103"/>
      <c r="N31" s="109"/>
      <c r="O31" s="94"/>
      <c r="P31" s="94"/>
      <c r="Q31" s="49" t="str">
        <f t="shared" si="2"/>
        <v/>
      </c>
      <c r="R31" s="49" t="str">
        <f t="shared" si="3"/>
        <v/>
      </c>
      <c r="S31" s="63"/>
      <c r="T31" s="99">
        <f t="shared" si="4"/>
        <v>0</v>
      </c>
      <c r="U31" s="103" t="str">
        <f t="shared" si="5"/>
        <v/>
      </c>
      <c r="V31" s="100">
        <f t="shared" si="6"/>
        <v>0</v>
      </c>
      <c r="W31" s="101" t="b">
        <f t="shared" si="7"/>
        <v>1</v>
      </c>
      <c r="X31">
        <f t="shared" si="8"/>
        <v>0</v>
      </c>
    </row>
    <row r="32" spans="1:24" ht="19.5" customHeight="1" x14ac:dyDescent="0.25">
      <c r="A32" s="91" t="str">
        <f t="shared" si="0"/>
        <v/>
      </c>
      <c r="B32" s="89"/>
      <c r="C32" s="85"/>
      <c r="E32" s="83"/>
      <c r="F32" s="78"/>
      <c r="G32" s="80"/>
      <c r="H32" s="47"/>
      <c r="I32" s="47"/>
      <c r="L32" s="107" t="str">
        <f t="shared" si="1"/>
        <v/>
      </c>
      <c r="M32" s="103"/>
      <c r="N32" s="109"/>
      <c r="O32" s="94"/>
      <c r="P32" s="94"/>
      <c r="Q32" s="49" t="str">
        <f t="shared" si="2"/>
        <v/>
      </c>
      <c r="R32" s="49" t="str">
        <f t="shared" si="3"/>
        <v/>
      </c>
      <c r="S32" s="63"/>
      <c r="T32" s="99">
        <f t="shared" si="4"/>
        <v>0</v>
      </c>
      <c r="U32" s="103" t="str">
        <f t="shared" si="5"/>
        <v/>
      </c>
      <c r="V32" s="100">
        <f t="shared" si="6"/>
        <v>0</v>
      </c>
      <c r="W32" s="101" t="b">
        <f t="shared" si="7"/>
        <v>1</v>
      </c>
      <c r="X32">
        <f t="shared" si="8"/>
        <v>0</v>
      </c>
    </row>
    <row r="33" spans="1:24" ht="19.5" customHeight="1" x14ac:dyDescent="0.25">
      <c r="A33" s="91" t="str">
        <f t="shared" si="0"/>
        <v/>
      </c>
      <c r="B33" s="89"/>
      <c r="C33" s="85"/>
      <c r="E33" s="83"/>
      <c r="F33" s="78"/>
      <c r="G33" s="80"/>
      <c r="H33" s="47"/>
      <c r="I33" s="47"/>
      <c r="L33" s="107" t="str">
        <f t="shared" si="1"/>
        <v/>
      </c>
      <c r="M33" s="103"/>
      <c r="N33" s="109"/>
      <c r="O33" s="94"/>
      <c r="P33" s="94"/>
      <c r="Q33" s="49" t="str">
        <f t="shared" si="2"/>
        <v/>
      </c>
      <c r="R33" s="49" t="str">
        <f t="shared" si="3"/>
        <v/>
      </c>
      <c r="S33" s="63"/>
      <c r="T33" s="99">
        <f t="shared" si="4"/>
        <v>0</v>
      </c>
      <c r="U33" s="103" t="str">
        <f t="shared" si="5"/>
        <v/>
      </c>
      <c r="V33" s="100">
        <f t="shared" si="6"/>
        <v>0</v>
      </c>
      <c r="W33" s="101" t="b">
        <f t="shared" si="7"/>
        <v>1</v>
      </c>
      <c r="X33">
        <f t="shared" si="8"/>
        <v>0</v>
      </c>
    </row>
    <row r="34" spans="1:24" ht="19.5" customHeight="1" x14ac:dyDescent="0.25">
      <c r="A34" s="91" t="str">
        <f t="shared" si="0"/>
        <v/>
      </c>
      <c r="B34" s="89"/>
      <c r="C34" s="85"/>
      <c r="E34" s="83"/>
      <c r="F34" s="78"/>
      <c r="G34" s="80"/>
      <c r="H34" s="47"/>
      <c r="I34" s="47"/>
      <c r="L34" s="107" t="str">
        <f t="shared" si="1"/>
        <v/>
      </c>
      <c r="M34" s="103"/>
      <c r="N34" s="109"/>
      <c r="O34" s="94"/>
      <c r="P34" s="94"/>
      <c r="Q34" s="49" t="str">
        <f t="shared" si="2"/>
        <v/>
      </c>
      <c r="R34" s="49" t="str">
        <f t="shared" si="3"/>
        <v/>
      </c>
      <c r="S34" s="63"/>
      <c r="T34" s="99">
        <f t="shared" si="4"/>
        <v>0</v>
      </c>
      <c r="U34" s="103" t="str">
        <f t="shared" si="5"/>
        <v/>
      </c>
      <c r="V34" s="100">
        <f t="shared" si="6"/>
        <v>0</v>
      </c>
      <c r="W34" s="101" t="b">
        <f t="shared" si="7"/>
        <v>1</v>
      </c>
      <c r="X34">
        <f t="shared" si="8"/>
        <v>0</v>
      </c>
    </row>
    <row r="35" spans="1:24" ht="19.5" customHeight="1" x14ac:dyDescent="0.25">
      <c r="A35" s="91" t="str">
        <f t="shared" ref="A35:A66" si="9">IF(LEN(B35)=0,"",ROW()-2)</f>
        <v/>
      </c>
      <c r="B35" s="89"/>
      <c r="C35" s="85"/>
      <c r="E35" s="83"/>
      <c r="F35" s="78"/>
      <c r="G35" s="80"/>
      <c r="H35" s="47"/>
      <c r="I35" s="47"/>
      <c r="L35" s="107" t="str">
        <f t="shared" ref="L35:L66" si="10">IF(LEN(M35)=0,"",ROW()-2)</f>
        <v/>
      </c>
      <c r="M35" s="103"/>
      <c r="N35" s="109"/>
      <c r="O35" s="94"/>
      <c r="P35" s="94"/>
      <c r="Q35" s="49" t="str">
        <f t="shared" ref="Q35:Q66" si="11">IF(ISBLANK(M35),"",ROUNDUP(N35,0))</f>
        <v/>
      </c>
      <c r="R35" s="49" t="str">
        <f t="shared" ref="R35:R66" si="12">IF(ISBLANK(B35), "", IF(OR(AND(F35=0, G35&gt;=5), AND(F35&gt;0, G35&gt;1)), 1, 0))</f>
        <v/>
      </c>
      <c r="S35" s="63"/>
      <c r="T35" s="99">
        <f t="shared" ref="T35:T66" si="13">IF(N35&gt;=5,1,0)</f>
        <v>0</v>
      </c>
      <c r="U35" s="103" t="str">
        <f t="shared" ref="U35:U66" si="14">IF(OR(ISBLANK(M35),SUM(S35,T35)=0),"",+M35)</f>
        <v/>
      </c>
      <c r="V35" s="100">
        <f t="shared" ref="V35:V66" si="15">IFERROR(+P35*SUM(S35:T35),"")</f>
        <v>0</v>
      </c>
      <c r="W35" s="101" t="b">
        <f t="shared" ref="W35:W66" si="16">AND(_xlfn.ISFORMULA(T35),NOT(ISNUMBER(S35)))</f>
        <v>1</v>
      </c>
      <c r="X35">
        <f t="shared" si="8"/>
        <v>0</v>
      </c>
    </row>
    <row r="36" spans="1:24" ht="19.5" customHeight="1" x14ac:dyDescent="0.25">
      <c r="A36" s="91" t="str">
        <f t="shared" si="9"/>
        <v/>
      </c>
      <c r="B36" s="89"/>
      <c r="C36" s="85"/>
      <c r="E36" s="83"/>
      <c r="F36" s="78"/>
      <c r="G36" s="80"/>
      <c r="H36" s="47"/>
      <c r="I36" s="47"/>
      <c r="L36" s="107" t="str">
        <f t="shared" si="10"/>
        <v/>
      </c>
      <c r="M36" s="103"/>
      <c r="N36" s="109"/>
      <c r="O36" s="94"/>
      <c r="P36" s="94"/>
      <c r="Q36" s="49" t="str">
        <f t="shared" si="11"/>
        <v/>
      </c>
      <c r="R36" s="49" t="str">
        <f t="shared" si="12"/>
        <v/>
      </c>
      <c r="S36" s="63"/>
      <c r="T36" s="99">
        <f t="shared" si="13"/>
        <v>0</v>
      </c>
      <c r="U36" s="103" t="str">
        <f t="shared" si="14"/>
        <v/>
      </c>
      <c r="V36" s="100">
        <f t="shared" si="15"/>
        <v>0</v>
      </c>
      <c r="W36" s="101" t="b">
        <f t="shared" si="16"/>
        <v>1</v>
      </c>
      <c r="X36">
        <f t="shared" si="8"/>
        <v>0</v>
      </c>
    </row>
    <row r="37" spans="1:24" ht="19.5" customHeight="1" x14ac:dyDescent="0.25">
      <c r="A37" s="91" t="str">
        <f t="shared" si="9"/>
        <v/>
      </c>
      <c r="B37" s="89"/>
      <c r="C37" s="85"/>
      <c r="E37" s="83"/>
      <c r="F37" s="78"/>
      <c r="G37" s="80"/>
      <c r="H37" s="47"/>
      <c r="I37" s="47"/>
      <c r="L37" s="107" t="str">
        <f t="shared" si="10"/>
        <v/>
      </c>
      <c r="M37" s="103"/>
      <c r="N37" s="109"/>
      <c r="O37" s="94"/>
      <c r="P37" s="94"/>
      <c r="Q37" s="49" t="str">
        <f t="shared" si="11"/>
        <v/>
      </c>
      <c r="R37" s="49" t="str">
        <f t="shared" si="12"/>
        <v/>
      </c>
      <c r="S37" s="63"/>
      <c r="T37" s="99">
        <f t="shared" si="13"/>
        <v>0</v>
      </c>
      <c r="U37" s="103" t="str">
        <f t="shared" si="14"/>
        <v/>
      </c>
      <c r="V37" s="100">
        <f t="shared" si="15"/>
        <v>0</v>
      </c>
      <c r="W37" s="101" t="b">
        <f t="shared" si="16"/>
        <v>1</v>
      </c>
      <c r="X37">
        <f t="shared" si="8"/>
        <v>0</v>
      </c>
    </row>
    <row r="38" spans="1:24" ht="19.5" customHeight="1" x14ac:dyDescent="0.25">
      <c r="A38" s="91" t="str">
        <f t="shared" si="9"/>
        <v/>
      </c>
      <c r="B38" s="89"/>
      <c r="C38" s="85"/>
      <c r="E38" s="83"/>
      <c r="F38" s="78"/>
      <c r="G38" s="80"/>
      <c r="H38" s="47"/>
      <c r="I38" s="47"/>
      <c r="L38" s="107" t="str">
        <f t="shared" si="10"/>
        <v/>
      </c>
      <c r="M38" s="103"/>
      <c r="N38" s="109"/>
      <c r="O38" s="94"/>
      <c r="P38" s="94"/>
      <c r="Q38" s="49" t="str">
        <f t="shared" si="11"/>
        <v/>
      </c>
      <c r="R38" s="49" t="str">
        <f t="shared" si="12"/>
        <v/>
      </c>
      <c r="S38" s="63"/>
      <c r="T38" s="99">
        <f t="shared" si="13"/>
        <v>0</v>
      </c>
      <c r="U38" s="103" t="str">
        <f t="shared" si="14"/>
        <v/>
      </c>
      <c r="V38" s="100">
        <f t="shared" si="15"/>
        <v>0</v>
      </c>
      <c r="W38" s="101" t="b">
        <f t="shared" si="16"/>
        <v>1</v>
      </c>
      <c r="X38">
        <f t="shared" si="8"/>
        <v>0</v>
      </c>
    </row>
    <row r="39" spans="1:24" ht="19.5" customHeight="1" x14ac:dyDescent="0.25">
      <c r="A39" s="91" t="str">
        <f t="shared" si="9"/>
        <v/>
      </c>
      <c r="B39" s="89"/>
      <c r="C39" s="85"/>
      <c r="E39" s="83"/>
      <c r="F39" s="78"/>
      <c r="G39" s="80"/>
      <c r="H39" s="47"/>
      <c r="I39" s="47"/>
      <c r="L39" s="107" t="str">
        <f t="shared" si="10"/>
        <v/>
      </c>
      <c r="M39" s="103"/>
      <c r="N39" s="109"/>
      <c r="O39" s="94"/>
      <c r="P39" s="94"/>
      <c r="Q39" s="49" t="str">
        <f t="shared" si="11"/>
        <v/>
      </c>
      <c r="R39" s="49" t="str">
        <f t="shared" si="12"/>
        <v/>
      </c>
      <c r="S39" s="63">
        <v>1</v>
      </c>
      <c r="T39" s="99">
        <f t="shared" si="13"/>
        <v>0</v>
      </c>
      <c r="U39" s="103" t="str">
        <f t="shared" si="14"/>
        <v/>
      </c>
      <c r="V39" s="100">
        <f t="shared" si="15"/>
        <v>0</v>
      </c>
      <c r="W39" s="101" t="b">
        <f t="shared" si="16"/>
        <v>0</v>
      </c>
      <c r="X39">
        <f t="shared" si="8"/>
        <v>1</v>
      </c>
    </row>
    <row r="40" spans="1:24" ht="19.5" customHeight="1" x14ac:dyDescent="0.25">
      <c r="A40" s="91" t="str">
        <f t="shared" si="9"/>
        <v/>
      </c>
      <c r="B40" s="89"/>
      <c r="C40" s="85"/>
      <c r="E40" s="83"/>
      <c r="F40" s="78"/>
      <c r="G40" s="80"/>
      <c r="H40" s="47"/>
      <c r="I40" s="47"/>
      <c r="L40" s="107" t="str">
        <f t="shared" si="10"/>
        <v/>
      </c>
      <c r="M40" s="103"/>
      <c r="N40" s="109"/>
      <c r="O40" s="94"/>
      <c r="P40" s="94"/>
      <c r="Q40" s="49" t="str">
        <f t="shared" si="11"/>
        <v/>
      </c>
      <c r="R40" s="49" t="str">
        <f t="shared" si="12"/>
        <v/>
      </c>
      <c r="S40" s="63"/>
      <c r="T40" s="99">
        <f t="shared" si="13"/>
        <v>0</v>
      </c>
      <c r="U40" s="103" t="str">
        <f t="shared" si="14"/>
        <v/>
      </c>
      <c r="V40" s="100">
        <f t="shared" si="15"/>
        <v>0</v>
      </c>
      <c r="W40" s="101" t="b">
        <f t="shared" si="16"/>
        <v>1</v>
      </c>
      <c r="X40">
        <f t="shared" si="8"/>
        <v>0</v>
      </c>
    </row>
    <row r="41" spans="1:24" ht="19.5" customHeight="1" x14ac:dyDescent="0.25">
      <c r="A41" s="91" t="str">
        <f t="shared" si="9"/>
        <v/>
      </c>
      <c r="B41" s="89"/>
      <c r="C41" s="85"/>
      <c r="E41" s="83"/>
      <c r="F41" s="78"/>
      <c r="G41" s="80"/>
      <c r="H41" s="47"/>
      <c r="I41" s="47"/>
      <c r="L41" s="107" t="str">
        <f t="shared" si="10"/>
        <v/>
      </c>
      <c r="M41" s="103"/>
      <c r="N41" s="109"/>
      <c r="O41" s="94"/>
      <c r="P41" s="94"/>
      <c r="Q41" s="49" t="str">
        <f t="shared" si="11"/>
        <v/>
      </c>
      <c r="R41" s="49" t="str">
        <f t="shared" si="12"/>
        <v/>
      </c>
      <c r="S41" s="63"/>
      <c r="T41" s="99">
        <f t="shared" si="13"/>
        <v>0</v>
      </c>
      <c r="U41" s="103" t="str">
        <f t="shared" si="14"/>
        <v/>
      </c>
      <c r="V41" s="100">
        <f t="shared" si="15"/>
        <v>0</v>
      </c>
      <c r="W41" s="101" t="b">
        <f t="shared" si="16"/>
        <v>1</v>
      </c>
      <c r="X41">
        <f t="shared" si="8"/>
        <v>0</v>
      </c>
    </row>
    <row r="42" spans="1:24" ht="19.5" customHeight="1" x14ac:dyDescent="0.25">
      <c r="A42" s="91" t="str">
        <f t="shared" si="9"/>
        <v/>
      </c>
      <c r="B42" s="89"/>
      <c r="C42" s="85"/>
      <c r="E42" s="83"/>
      <c r="F42" s="78"/>
      <c r="G42" s="80"/>
      <c r="H42" s="47"/>
      <c r="I42" s="47"/>
      <c r="L42" s="107" t="str">
        <f t="shared" si="10"/>
        <v/>
      </c>
      <c r="M42" s="103"/>
      <c r="N42" s="109"/>
      <c r="O42" s="94"/>
      <c r="P42" s="94"/>
      <c r="Q42" s="49" t="str">
        <f t="shared" si="11"/>
        <v/>
      </c>
      <c r="R42" s="49" t="str">
        <f t="shared" si="12"/>
        <v/>
      </c>
      <c r="S42" s="63">
        <v>1</v>
      </c>
      <c r="T42" s="99">
        <f t="shared" si="13"/>
        <v>0</v>
      </c>
      <c r="U42" s="103" t="str">
        <f t="shared" si="14"/>
        <v/>
      </c>
      <c r="V42" s="100">
        <f t="shared" si="15"/>
        <v>0</v>
      </c>
      <c r="W42" s="101" t="b">
        <f t="shared" si="16"/>
        <v>0</v>
      </c>
      <c r="X42">
        <f t="shared" si="8"/>
        <v>1</v>
      </c>
    </row>
    <row r="43" spans="1:24" ht="19.5" customHeight="1" x14ac:dyDescent="0.25">
      <c r="A43" s="91" t="str">
        <f t="shared" si="9"/>
        <v/>
      </c>
      <c r="B43" s="89"/>
      <c r="C43" s="85"/>
      <c r="E43" s="83"/>
      <c r="F43" s="78"/>
      <c r="G43" s="80"/>
      <c r="H43" s="47"/>
      <c r="I43" s="47"/>
      <c r="L43" s="107" t="str">
        <f t="shared" si="10"/>
        <v/>
      </c>
      <c r="M43" s="103"/>
      <c r="N43" s="109"/>
      <c r="O43" s="94"/>
      <c r="P43" s="94"/>
      <c r="Q43" s="49" t="str">
        <f t="shared" si="11"/>
        <v/>
      </c>
      <c r="R43" s="49" t="str">
        <f t="shared" si="12"/>
        <v/>
      </c>
      <c r="S43" s="63"/>
      <c r="T43" s="99">
        <f t="shared" si="13"/>
        <v>0</v>
      </c>
      <c r="U43" s="103" t="str">
        <f t="shared" si="14"/>
        <v/>
      </c>
      <c r="V43" s="100">
        <f t="shared" si="15"/>
        <v>0</v>
      </c>
      <c r="W43" s="101" t="b">
        <f t="shared" si="16"/>
        <v>1</v>
      </c>
      <c r="X43">
        <f t="shared" si="8"/>
        <v>0</v>
      </c>
    </row>
    <row r="44" spans="1:24" ht="19.5" customHeight="1" x14ac:dyDescent="0.25">
      <c r="A44" s="91" t="str">
        <f t="shared" si="9"/>
        <v/>
      </c>
      <c r="B44" s="89"/>
      <c r="C44" s="85"/>
      <c r="E44" s="83"/>
      <c r="F44" s="78"/>
      <c r="G44" s="80"/>
      <c r="H44" s="47"/>
      <c r="I44" s="47"/>
      <c r="L44" s="107" t="str">
        <f t="shared" si="10"/>
        <v/>
      </c>
      <c r="M44" s="103"/>
      <c r="N44" s="109"/>
      <c r="O44" s="94"/>
      <c r="P44" s="94"/>
      <c r="Q44" s="49" t="str">
        <f t="shared" si="11"/>
        <v/>
      </c>
      <c r="R44" s="49" t="str">
        <f t="shared" si="12"/>
        <v/>
      </c>
      <c r="S44" s="63"/>
      <c r="T44" s="99">
        <f t="shared" si="13"/>
        <v>0</v>
      </c>
      <c r="U44" s="103" t="str">
        <f t="shared" si="14"/>
        <v/>
      </c>
      <c r="V44" s="100">
        <f t="shared" si="15"/>
        <v>0</v>
      </c>
      <c r="W44" s="101" t="b">
        <f t="shared" si="16"/>
        <v>1</v>
      </c>
      <c r="X44">
        <f t="shared" si="8"/>
        <v>0</v>
      </c>
    </row>
    <row r="45" spans="1:24" ht="19.5" customHeight="1" x14ac:dyDescent="0.25">
      <c r="A45" s="91" t="str">
        <f t="shared" si="9"/>
        <v/>
      </c>
      <c r="B45" s="89"/>
      <c r="C45" s="85"/>
      <c r="E45" s="83"/>
      <c r="F45" s="78"/>
      <c r="G45" s="80"/>
      <c r="H45" s="47"/>
      <c r="I45" s="47"/>
      <c r="L45" s="107" t="str">
        <f t="shared" si="10"/>
        <v/>
      </c>
      <c r="M45" s="103"/>
      <c r="N45" s="109"/>
      <c r="O45" s="94"/>
      <c r="P45" s="94"/>
      <c r="Q45" s="49" t="str">
        <f t="shared" si="11"/>
        <v/>
      </c>
      <c r="R45" s="49" t="str">
        <f t="shared" si="12"/>
        <v/>
      </c>
      <c r="S45" s="63"/>
      <c r="T45" s="99">
        <f t="shared" si="13"/>
        <v>0</v>
      </c>
      <c r="U45" s="103" t="str">
        <f t="shared" si="14"/>
        <v/>
      </c>
      <c r="V45" s="100">
        <f t="shared" si="15"/>
        <v>0</v>
      </c>
      <c r="W45" s="101" t="b">
        <f t="shared" si="16"/>
        <v>1</v>
      </c>
      <c r="X45">
        <f t="shared" si="8"/>
        <v>0</v>
      </c>
    </row>
    <row r="46" spans="1:24" ht="19.5" customHeight="1" x14ac:dyDescent="0.25">
      <c r="A46" s="91" t="str">
        <f t="shared" si="9"/>
        <v/>
      </c>
      <c r="B46" s="89"/>
      <c r="C46" s="85"/>
      <c r="E46" s="83"/>
      <c r="F46" s="78"/>
      <c r="G46" s="80"/>
      <c r="H46" s="47"/>
      <c r="I46" s="47"/>
      <c r="L46" s="107" t="str">
        <f t="shared" si="10"/>
        <v/>
      </c>
      <c r="M46" s="103"/>
      <c r="N46" s="109"/>
      <c r="O46" s="94"/>
      <c r="P46" s="94"/>
      <c r="Q46" s="49" t="str">
        <f t="shared" si="11"/>
        <v/>
      </c>
      <c r="R46" s="49" t="str">
        <f t="shared" si="12"/>
        <v/>
      </c>
      <c r="S46" s="63"/>
      <c r="T46" s="99">
        <f t="shared" si="13"/>
        <v>0</v>
      </c>
      <c r="U46" s="103" t="str">
        <f t="shared" si="14"/>
        <v/>
      </c>
      <c r="V46" s="100">
        <f t="shared" si="15"/>
        <v>0</v>
      </c>
      <c r="W46" s="101" t="b">
        <f t="shared" si="16"/>
        <v>1</v>
      </c>
      <c r="X46">
        <f t="shared" si="8"/>
        <v>0</v>
      </c>
    </row>
    <row r="47" spans="1:24" ht="19.5" customHeight="1" x14ac:dyDescent="0.25">
      <c r="A47" s="91" t="str">
        <f t="shared" si="9"/>
        <v/>
      </c>
      <c r="B47" s="89"/>
      <c r="C47" s="85"/>
      <c r="E47" s="83"/>
      <c r="F47" s="78"/>
      <c r="G47" s="80"/>
      <c r="H47" s="47"/>
      <c r="I47" s="47"/>
      <c r="L47" s="107" t="str">
        <f t="shared" si="10"/>
        <v/>
      </c>
      <c r="M47" s="103"/>
      <c r="N47" s="109"/>
      <c r="O47" s="94"/>
      <c r="P47" s="94"/>
      <c r="Q47" s="49" t="str">
        <f t="shared" si="11"/>
        <v/>
      </c>
      <c r="R47" s="49" t="str">
        <f t="shared" si="12"/>
        <v/>
      </c>
      <c r="S47" s="63"/>
      <c r="T47" s="99">
        <f t="shared" si="13"/>
        <v>0</v>
      </c>
      <c r="U47" s="103" t="str">
        <f t="shared" si="14"/>
        <v/>
      </c>
      <c r="V47" s="100">
        <f t="shared" si="15"/>
        <v>0</v>
      </c>
      <c r="W47" s="101" t="b">
        <f t="shared" si="16"/>
        <v>1</v>
      </c>
      <c r="X47">
        <f t="shared" si="8"/>
        <v>0</v>
      </c>
    </row>
    <row r="48" spans="1:24" ht="19.5" customHeight="1" x14ac:dyDescent="0.25">
      <c r="A48" s="91" t="str">
        <f t="shared" si="9"/>
        <v/>
      </c>
      <c r="B48" s="89"/>
      <c r="C48" s="85"/>
      <c r="E48" s="83"/>
      <c r="F48" s="78"/>
      <c r="G48" s="80"/>
      <c r="H48" s="47"/>
      <c r="I48" s="47"/>
      <c r="L48" s="107" t="str">
        <f t="shared" si="10"/>
        <v/>
      </c>
      <c r="M48" s="103"/>
      <c r="N48" s="109"/>
      <c r="O48" s="94"/>
      <c r="P48" s="94"/>
      <c r="Q48" s="49" t="str">
        <f t="shared" si="11"/>
        <v/>
      </c>
      <c r="R48" s="49" t="str">
        <f t="shared" si="12"/>
        <v/>
      </c>
      <c r="S48" s="63"/>
      <c r="T48" s="99">
        <f t="shared" si="13"/>
        <v>0</v>
      </c>
      <c r="U48" s="103" t="str">
        <f t="shared" si="14"/>
        <v/>
      </c>
      <c r="V48" s="100">
        <f t="shared" si="15"/>
        <v>0</v>
      </c>
      <c r="W48" s="101" t="b">
        <f t="shared" si="16"/>
        <v>1</v>
      </c>
      <c r="X48">
        <f t="shared" si="8"/>
        <v>0</v>
      </c>
    </row>
    <row r="49" spans="1:24" ht="19.5" customHeight="1" x14ac:dyDescent="0.25">
      <c r="A49" s="91" t="str">
        <f t="shared" si="9"/>
        <v/>
      </c>
      <c r="B49" s="89"/>
      <c r="C49" s="85"/>
      <c r="E49" s="83"/>
      <c r="F49" s="78"/>
      <c r="G49" s="80"/>
      <c r="H49" s="47"/>
      <c r="I49" s="47"/>
      <c r="L49" s="107" t="str">
        <f t="shared" si="10"/>
        <v/>
      </c>
      <c r="M49" s="103"/>
      <c r="N49" s="109"/>
      <c r="O49" s="94"/>
      <c r="P49" s="94"/>
      <c r="Q49" s="49" t="str">
        <f t="shared" si="11"/>
        <v/>
      </c>
      <c r="R49" s="49" t="str">
        <f t="shared" si="12"/>
        <v/>
      </c>
      <c r="S49" s="63"/>
      <c r="T49" s="99">
        <f t="shared" si="13"/>
        <v>0</v>
      </c>
      <c r="U49" s="103" t="str">
        <f t="shared" si="14"/>
        <v/>
      </c>
      <c r="V49" s="100">
        <f t="shared" si="15"/>
        <v>0</v>
      </c>
      <c r="W49" s="101" t="b">
        <f t="shared" si="16"/>
        <v>1</v>
      </c>
      <c r="X49">
        <f t="shared" si="8"/>
        <v>0</v>
      </c>
    </row>
    <row r="50" spans="1:24" ht="19.5" customHeight="1" x14ac:dyDescent="0.25">
      <c r="A50" s="91" t="str">
        <f t="shared" si="9"/>
        <v/>
      </c>
      <c r="B50" s="89"/>
      <c r="C50" s="85"/>
      <c r="E50" s="83"/>
      <c r="F50" s="78"/>
      <c r="G50" s="80"/>
      <c r="H50" s="47"/>
      <c r="I50" s="47"/>
      <c r="L50" s="107" t="str">
        <f t="shared" si="10"/>
        <v/>
      </c>
      <c r="M50" s="103"/>
      <c r="N50" s="109"/>
      <c r="O50" s="94"/>
      <c r="P50" s="94"/>
      <c r="Q50" s="49" t="str">
        <f t="shared" si="11"/>
        <v/>
      </c>
      <c r="R50" s="49" t="str">
        <f t="shared" si="12"/>
        <v/>
      </c>
      <c r="S50" s="63"/>
      <c r="T50" s="99">
        <f t="shared" si="13"/>
        <v>0</v>
      </c>
      <c r="U50" s="103" t="str">
        <f t="shared" si="14"/>
        <v/>
      </c>
      <c r="V50" s="100">
        <f t="shared" si="15"/>
        <v>0</v>
      </c>
      <c r="W50" s="101" t="b">
        <f t="shared" si="16"/>
        <v>1</v>
      </c>
      <c r="X50">
        <f t="shared" si="8"/>
        <v>0</v>
      </c>
    </row>
    <row r="51" spans="1:24" ht="19.5" customHeight="1" x14ac:dyDescent="0.25">
      <c r="A51" s="91" t="str">
        <f t="shared" si="9"/>
        <v/>
      </c>
      <c r="B51" s="89"/>
      <c r="C51" s="85"/>
      <c r="E51" s="83"/>
      <c r="F51" s="78"/>
      <c r="G51" s="80"/>
      <c r="H51" s="47"/>
      <c r="I51" s="47"/>
      <c r="L51" s="107" t="str">
        <f t="shared" si="10"/>
        <v/>
      </c>
      <c r="M51" s="103"/>
      <c r="N51" s="109"/>
      <c r="O51" s="94"/>
      <c r="P51" s="94"/>
      <c r="Q51" s="49" t="str">
        <f t="shared" si="11"/>
        <v/>
      </c>
      <c r="R51" s="49" t="str">
        <f t="shared" si="12"/>
        <v/>
      </c>
      <c r="S51" s="63"/>
      <c r="T51" s="99">
        <f t="shared" si="13"/>
        <v>0</v>
      </c>
      <c r="U51" s="103" t="str">
        <f t="shared" si="14"/>
        <v/>
      </c>
      <c r="V51" s="100">
        <f t="shared" si="15"/>
        <v>0</v>
      </c>
      <c r="W51" s="101" t="b">
        <f t="shared" si="16"/>
        <v>1</v>
      </c>
      <c r="X51">
        <f t="shared" si="8"/>
        <v>0</v>
      </c>
    </row>
    <row r="52" spans="1:24" ht="19.5" customHeight="1" x14ac:dyDescent="0.25">
      <c r="A52" s="91" t="str">
        <f t="shared" si="9"/>
        <v/>
      </c>
      <c r="B52" s="89"/>
      <c r="C52" s="85"/>
      <c r="E52" s="83"/>
      <c r="F52" s="78"/>
      <c r="G52" s="80"/>
      <c r="H52" s="47"/>
      <c r="I52" s="47"/>
      <c r="L52" s="107" t="str">
        <f t="shared" si="10"/>
        <v/>
      </c>
      <c r="M52" s="103"/>
      <c r="N52" s="109"/>
      <c r="O52" s="94"/>
      <c r="P52" s="94"/>
      <c r="Q52" s="49" t="str">
        <f t="shared" si="11"/>
        <v/>
      </c>
      <c r="R52" s="49" t="str">
        <f t="shared" si="12"/>
        <v/>
      </c>
      <c r="S52" s="63"/>
      <c r="T52" s="99">
        <f t="shared" si="13"/>
        <v>0</v>
      </c>
      <c r="U52" s="103" t="str">
        <f t="shared" si="14"/>
        <v/>
      </c>
      <c r="V52" s="100">
        <f t="shared" si="15"/>
        <v>0</v>
      </c>
      <c r="W52" s="101" t="b">
        <f t="shared" si="16"/>
        <v>1</v>
      </c>
      <c r="X52">
        <f t="shared" si="8"/>
        <v>0</v>
      </c>
    </row>
    <row r="53" spans="1:24" ht="19.5" customHeight="1" x14ac:dyDescent="0.25">
      <c r="A53" s="91" t="str">
        <f t="shared" si="9"/>
        <v/>
      </c>
      <c r="B53" s="89"/>
      <c r="C53" s="85"/>
      <c r="E53" s="83"/>
      <c r="F53" s="78"/>
      <c r="G53" s="80"/>
      <c r="H53" s="47"/>
      <c r="I53" s="47"/>
      <c r="L53" s="107" t="str">
        <f t="shared" si="10"/>
        <v/>
      </c>
      <c r="M53" s="103"/>
      <c r="N53" s="109"/>
      <c r="O53" s="94"/>
      <c r="P53" s="94"/>
      <c r="Q53" s="49" t="str">
        <f t="shared" si="11"/>
        <v/>
      </c>
      <c r="R53" s="49" t="str">
        <f t="shared" si="12"/>
        <v/>
      </c>
      <c r="S53" s="63"/>
      <c r="T53" s="99">
        <f t="shared" si="13"/>
        <v>0</v>
      </c>
      <c r="U53" s="103" t="str">
        <f t="shared" si="14"/>
        <v/>
      </c>
      <c r="V53" s="100">
        <f t="shared" si="15"/>
        <v>0</v>
      </c>
      <c r="W53" s="101" t="b">
        <f t="shared" si="16"/>
        <v>1</v>
      </c>
      <c r="X53">
        <f t="shared" si="8"/>
        <v>0</v>
      </c>
    </row>
    <row r="54" spans="1:24" ht="19.5" customHeight="1" x14ac:dyDescent="0.25">
      <c r="A54" s="91" t="str">
        <f t="shared" si="9"/>
        <v/>
      </c>
      <c r="B54" s="89"/>
      <c r="C54" s="85"/>
      <c r="E54" s="83"/>
      <c r="F54" s="78"/>
      <c r="G54" s="80"/>
      <c r="H54" s="47"/>
      <c r="I54" s="47"/>
      <c r="L54" s="107" t="str">
        <f t="shared" si="10"/>
        <v/>
      </c>
      <c r="M54" s="103"/>
      <c r="N54" s="109"/>
      <c r="O54" s="94"/>
      <c r="P54" s="94"/>
      <c r="Q54" s="49" t="str">
        <f t="shared" si="11"/>
        <v/>
      </c>
      <c r="R54" s="49" t="str">
        <f t="shared" si="12"/>
        <v/>
      </c>
      <c r="S54" s="63"/>
      <c r="T54" s="99">
        <f t="shared" si="13"/>
        <v>0</v>
      </c>
      <c r="U54" s="103" t="str">
        <f t="shared" si="14"/>
        <v/>
      </c>
      <c r="V54" s="100">
        <f t="shared" si="15"/>
        <v>0</v>
      </c>
      <c r="W54" s="101" t="b">
        <f t="shared" si="16"/>
        <v>1</v>
      </c>
      <c r="X54">
        <f t="shared" si="8"/>
        <v>0</v>
      </c>
    </row>
    <row r="55" spans="1:24" ht="19.5" customHeight="1" x14ac:dyDescent="0.25">
      <c r="A55" s="91" t="str">
        <f t="shared" si="9"/>
        <v/>
      </c>
      <c r="B55" s="89"/>
      <c r="C55" s="85"/>
      <c r="E55" s="83"/>
      <c r="F55" s="78"/>
      <c r="G55" s="80"/>
      <c r="H55" s="47"/>
      <c r="I55" s="47"/>
      <c r="L55" s="107" t="str">
        <f t="shared" si="10"/>
        <v/>
      </c>
      <c r="M55" s="103"/>
      <c r="N55" s="109"/>
      <c r="O55" s="94"/>
      <c r="P55" s="94"/>
      <c r="Q55" s="49" t="str">
        <f t="shared" si="11"/>
        <v/>
      </c>
      <c r="R55" s="49" t="str">
        <f t="shared" si="12"/>
        <v/>
      </c>
      <c r="S55" s="63"/>
      <c r="T55" s="99">
        <f t="shared" si="13"/>
        <v>0</v>
      </c>
      <c r="U55" s="103" t="str">
        <f t="shared" si="14"/>
        <v/>
      </c>
      <c r="V55" s="100">
        <f t="shared" si="15"/>
        <v>0</v>
      </c>
      <c r="W55" s="101" t="b">
        <f t="shared" si="16"/>
        <v>1</v>
      </c>
      <c r="X55">
        <f t="shared" si="8"/>
        <v>0</v>
      </c>
    </row>
    <row r="56" spans="1:24" ht="19.5" customHeight="1" x14ac:dyDescent="0.25">
      <c r="A56" s="91" t="str">
        <f t="shared" si="9"/>
        <v/>
      </c>
      <c r="B56" s="89"/>
      <c r="C56" s="85"/>
      <c r="E56" s="83"/>
      <c r="F56" s="78"/>
      <c r="G56" s="80"/>
      <c r="H56" s="47"/>
      <c r="I56" s="47"/>
      <c r="L56" s="107" t="str">
        <f t="shared" si="10"/>
        <v/>
      </c>
      <c r="M56" s="103"/>
      <c r="N56" s="109"/>
      <c r="O56" s="94"/>
      <c r="P56" s="94"/>
      <c r="Q56" s="49" t="str">
        <f t="shared" si="11"/>
        <v/>
      </c>
      <c r="R56" s="49" t="str">
        <f t="shared" si="12"/>
        <v/>
      </c>
      <c r="S56" s="63"/>
      <c r="T56" s="99">
        <f t="shared" si="13"/>
        <v>0</v>
      </c>
      <c r="U56" s="103" t="str">
        <f t="shared" si="14"/>
        <v/>
      </c>
      <c r="V56" s="100">
        <f t="shared" si="15"/>
        <v>0</v>
      </c>
      <c r="W56" s="101" t="b">
        <f t="shared" si="16"/>
        <v>1</v>
      </c>
      <c r="X56">
        <f t="shared" si="8"/>
        <v>0</v>
      </c>
    </row>
    <row r="57" spans="1:24" ht="19.5" customHeight="1" x14ac:dyDescent="0.25">
      <c r="A57" s="91" t="str">
        <f t="shared" si="9"/>
        <v/>
      </c>
      <c r="B57" s="89"/>
      <c r="C57" s="85"/>
      <c r="E57" s="83"/>
      <c r="F57" s="78"/>
      <c r="G57" s="80"/>
      <c r="H57" s="47"/>
      <c r="I57" s="47"/>
      <c r="L57" s="107" t="str">
        <f t="shared" si="10"/>
        <v/>
      </c>
      <c r="M57" s="103"/>
      <c r="N57" s="109"/>
      <c r="O57" s="94"/>
      <c r="P57" s="94"/>
      <c r="Q57" s="49" t="str">
        <f t="shared" si="11"/>
        <v/>
      </c>
      <c r="R57" s="49" t="str">
        <f t="shared" si="12"/>
        <v/>
      </c>
      <c r="S57" s="63"/>
      <c r="T57" s="99">
        <f t="shared" si="13"/>
        <v>0</v>
      </c>
      <c r="U57" s="103" t="str">
        <f t="shared" si="14"/>
        <v/>
      </c>
      <c r="V57" s="100">
        <f t="shared" si="15"/>
        <v>0</v>
      </c>
      <c r="W57" s="101" t="b">
        <f t="shared" si="16"/>
        <v>1</v>
      </c>
      <c r="X57">
        <f t="shared" si="8"/>
        <v>0</v>
      </c>
    </row>
    <row r="58" spans="1:24" ht="19.5" customHeight="1" x14ac:dyDescent="0.25">
      <c r="A58" s="91" t="str">
        <f t="shared" si="9"/>
        <v/>
      </c>
      <c r="B58" s="89"/>
      <c r="C58" s="85"/>
      <c r="E58" s="83"/>
      <c r="F58" s="78"/>
      <c r="G58" s="80"/>
      <c r="H58" s="47"/>
      <c r="I58" s="47"/>
      <c r="L58" s="107" t="str">
        <f t="shared" si="10"/>
        <v/>
      </c>
      <c r="M58" s="103"/>
      <c r="N58" s="109"/>
      <c r="O58" s="94"/>
      <c r="P58" s="94"/>
      <c r="Q58" s="49" t="str">
        <f t="shared" si="11"/>
        <v/>
      </c>
      <c r="R58" s="49" t="str">
        <f t="shared" si="12"/>
        <v/>
      </c>
      <c r="S58" s="63"/>
      <c r="T58" s="99">
        <f t="shared" si="13"/>
        <v>0</v>
      </c>
      <c r="U58" s="103" t="str">
        <f t="shared" si="14"/>
        <v/>
      </c>
      <c r="V58" s="100">
        <f t="shared" si="15"/>
        <v>0</v>
      </c>
      <c r="W58" s="101" t="b">
        <f t="shared" si="16"/>
        <v>1</v>
      </c>
      <c r="X58">
        <f t="shared" si="8"/>
        <v>0</v>
      </c>
    </row>
    <row r="59" spans="1:24" ht="19.5" customHeight="1" x14ac:dyDescent="0.25">
      <c r="A59" s="91" t="str">
        <f t="shared" si="9"/>
        <v/>
      </c>
      <c r="B59" s="89"/>
      <c r="C59" s="85"/>
      <c r="E59" s="83"/>
      <c r="F59" s="78"/>
      <c r="G59" s="80"/>
      <c r="H59" s="47"/>
      <c r="I59" s="47"/>
      <c r="L59" s="107" t="str">
        <f t="shared" si="10"/>
        <v/>
      </c>
      <c r="M59" s="103"/>
      <c r="N59" s="109"/>
      <c r="O59" s="94"/>
      <c r="P59" s="94"/>
      <c r="Q59" s="49" t="str">
        <f t="shared" si="11"/>
        <v/>
      </c>
      <c r="R59" s="49" t="str">
        <f t="shared" si="12"/>
        <v/>
      </c>
      <c r="S59" s="63"/>
      <c r="T59" s="99">
        <f t="shared" si="13"/>
        <v>0</v>
      </c>
      <c r="U59" s="103" t="str">
        <f t="shared" si="14"/>
        <v/>
      </c>
      <c r="V59" s="100">
        <f t="shared" si="15"/>
        <v>0</v>
      </c>
      <c r="W59" s="101" t="b">
        <f t="shared" si="16"/>
        <v>1</v>
      </c>
      <c r="X59">
        <f t="shared" si="8"/>
        <v>0</v>
      </c>
    </row>
    <row r="60" spans="1:24" ht="19.5" customHeight="1" x14ac:dyDescent="0.25">
      <c r="A60" s="91" t="str">
        <f t="shared" si="9"/>
        <v/>
      </c>
      <c r="B60" s="89"/>
      <c r="C60" s="85"/>
      <c r="E60" s="83"/>
      <c r="F60" s="78"/>
      <c r="G60" s="80"/>
      <c r="H60" s="47"/>
      <c r="I60" s="47"/>
      <c r="L60" s="107" t="str">
        <f t="shared" si="10"/>
        <v/>
      </c>
      <c r="M60" s="103"/>
      <c r="N60" s="109"/>
      <c r="O60" s="94"/>
      <c r="P60" s="94"/>
      <c r="Q60" s="49" t="str">
        <f t="shared" si="11"/>
        <v/>
      </c>
      <c r="R60" s="49" t="str">
        <f t="shared" si="12"/>
        <v/>
      </c>
      <c r="S60" s="63"/>
      <c r="T60" s="99">
        <f t="shared" si="13"/>
        <v>0</v>
      </c>
      <c r="U60" s="103" t="str">
        <f t="shared" si="14"/>
        <v/>
      </c>
      <c r="V60" s="100">
        <f t="shared" si="15"/>
        <v>0</v>
      </c>
      <c r="W60" s="101" t="b">
        <f t="shared" si="16"/>
        <v>1</v>
      </c>
      <c r="X60">
        <f t="shared" si="8"/>
        <v>0</v>
      </c>
    </row>
    <row r="61" spans="1:24" ht="19.5" customHeight="1" x14ac:dyDescent="0.25">
      <c r="A61" s="91" t="str">
        <f t="shared" si="9"/>
        <v/>
      </c>
      <c r="B61" s="89"/>
      <c r="C61" s="85"/>
      <c r="E61" s="83"/>
      <c r="F61" s="78"/>
      <c r="G61" s="80"/>
      <c r="H61" s="47"/>
      <c r="I61" s="47"/>
      <c r="L61" s="107" t="str">
        <f t="shared" si="10"/>
        <v/>
      </c>
      <c r="M61" s="103"/>
      <c r="N61" s="109"/>
      <c r="O61" s="94"/>
      <c r="P61" s="94"/>
      <c r="Q61" s="49" t="str">
        <f t="shared" si="11"/>
        <v/>
      </c>
      <c r="R61" s="49" t="str">
        <f t="shared" si="12"/>
        <v/>
      </c>
      <c r="S61" s="63"/>
      <c r="T61" s="99">
        <f t="shared" si="13"/>
        <v>0</v>
      </c>
      <c r="U61" s="103" t="str">
        <f t="shared" si="14"/>
        <v/>
      </c>
      <c r="V61" s="100">
        <f t="shared" si="15"/>
        <v>0</v>
      </c>
      <c r="W61" s="101" t="b">
        <f t="shared" si="16"/>
        <v>1</v>
      </c>
      <c r="X61">
        <f t="shared" si="8"/>
        <v>0</v>
      </c>
    </row>
    <row r="62" spans="1:24" ht="19.5" customHeight="1" x14ac:dyDescent="0.25">
      <c r="A62" s="91" t="str">
        <f t="shared" si="9"/>
        <v/>
      </c>
      <c r="B62" s="89"/>
      <c r="C62" s="85"/>
      <c r="E62" s="83"/>
      <c r="F62" s="78"/>
      <c r="G62" s="80"/>
      <c r="H62" s="47"/>
      <c r="I62" s="47"/>
      <c r="L62" s="107" t="str">
        <f t="shared" si="10"/>
        <v/>
      </c>
      <c r="M62" s="103"/>
      <c r="N62" s="109"/>
      <c r="O62" s="94"/>
      <c r="P62" s="94"/>
      <c r="Q62" s="49" t="str">
        <f t="shared" si="11"/>
        <v/>
      </c>
      <c r="R62" s="49" t="str">
        <f t="shared" si="12"/>
        <v/>
      </c>
      <c r="S62" s="63"/>
      <c r="T62" s="99">
        <f t="shared" si="13"/>
        <v>0</v>
      </c>
      <c r="U62" s="103" t="str">
        <f t="shared" si="14"/>
        <v/>
      </c>
      <c r="V62" s="100">
        <f t="shared" si="15"/>
        <v>0</v>
      </c>
      <c r="W62" s="101" t="b">
        <f t="shared" si="16"/>
        <v>1</v>
      </c>
      <c r="X62">
        <f t="shared" si="8"/>
        <v>0</v>
      </c>
    </row>
    <row r="63" spans="1:24" ht="19.5" customHeight="1" x14ac:dyDescent="0.25">
      <c r="A63" s="91" t="str">
        <f t="shared" si="9"/>
        <v/>
      </c>
      <c r="B63" s="89"/>
      <c r="C63" s="85"/>
      <c r="E63" s="83"/>
      <c r="F63" s="78"/>
      <c r="G63" s="80"/>
      <c r="H63" s="47"/>
      <c r="I63" s="47"/>
      <c r="L63" s="107" t="str">
        <f t="shared" si="10"/>
        <v/>
      </c>
      <c r="M63" s="103"/>
      <c r="N63" s="109"/>
      <c r="O63" s="94"/>
      <c r="P63" s="94"/>
      <c r="Q63" s="49" t="str">
        <f t="shared" si="11"/>
        <v/>
      </c>
      <c r="R63" s="49" t="str">
        <f t="shared" si="12"/>
        <v/>
      </c>
      <c r="S63" s="63"/>
      <c r="T63" s="99">
        <f t="shared" si="13"/>
        <v>0</v>
      </c>
      <c r="U63" s="103" t="str">
        <f t="shared" si="14"/>
        <v/>
      </c>
      <c r="V63" s="100">
        <f t="shared" si="15"/>
        <v>0</v>
      </c>
      <c r="W63" s="101" t="b">
        <f t="shared" si="16"/>
        <v>1</v>
      </c>
      <c r="X63">
        <f t="shared" si="8"/>
        <v>0</v>
      </c>
    </row>
    <row r="64" spans="1:24" ht="19.5" customHeight="1" x14ac:dyDescent="0.25">
      <c r="A64" s="91" t="str">
        <f t="shared" si="9"/>
        <v/>
      </c>
      <c r="B64" s="89"/>
      <c r="C64" s="85"/>
      <c r="E64" s="83"/>
      <c r="F64" s="78"/>
      <c r="G64" s="80"/>
      <c r="H64" s="47"/>
      <c r="I64" s="47"/>
      <c r="L64" s="107" t="str">
        <f t="shared" si="10"/>
        <v/>
      </c>
      <c r="M64" s="103"/>
      <c r="N64" s="109"/>
      <c r="O64" s="94"/>
      <c r="P64" s="94"/>
      <c r="Q64" s="49" t="str">
        <f t="shared" si="11"/>
        <v/>
      </c>
      <c r="R64" s="49" t="str">
        <f t="shared" si="12"/>
        <v/>
      </c>
      <c r="S64" s="63"/>
      <c r="T64" s="99">
        <f t="shared" si="13"/>
        <v>0</v>
      </c>
      <c r="U64" s="103" t="str">
        <f t="shared" si="14"/>
        <v/>
      </c>
      <c r="V64" s="100">
        <f t="shared" si="15"/>
        <v>0</v>
      </c>
      <c r="W64" s="101" t="b">
        <f t="shared" si="16"/>
        <v>1</v>
      </c>
      <c r="X64">
        <f t="shared" si="8"/>
        <v>0</v>
      </c>
    </row>
    <row r="65" spans="1:24" ht="19.5" customHeight="1" x14ac:dyDescent="0.25">
      <c r="A65" s="91" t="str">
        <f t="shared" si="9"/>
        <v/>
      </c>
      <c r="B65" s="89"/>
      <c r="C65" s="85"/>
      <c r="E65" s="83"/>
      <c r="F65" s="78"/>
      <c r="G65" s="80"/>
      <c r="H65" s="47"/>
      <c r="I65" s="47"/>
      <c r="L65" s="107" t="str">
        <f t="shared" si="10"/>
        <v/>
      </c>
      <c r="M65" s="103"/>
      <c r="N65" s="109"/>
      <c r="O65" s="94"/>
      <c r="P65" s="94"/>
      <c r="Q65" s="49" t="str">
        <f t="shared" si="11"/>
        <v/>
      </c>
      <c r="R65" s="49" t="str">
        <f t="shared" si="12"/>
        <v/>
      </c>
      <c r="S65" s="63"/>
      <c r="T65" s="99">
        <f t="shared" si="13"/>
        <v>0</v>
      </c>
      <c r="U65" s="103" t="str">
        <f t="shared" si="14"/>
        <v/>
      </c>
      <c r="V65" s="100">
        <f t="shared" si="15"/>
        <v>0</v>
      </c>
      <c r="W65" s="101" t="b">
        <f t="shared" si="16"/>
        <v>1</v>
      </c>
      <c r="X65">
        <f t="shared" si="8"/>
        <v>0</v>
      </c>
    </row>
    <row r="66" spans="1:24" ht="19.5" customHeight="1" x14ac:dyDescent="0.25">
      <c r="A66" s="91" t="str">
        <f t="shared" si="9"/>
        <v/>
      </c>
      <c r="B66" s="89"/>
      <c r="C66" s="85"/>
      <c r="E66" s="83"/>
      <c r="F66" s="78"/>
      <c r="G66" s="80"/>
      <c r="H66" s="47"/>
      <c r="I66" s="47"/>
      <c r="L66" s="107" t="str">
        <f t="shared" si="10"/>
        <v/>
      </c>
      <c r="M66" s="103"/>
      <c r="N66" s="109"/>
      <c r="O66" s="94"/>
      <c r="P66" s="94"/>
      <c r="Q66" s="49" t="str">
        <f t="shared" si="11"/>
        <v/>
      </c>
      <c r="R66" s="49" t="str">
        <f t="shared" si="12"/>
        <v/>
      </c>
      <c r="S66" s="63"/>
      <c r="T66" s="99">
        <f t="shared" si="13"/>
        <v>0</v>
      </c>
      <c r="U66" s="103" t="str">
        <f t="shared" si="14"/>
        <v/>
      </c>
      <c r="V66" s="100">
        <f t="shared" si="15"/>
        <v>0</v>
      </c>
      <c r="W66" s="101" t="b">
        <f t="shared" si="16"/>
        <v>1</v>
      </c>
      <c r="X66">
        <f t="shared" si="8"/>
        <v>0</v>
      </c>
    </row>
    <row r="67" spans="1:24" ht="19.5" customHeight="1" x14ac:dyDescent="0.25">
      <c r="L67" s="107" t="str">
        <f t="shared" ref="L67:L98" si="17">IF(LEN(M67)=0,"",ROW()-2)</f>
        <v/>
      </c>
      <c r="M67" s="103"/>
      <c r="N67" s="109"/>
      <c r="O67" s="94"/>
      <c r="P67" s="94"/>
      <c r="Q67" s="49" t="str">
        <f t="shared" ref="Q67:Q130" si="18">IF(ISBLANK(M67),"",ROUNDUP(N67,0))</f>
        <v/>
      </c>
      <c r="R67" s="49" t="str">
        <f t="shared" ref="R67:R130" si="19">IF(ISBLANK(B67), "", IF(OR(AND(F67=0, G67&gt;=5), AND(F67&gt;0, G67&gt;1)), 1, 0))</f>
        <v/>
      </c>
      <c r="S67" s="63"/>
      <c r="T67" s="99">
        <f t="shared" ref="T67:T130" si="20">IF(N67&gt;=5,1,0)</f>
        <v>0</v>
      </c>
      <c r="U67" s="103" t="str">
        <f t="shared" ref="U67:U98" si="21">IF(OR(ISBLANK(M67),SUM(S67,T67)=0),"",+M67)</f>
        <v/>
      </c>
      <c r="V67" s="100">
        <f t="shared" ref="V67:V130" si="22">IFERROR(+P67*SUM(S67:T67),"")</f>
        <v>0</v>
      </c>
      <c r="W67" s="101" t="b">
        <f t="shared" ref="W67:W130" si="23">AND(_xlfn.ISFORMULA(T67),NOT(ISNUMBER(S67)))</f>
        <v>1</v>
      </c>
      <c r="X67">
        <f t="shared" si="8"/>
        <v>0</v>
      </c>
    </row>
    <row r="68" spans="1:24" x14ac:dyDescent="0.25">
      <c r="L68" s="107" t="str">
        <f t="shared" si="17"/>
        <v/>
      </c>
      <c r="M68" s="103"/>
      <c r="N68" s="109"/>
      <c r="O68" s="94"/>
      <c r="P68" s="94"/>
      <c r="Q68" s="49" t="str">
        <f t="shared" si="18"/>
        <v/>
      </c>
      <c r="R68" s="49" t="str">
        <f t="shared" si="19"/>
        <v/>
      </c>
      <c r="S68" s="63"/>
      <c r="T68" s="99">
        <f t="shared" si="20"/>
        <v>0</v>
      </c>
      <c r="U68" s="103" t="str">
        <f t="shared" si="21"/>
        <v/>
      </c>
      <c r="V68" s="100">
        <f t="shared" si="22"/>
        <v>0</v>
      </c>
      <c r="W68" s="101" t="b">
        <f t="shared" si="23"/>
        <v>1</v>
      </c>
      <c r="X68">
        <f t="shared" si="8"/>
        <v>0</v>
      </c>
    </row>
    <row r="69" spans="1:24" x14ac:dyDescent="0.25">
      <c r="L69" s="107" t="str">
        <f t="shared" si="17"/>
        <v/>
      </c>
      <c r="M69" s="103"/>
      <c r="N69" s="109"/>
      <c r="O69" s="94"/>
      <c r="P69" s="94"/>
      <c r="Q69" s="49" t="str">
        <f t="shared" si="18"/>
        <v/>
      </c>
      <c r="R69" s="49" t="str">
        <f t="shared" si="19"/>
        <v/>
      </c>
      <c r="S69" s="63"/>
      <c r="T69" s="99">
        <f t="shared" si="20"/>
        <v>0</v>
      </c>
      <c r="U69" s="103" t="str">
        <f t="shared" si="21"/>
        <v/>
      </c>
      <c r="V69" s="100">
        <f t="shared" si="22"/>
        <v>0</v>
      </c>
      <c r="W69" s="101" t="b">
        <f t="shared" si="23"/>
        <v>1</v>
      </c>
      <c r="X69">
        <f t="shared" si="8"/>
        <v>0</v>
      </c>
    </row>
    <row r="70" spans="1:24" x14ac:dyDescent="0.25">
      <c r="L70" s="107" t="str">
        <f t="shared" si="17"/>
        <v/>
      </c>
      <c r="M70" s="103"/>
      <c r="N70" s="109"/>
      <c r="O70" s="94"/>
      <c r="P70" s="94"/>
      <c r="Q70" s="49" t="str">
        <f t="shared" si="18"/>
        <v/>
      </c>
      <c r="R70" s="49" t="str">
        <f t="shared" si="19"/>
        <v/>
      </c>
      <c r="S70" s="63"/>
      <c r="T70" s="99">
        <f t="shared" si="20"/>
        <v>0</v>
      </c>
      <c r="U70" s="103" t="str">
        <f t="shared" si="21"/>
        <v/>
      </c>
      <c r="V70" s="100">
        <f t="shared" si="22"/>
        <v>0</v>
      </c>
      <c r="W70" s="101" t="b">
        <f t="shared" si="23"/>
        <v>1</v>
      </c>
      <c r="X70">
        <f t="shared" si="8"/>
        <v>0</v>
      </c>
    </row>
    <row r="71" spans="1:24" x14ac:dyDescent="0.25">
      <c r="L71" s="107" t="str">
        <f t="shared" si="17"/>
        <v/>
      </c>
      <c r="M71" s="103"/>
      <c r="N71" s="109"/>
      <c r="O71" s="94"/>
      <c r="P71" s="94"/>
      <c r="Q71" s="49" t="str">
        <f t="shared" si="18"/>
        <v/>
      </c>
      <c r="R71" s="49" t="str">
        <f t="shared" si="19"/>
        <v/>
      </c>
      <c r="S71" s="63"/>
      <c r="T71" s="99">
        <f t="shared" si="20"/>
        <v>0</v>
      </c>
      <c r="U71" s="103" t="str">
        <f t="shared" si="21"/>
        <v/>
      </c>
      <c r="V71" s="100">
        <f t="shared" si="22"/>
        <v>0</v>
      </c>
      <c r="W71" s="101" t="b">
        <f t="shared" si="23"/>
        <v>1</v>
      </c>
      <c r="X71">
        <f t="shared" ref="X71:X134" si="24">SUM(S71:T71)</f>
        <v>0</v>
      </c>
    </row>
    <row r="72" spans="1:24" x14ac:dyDescent="0.25">
      <c r="L72" s="107" t="str">
        <f t="shared" si="17"/>
        <v/>
      </c>
      <c r="M72" s="103"/>
      <c r="N72" s="109"/>
      <c r="O72" s="94"/>
      <c r="P72" s="94"/>
      <c r="Q72" s="49" t="str">
        <f t="shared" si="18"/>
        <v/>
      </c>
      <c r="R72" s="49" t="str">
        <f t="shared" si="19"/>
        <v/>
      </c>
      <c r="S72" s="63"/>
      <c r="T72" s="99">
        <f t="shared" si="20"/>
        <v>0</v>
      </c>
      <c r="U72" s="103" t="str">
        <f t="shared" si="21"/>
        <v/>
      </c>
      <c r="V72" s="100">
        <f t="shared" si="22"/>
        <v>0</v>
      </c>
      <c r="W72" s="101" t="b">
        <f t="shared" si="23"/>
        <v>1</v>
      </c>
      <c r="X72">
        <f t="shared" si="24"/>
        <v>0</v>
      </c>
    </row>
    <row r="73" spans="1:24" x14ac:dyDescent="0.25">
      <c r="L73" s="107" t="str">
        <f t="shared" si="17"/>
        <v/>
      </c>
      <c r="M73" s="103"/>
      <c r="N73" s="109"/>
      <c r="O73" s="94"/>
      <c r="P73" s="94"/>
      <c r="Q73" s="49" t="str">
        <f t="shared" si="18"/>
        <v/>
      </c>
      <c r="R73" s="49" t="str">
        <f t="shared" si="19"/>
        <v/>
      </c>
      <c r="S73" s="63"/>
      <c r="T73" s="99">
        <f t="shared" si="20"/>
        <v>0</v>
      </c>
      <c r="U73" s="103" t="str">
        <f t="shared" si="21"/>
        <v/>
      </c>
      <c r="V73" s="100">
        <f t="shared" si="22"/>
        <v>0</v>
      </c>
      <c r="W73" s="101" t="b">
        <f t="shared" si="23"/>
        <v>1</v>
      </c>
      <c r="X73">
        <f t="shared" si="24"/>
        <v>0</v>
      </c>
    </row>
    <row r="74" spans="1:24" x14ac:dyDescent="0.25">
      <c r="L74" s="107" t="str">
        <f t="shared" si="17"/>
        <v/>
      </c>
      <c r="M74" s="103"/>
      <c r="N74" s="109"/>
      <c r="O74" s="94"/>
      <c r="P74" s="94"/>
      <c r="Q74" s="49" t="str">
        <f t="shared" si="18"/>
        <v/>
      </c>
      <c r="R74" s="49" t="str">
        <f t="shared" si="19"/>
        <v/>
      </c>
      <c r="S74" s="63"/>
      <c r="T74" s="99">
        <f t="shared" si="20"/>
        <v>0</v>
      </c>
      <c r="U74" s="103" t="str">
        <f t="shared" si="21"/>
        <v/>
      </c>
      <c r="V74" s="100">
        <f t="shared" si="22"/>
        <v>0</v>
      </c>
      <c r="W74" s="101" t="b">
        <f t="shared" si="23"/>
        <v>1</v>
      </c>
      <c r="X74">
        <f t="shared" si="24"/>
        <v>0</v>
      </c>
    </row>
    <row r="75" spans="1:24" x14ac:dyDescent="0.25">
      <c r="L75" s="107" t="str">
        <f t="shared" si="17"/>
        <v/>
      </c>
      <c r="M75" s="103"/>
      <c r="N75" s="109"/>
      <c r="O75" s="94"/>
      <c r="P75" s="94"/>
      <c r="Q75" s="49" t="str">
        <f t="shared" si="18"/>
        <v/>
      </c>
      <c r="R75" s="49" t="str">
        <f t="shared" si="19"/>
        <v/>
      </c>
      <c r="S75" s="63"/>
      <c r="T75" s="99">
        <f t="shared" si="20"/>
        <v>0</v>
      </c>
      <c r="U75" s="103" t="str">
        <f t="shared" si="21"/>
        <v/>
      </c>
      <c r="V75" s="100">
        <f t="shared" si="22"/>
        <v>0</v>
      </c>
      <c r="W75" s="101" t="b">
        <f t="shared" si="23"/>
        <v>1</v>
      </c>
      <c r="X75">
        <f t="shared" si="24"/>
        <v>0</v>
      </c>
    </row>
    <row r="76" spans="1:24" x14ac:dyDescent="0.25">
      <c r="L76" s="107" t="str">
        <f t="shared" si="17"/>
        <v/>
      </c>
      <c r="M76" s="103"/>
      <c r="N76" s="109"/>
      <c r="O76" s="94"/>
      <c r="P76" s="94"/>
      <c r="Q76" s="49" t="str">
        <f t="shared" si="18"/>
        <v/>
      </c>
      <c r="R76" s="49" t="str">
        <f t="shared" si="19"/>
        <v/>
      </c>
      <c r="S76" s="63"/>
      <c r="T76" s="99">
        <f t="shared" si="20"/>
        <v>0</v>
      </c>
      <c r="U76" s="103" t="str">
        <f t="shared" si="21"/>
        <v/>
      </c>
      <c r="V76" s="100">
        <f t="shared" si="22"/>
        <v>0</v>
      </c>
      <c r="W76" s="101" t="b">
        <f t="shared" si="23"/>
        <v>1</v>
      </c>
      <c r="X76">
        <f t="shared" si="24"/>
        <v>0</v>
      </c>
    </row>
    <row r="77" spans="1:24" x14ac:dyDescent="0.25">
      <c r="L77" s="107" t="str">
        <f t="shared" si="17"/>
        <v/>
      </c>
      <c r="M77" s="103"/>
      <c r="N77" s="109"/>
      <c r="O77" s="94"/>
      <c r="P77" s="94"/>
      <c r="Q77" s="49" t="str">
        <f t="shared" si="18"/>
        <v/>
      </c>
      <c r="R77" s="49" t="str">
        <f t="shared" si="19"/>
        <v/>
      </c>
      <c r="S77" s="63"/>
      <c r="T77" s="99">
        <f t="shared" si="20"/>
        <v>0</v>
      </c>
      <c r="U77" s="103" t="str">
        <f t="shared" si="21"/>
        <v/>
      </c>
      <c r="V77" s="100">
        <f t="shared" si="22"/>
        <v>0</v>
      </c>
      <c r="W77" s="101" t="b">
        <f t="shared" si="23"/>
        <v>1</v>
      </c>
      <c r="X77">
        <f t="shared" si="24"/>
        <v>0</v>
      </c>
    </row>
    <row r="78" spans="1:24" x14ac:dyDescent="0.25">
      <c r="L78" s="107" t="str">
        <f t="shared" si="17"/>
        <v/>
      </c>
      <c r="M78" s="103"/>
      <c r="N78" s="109"/>
      <c r="O78" s="94"/>
      <c r="P78" s="94"/>
      <c r="Q78" s="49" t="str">
        <f t="shared" si="18"/>
        <v/>
      </c>
      <c r="R78" s="49" t="str">
        <f t="shared" si="19"/>
        <v/>
      </c>
      <c r="S78" s="63"/>
      <c r="T78" s="99">
        <f t="shared" si="20"/>
        <v>0</v>
      </c>
      <c r="U78" s="103" t="str">
        <f t="shared" si="21"/>
        <v/>
      </c>
      <c r="V78" s="100">
        <f t="shared" si="22"/>
        <v>0</v>
      </c>
      <c r="W78" s="101" t="b">
        <f t="shared" si="23"/>
        <v>1</v>
      </c>
      <c r="X78">
        <f t="shared" si="24"/>
        <v>0</v>
      </c>
    </row>
    <row r="79" spans="1:24" x14ac:dyDescent="0.25">
      <c r="L79" s="107" t="str">
        <f t="shared" si="17"/>
        <v/>
      </c>
      <c r="M79" s="103"/>
      <c r="N79" s="109"/>
      <c r="O79" s="94"/>
      <c r="P79" s="94"/>
      <c r="Q79" s="49" t="str">
        <f t="shared" si="18"/>
        <v/>
      </c>
      <c r="R79" s="49" t="str">
        <f t="shared" si="19"/>
        <v/>
      </c>
      <c r="S79" s="63"/>
      <c r="T79" s="99">
        <f t="shared" si="20"/>
        <v>0</v>
      </c>
      <c r="U79" s="103" t="str">
        <f t="shared" si="21"/>
        <v/>
      </c>
      <c r="V79" s="100">
        <f t="shared" si="22"/>
        <v>0</v>
      </c>
      <c r="W79" s="101" t="b">
        <f t="shared" si="23"/>
        <v>1</v>
      </c>
      <c r="X79">
        <f t="shared" si="24"/>
        <v>0</v>
      </c>
    </row>
    <row r="80" spans="1:24" x14ac:dyDescent="0.25">
      <c r="L80" s="107" t="str">
        <f t="shared" si="17"/>
        <v/>
      </c>
      <c r="M80" s="103"/>
      <c r="N80" s="109"/>
      <c r="O80" s="94"/>
      <c r="P80" s="94"/>
      <c r="Q80" s="49" t="str">
        <f t="shared" si="18"/>
        <v/>
      </c>
      <c r="R80" s="49" t="str">
        <f t="shared" si="19"/>
        <v/>
      </c>
      <c r="S80" s="63"/>
      <c r="T80" s="99">
        <f t="shared" si="20"/>
        <v>0</v>
      </c>
      <c r="U80" s="103" t="str">
        <f t="shared" si="21"/>
        <v/>
      </c>
      <c r="V80" s="100">
        <f t="shared" si="22"/>
        <v>0</v>
      </c>
      <c r="W80" s="101" t="b">
        <f t="shared" si="23"/>
        <v>1</v>
      </c>
      <c r="X80">
        <f t="shared" si="24"/>
        <v>0</v>
      </c>
    </row>
    <row r="81" spans="12:24" x14ac:dyDescent="0.25">
      <c r="L81" s="107" t="str">
        <f t="shared" si="17"/>
        <v/>
      </c>
      <c r="M81" s="103"/>
      <c r="N81" s="109"/>
      <c r="O81" s="94"/>
      <c r="P81" s="94"/>
      <c r="Q81" s="49" t="str">
        <f t="shared" si="18"/>
        <v/>
      </c>
      <c r="R81" s="49" t="str">
        <f t="shared" si="19"/>
        <v/>
      </c>
      <c r="S81" s="63"/>
      <c r="T81" s="99">
        <f t="shared" si="20"/>
        <v>0</v>
      </c>
      <c r="U81" s="103" t="str">
        <f t="shared" si="21"/>
        <v/>
      </c>
      <c r="V81" s="100">
        <f t="shared" si="22"/>
        <v>0</v>
      </c>
      <c r="W81" s="101" t="b">
        <f t="shared" si="23"/>
        <v>1</v>
      </c>
      <c r="X81">
        <f t="shared" si="24"/>
        <v>0</v>
      </c>
    </row>
    <row r="82" spans="12:24" x14ac:dyDescent="0.25">
      <c r="L82" s="107" t="str">
        <f t="shared" si="17"/>
        <v/>
      </c>
      <c r="M82" s="103"/>
      <c r="N82" s="109"/>
      <c r="O82" s="94"/>
      <c r="P82" s="94"/>
      <c r="Q82" s="49" t="str">
        <f t="shared" si="18"/>
        <v/>
      </c>
      <c r="R82" s="49" t="str">
        <f t="shared" si="19"/>
        <v/>
      </c>
      <c r="S82" s="63"/>
      <c r="T82" s="99">
        <f t="shared" si="20"/>
        <v>0</v>
      </c>
      <c r="U82" s="103" t="str">
        <f t="shared" si="21"/>
        <v/>
      </c>
      <c r="V82" s="100">
        <f t="shared" si="22"/>
        <v>0</v>
      </c>
      <c r="W82" s="101" t="b">
        <f t="shared" si="23"/>
        <v>1</v>
      </c>
      <c r="X82">
        <f t="shared" si="24"/>
        <v>0</v>
      </c>
    </row>
    <row r="83" spans="12:24" x14ac:dyDescent="0.25">
      <c r="L83" s="107" t="str">
        <f t="shared" si="17"/>
        <v/>
      </c>
      <c r="M83" s="103"/>
      <c r="N83" s="109"/>
      <c r="O83" s="94"/>
      <c r="P83" s="94"/>
      <c r="Q83" s="49" t="str">
        <f t="shared" si="18"/>
        <v/>
      </c>
      <c r="R83" s="49" t="str">
        <f t="shared" si="19"/>
        <v/>
      </c>
      <c r="S83" s="63"/>
      <c r="T83" s="99">
        <f t="shared" si="20"/>
        <v>0</v>
      </c>
      <c r="U83" s="103" t="str">
        <f t="shared" si="21"/>
        <v/>
      </c>
      <c r="V83" s="100">
        <f t="shared" si="22"/>
        <v>0</v>
      </c>
      <c r="W83" s="101" t="b">
        <f t="shared" si="23"/>
        <v>1</v>
      </c>
      <c r="X83">
        <f t="shared" si="24"/>
        <v>0</v>
      </c>
    </row>
    <row r="84" spans="12:24" x14ac:dyDescent="0.25">
      <c r="L84" s="107" t="str">
        <f t="shared" si="17"/>
        <v/>
      </c>
      <c r="M84" s="103"/>
      <c r="N84" s="109"/>
      <c r="O84" s="94"/>
      <c r="P84" s="94"/>
      <c r="Q84" s="49" t="str">
        <f t="shared" si="18"/>
        <v/>
      </c>
      <c r="R84" s="49" t="str">
        <f t="shared" si="19"/>
        <v/>
      </c>
      <c r="S84" s="63"/>
      <c r="T84" s="99">
        <f t="shared" si="20"/>
        <v>0</v>
      </c>
      <c r="U84" s="103" t="str">
        <f t="shared" si="21"/>
        <v/>
      </c>
      <c r="V84" s="100">
        <f t="shared" si="22"/>
        <v>0</v>
      </c>
      <c r="W84" s="101" t="b">
        <f t="shared" si="23"/>
        <v>1</v>
      </c>
      <c r="X84">
        <f t="shared" si="24"/>
        <v>0</v>
      </c>
    </row>
    <row r="85" spans="12:24" x14ac:dyDescent="0.25">
      <c r="L85" s="107" t="str">
        <f t="shared" si="17"/>
        <v/>
      </c>
      <c r="M85" s="103"/>
      <c r="N85" s="109"/>
      <c r="O85" s="94"/>
      <c r="P85" s="94"/>
      <c r="Q85" s="49" t="str">
        <f t="shared" si="18"/>
        <v/>
      </c>
      <c r="R85" s="49" t="str">
        <f t="shared" si="19"/>
        <v/>
      </c>
      <c r="S85" s="63"/>
      <c r="T85" s="99">
        <f t="shared" si="20"/>
        <v>0</v>
      </c>
      <c r="U85" s="103" t="str">
        <f t="shared" si="21"/>
        <v/>
      </c>
      <c r="V85" s="100">
        <f t="shared" si="22"/>
        <v>0</v>
      </c>
      <c r="W85" s="101" t="b">
        <f t="shared" si="23"/>
        <v>1</v>
      </c>
      <c r="X85">
        <f t="shared" si="24"/>
        <v>0</v>
      </c>
    </row>
    <row r="86" spans="12:24" x14ac:dyDescent="0.25">
      <c r="L86" s="107" t="str">
        <f t="shared" si="17"/>
        <v/>
      </c>
      <c r="M86" s="103"/>
      <c r="N86" s="109"/>
      <c r="O86" s="94"/>
      <c r="P86" s="94"/>
      <c r="Q86" s="49" t="str">
        <f t="shared" si="18"/>
        <v/>
      </c>
      <c r="R86" s="49" t="str">
        <f t="shared" si="19"/>
        <v/>
      </c>
      <c r="S86" s="63"/>
      <c r="T86" s="99">
        <f t="shared" si="20"/>
        <v>0</v>
      </c>
      <c r="U86" s="103" t="str">
        <f t="shared" si="21"/>
        <v/>
      </c>
      <c r="V86" s="100">
        <f t="shared" si="22"/>
        <v>0</v>
      </c>
      <c r="W86" s="101" t="b">
        <f t="shared" si="23"/>
        <v>1</v>
      </c>
      <c r="X86">
        <f t="shared" si="24"/>
        <v>0</v>
      </c>
    </row>
    <row r="87" spans="12:24" x14ac:dyDescent="0.25">
      <c r="L87" s="107" t="str">
        <f t="shared" si="17"/>
        <v/>
      </c>
      <c r="M87" s="103"/>
      <c r="N87" s="109"/>
      <c r="O87" s="94"/>
      <c r="P87" s="94"/>
      <c r="Q87" s="49" t="str">
        <f t="shared" si="18"/>
        <v/>
      </c>
      <c r="R87" s="49" t="str">
        <f t="shared" si="19"/>
        <v/>
      </c>
      <c r="S87" s="63"/>
      <c r="T87" s="99">
        <f t="shared" si="20"/>
        <v>0</v>
      </c>
      <c r="U87" s="103" t="str">
        <f t="shared" si="21"/>
        <v/>
      </c>
      <c r="V87" s="100">
        <f t="shared" si="22"/>
        <v>0</v>
      </c>
      <c r="W87" s="101" t="b">
        <f t="shared" si="23"/>
        <v>1</v>
      </c>
      <c r="X87">
        <f t="shared" si="24"/>
        <v>0</v>
      </c>
    </row>
    <row r="88" spans="12:24" x14ac:dyDescent="0.25">
      <c r="L88" s="107" t="str">
        <f t="shared" si="17"/>
        <v/>
      </c>
      <c r="M88" s="103"/>
      <c r="N88" s="109"/>
      <c r="O88" s="94"/>
      <c r="P88" s="94"/>
      <c r="Q88" s="49" t="str">
        <f t="shared" si="18"/>
        <v/>
      </c>
      <c r="R88" s="49" t="str">
        <f t="shared" si="19"/>
        <v/>
      </c>
      <c r="S88" s="63"/>
      <c r="T88" s="99">
        <f t="shared" si="20"/>
        <v>0</v>
      </c>
      <c r="U88" s="103" t="str">
        <f t="shared" si="21"/>
        <v/>
      </c>
      <c r="V88" s="100">
        <f t="shared" si="22"/>
        <v>0</v>
      </c>
      <c r="W88" s="101" t="b">
        <f t="shared" si="23"/>
        <v>1</v>
      </c>
      <c r="X88">
        <f t="shared" si="24"/>
        <v>0</v>
      </c>
    </row>
    <row r="89" spans="12:24" x14ac:dyDescent="0.25">
      <c r="L89" s="107" t="str">
        <f t="shared" si="17"/>
        <v/>
      </c>
      <c r="M89" s="103"/>
      <c r="N89" s="109"/>
      <c r="O89" s="94"/>
      <c r="P89" s="94"/>
      <c r="Q89" s="49" t="str">
        <f t="shared" si="18"/>
        <v/>
      </c>
      <c r="R89" s="49" t="str">
        <f t="shared" si="19"/>
        <v/>
      </c>
      <c r="S89" s="63"/>
      <c r="T89" s="99">
        <f t="shared" si="20"/>
        <v>0</v>
      </c>
      <c r="U89" s="103" t="str">
        <f t="shared" si="21"/>
        <v/>
      </c>
      <c r="V89" s="100">
        <f t="shared" si="22"/>
        <v>0</v>
      </c>
      <c r="W89" s="101" t="b">
        <f t="shared" si="23"/>
        <v>1</v>
      </c>
      <c r="X89">
        <f t="shared" si="24"/>
        <v>0</v>
      </c>
    </row>
    <row r="90" spans="12:24" x14ac:dyDescent="0.25">
      <c r="L90" s="107" t="str">
        <f t="shared" si="17"/>
        <v/>
      </c>
      <c r="M90" s="103"/>
      <c r="N90" s="109"/>
      <c r="O90" s="94"/>
      <c r="P90" s="94"/>
      <c r="Q90" s="49" t="str">
        <f t="shared" si="18"/>
        <v/>
      </c>
      <c r="R90" s="49" t="str">
        <f t="shared" si="19"/>
        <v/>
      </c>
      <c r="S90" s="63"/>
      <c r="T90" s="99">
        <f t="shared" si="20"/>
        <v>0</v>
      </c>
      <c r="U90" s="103" t="str">
        <f t="shared" si="21"/>
        <v/>
      </c>
      <c r="V90" s="100">
        <f t="shared" si="22"/>
        <v>0</v>
      </c>
      <c r="W90" s="101" t="b">
        <f t="shared" si="23"/>
        <v>1</v>
      </c>
      <c r="X90">
        <f t="shared" si="24"/>
        <v>0</v>
      </c>
    </row>
    <row r="91" spans="12:24" x14ac:dyDescent="0.25">
      <c r="L91" s="107" t="str">
        <f t="shared" si="17"/>
        <v/>
      </c>
      <c r="M91" s="103"/>
      <c r="N91" s="109"/>
      <c r="O91" s="94"/>
      <c r="P91" s="94"/>
      <c r="Q91" s="49" t="str">
        <f t="shared" si="18"/>
        <v/>
      </c>
      <c r="R91" s="49" t="str">
        <f t="shared" si="19"/>
        <v/>
      </c>
      <c r="S91" s="63"/>
      <c r="T91" s="99">
        <f t="shared" si="20"/>
        <v>0</v>
      </c>
      <c r="U91" s="103" t="str">
        <f t="shared" si="21"/>
        <v/>
      </c>
      <c r="V91" s="100">
        <f t="shared" si="22"/>
        <v>0</v>
      </c>
      <c r="W91" s="101" t="b">
        <f t="shared" si="23"/>
        <v>1</v>
      </c>
      <c r="X91">
        <f t="shared" si="24"/>
        <v>0</v>
      </c>
    </row>
    <row r="92" spans="12:24" x14ac:dyDescent="0.25">
      <c r="L92" s="107" t="str">
        <f t="shared" si="17"/>
        <v/>
      </c>
      <c r="M92" s="103"/>
      <c r="N92" s="109"/>
      <c r="O92" s="94"/>
      <c r="P92" s="94"/>
      <c r="Q92" s="49" t="str">
        <f t="shared" si="18"/>
        <v/>
      </c>
      <c r="R92" s="49" t="str">
        <f t="shared" si="19"/>
        <v/>
      </c>
      <c r="S92" s="63"/>
      <c r="T92" s="99">
        <f t="shared" si="20"/>
        <v>0</v>
      </c>
      <c r="U92" s="103" t="str">
        <f t="shared" si="21"/>
        <v/>
      </c>
      <c r="V92" s="100">
        <f t="shared" si="22"/>
        <v>0</v>
      </c>
      <c r="W92" s="101" t="b">
        <f t="shared" si="23"/>
        <v>1</v>
      </c>
      <c r="X92">
        <f t="shared" si="24"/>
        <v>0</v>
      </c>
    </row>
    <row r="93" spans="12:24" x14ac:dyDescent="0.25">
      <c r="L93" s="107" t="str">
        <f t="shared" si="17"/>
        <v/>
      </c>
      <c r="M93" s="103"/>
      <c r="N93" s="109"/>
      <c r="O93" s="94"/>
      <c r="P93" s="94"/>
      <c r="Q93" s="49" t="str">
        <f t="shared" si="18"/>
        <v/>
      </c>
      <c r="R93" s="49" t="str">
        <f t="shared" si="19"/>
        <v/>
      </c>
      <c r="S93" s="63"/>
      <c r="T93" s="99">
        <f t="shared" si="20"/>
        <v>0</v>
      </c>
      <c r="U93" s="103" t="str">
        <f t="shared" si="21"/>
        <v/>
      </c>
      <c r="V93" s="100">
        <f t="shared" si="22"/>
        <v>0</v>
      </c>
      <c r="W93" s="101" t="b">
        <f t="shared" si="23"/>
        <v>1</v>
      </c>
      <c r="X93">
        <f t="shared" si="24"/>
        <v>0</v>
      </c>
    </row>
    <row r="94" spans="12:24" x14ac:dyDescent="0.25">
      <c r="L94" s="107" t="str">
        <f t="shared" si="17"/>
        <v/>
      </c>
      <c r="M94" s="103"/>
      <c r="N94" s="109"/>
      <c r="O94" s="94"/>
      <c r="P94" s="94"/>
      <c r="Q94" s="49" t="str">
        <f t="shared" si="18"/>
        <v/>
      </c>
      <c r="R94" s="49" t="str">
        <f t="shared" si="19"/>
        <v/>
      </c>
      <c r="S94" s="63"/>
      <c r="T94" s="99">
        <f t="shared" si="20"/>
        <v>0</v>
      </c>
      <c r="U94" s="103" t="str">
        <f t="shared" si="21"/>
        <v/>
      </c>
      <c r="V94" s="100">
        <f t="shared" si="22"/>
        <v>0</v>
      </c>
      <c r="W94" s="101" t="b">
        <f t="shared" si="23"/>
        <v>1</v>
      </c>
      <c r="X94">
        <f t="shared" si="24"/>
        <v>0</v>
      </c>
    </row>
    <row r="95" spans="12:24" x14ac:dyDescent="0.25">
      <c r="L95" s="107" t="str">
        <f t="shared" si="17"/>
        <v/>
      </c>
      <c r="M95" s="103"/>
      <c r="N95" s="109"/>
      <c r="O95" s="94"/>
      <c r="P95" s="94"/>
      <c r="Q95" s="49" t="str">
        <f t="shared" si="18"/>
        <v/>
      </c>
      <c r="R95" s="49" t="str">
        <f t="shared" si="19"/>
        <v/>
      </c>
      <c r="S95" s="63"/>
      <c r="T95" s="99">
        <f t="shared" si="20"/>
        <v>0</v>
      </c>
      <c r="U95" s="103" t="str">
        <f t="shared" si="21"/>
        <v/>
      </c>
      <c r="V95" s="100">
        <f t="shared" si="22"/>
        <v>0</v>
      </c>
      <c r="W95" s="101" t="b">
        <f t="shared" si="23"/>
        <v>1</v>
      </c>
      <c r="X95">
        <f t="shared" si="24"/>
        <v>0</v>
      </c>
    </row>
    <row r="96" spans="12:24" x14ac:dyDescent="0.25">
      <c r="L96" s="107" t="str">
        <f t="shared" si="17"/>
        <v/>
      </c>
      <c r="M96" s="103"/>
      <c r="N96" s="109"/>
      <c r="O96" s="94"/>
      <c r="P96" s="94"/>
      <c r="Q96" s="49" t="str">
        <f t="shared" si="18"/>
        <v/>
      </c>
      <c r="R96" s="49" t="str">
        <f t="shared" si="19"/>
        <v/>
      </c>
      <c r="S96" s="63"/>
      <c r="T96" s="99">
        <f t="shared" si="20"/>
        <v>0</v>
      </c>
      <c r="U96" s="103" t="str">
        <f t="shared" si="21"/>
        <v/>
      </c>
      <c r="V96" s="100">
        <f t="shared" si="22"/>
        <v>0</v>
      </c>
      <c r="W96" s="101" t="b">
        <f t="shared" si="23"/>
        <v>1</v>
      </c>
      <c r="X96">
        <f t="shared" si="24"/>
        <v>0</v>
      </c>
    </row>
    <row r="97" spans="12:24" x14ac:dyDescent="0.25">
      <c r="L97" s="107" t="str">
        <f t="shared" si="17"/>
        <v/>
      </c>
      <c r="M97" s="103"/>
      <c r="N97" s="109"/>
      <c r="O97" s="94"/>
      <c r="P97" s="94"/>
      <c r="Q97" s="49" t="str">
        <f t="shared" si="18"/>
        <v/>
      </c>
      <c r="R97" s="49" t="str">
        <f t="shared" si="19"/>
        <v/>
      </c>
      <c r="S97" s="63"/>
      <c r="T97" s="99">
        <f t="shared" si="20"/>
        <v>0</v>
      </c>
      <c r="U97" s="103" t="str">
        <f t="shared" si="21"/>
        <v/>
      </c>
      <c r="V97" s="100">
        <f t="shared" si="22"/>
        <v>0</v>
      </c>
      <c r="W97" s="101" t="b">
        <f t="shared" si="23"/>
        <v>1</v>
      </c>
      <c r="X97">
        <f t="shared" si="24"/>
        <v>0</v>
      </c>
    </row>
    <row r="98" spans="12:24" x14ac:dyDescent="0.25">
      <c r="L98" s="107" t="str">
        <f t="shared" si="17"/>
        <v/>
      </c>
      <c r="M98" s="103"/>
      <c r="N98" s="109"/>
      <c r="O98" s="94"/>
      <c r="P98" s="94"/>
      <c r="Q98" s="49" t="str">
        <f t="shared" si="18"/>
        <v/>
      </c>
      <c r="R98" s="49" t="str">
        <f t="shared" si="19"/>
        <v/>
      </c>
      <c r="S98" s="63"/>
      <c r="T98" s="99">
        <f t="shared" si="20"/>
        <v>0</v>
      </c>
      <c r="U98" s="103" t="str">
        <f t="shared" si="21"/>
        <v/>
      </c>
      <c r="V98" s="100">
        <f t="shared" si="22"/>
        <v>0</v>
      </c>
      <c r="W98" s="101" t="b">
        <f t="shared" si="23"/>
        <v>1</v>
      </c>
      <c r="X98">
        <f t="shared" si="24"/>
        <v>0</v>
      </c>
    </row>
    <row r="99" spans="12:24" x14ac:dyDescent="0.25">
      <c r="L99" s="107" t="str">
        <f t="shared" ref="L99:L121" si="25">IF(LEN(M99)=0,"",ROW()-2)</f>
        <v/>
      </c>
      <c r="M99" s="103"/>
      <c r="N99" s="109"/>
      <c r="O99" s="94"/>
      <c r="P99" s="94"/>
      <c r="Q99" s="49" t="str">
        <f t="shared" si="18"/>
        <v/>
      </c>
      <c r="R99" s="49" t="str">
        <f t="shared" si="19"/>
        <v/>
      </c>
      <c r="S99" s="63"/>
      <c r="T99" s="99">
        <f t="shared" si="20"/>
        <v>0</v>
      </c>
      <c r="U99" s="103" t="str">
        <f t="shared" ref="U99:U130" si="26">IF(OR(ISBLANK(M99),SUM(S99,T99)=0),"",+M99)</f>
        <v/>
      </c>
      <c r="V99" s="100">
        <f t="shared" si="22"/>
        <v>0</v>
      </c>
      <c r="W99" s="101" t="b">
        <f t="shared" si="23"/>
        <v>1</v>
      </c>
      <c r="X99">
        <f t="shared" si="24"/>
        <v>0</v>
      </c>
    </row>
    <row r="100" spans="12:24" x14ac:dyDescent="0.25">
      <c r="L100" s="107" t="str">
        <f t="shared" si="25"/>
        <v/>
      </c>
      <c r="M100" s="103"/>
      <c r="N100" s="109"/>
      <c r="O100" s="94"/>
      <c r="P100" s="94"/>
      <c r="Q100" s="49" t="str">
        <f t="shared" si="18"/>
        <v/>
      </c>
      <c r="R100" s="49" t="str">
        <f t="shared" si="19"/>
        <v/>
      </c>
      <c r="S100" s="63"/>
      <c r="T100" s="99">
        <f t="shared" si="20"/>
        <v>0</v>
      </c>
      <c r="U100" s="103" t="str">
        <f t="shared" si="26"/>
        <v/>
      </c>
      <c r="V100" s="100">
        <f t="shared" si="22"/>
        <v>0</v>
      </c>
      <c r="W100" s="101" t="b">
        <f t="shared" si="23"/>
        <v>1</v>
      </c>
      <c r="X100">
        <f t="shared" si="24"/>
        <v>0</v>
      </c>
    </row>
    <row r="101" spans="12:24" x14ac:dyDescent="0.25">
      <c r="L101" s="107" t="str">
        <f t="shared" si="25"/>
        <v/>
      </c>
      <c r="M101" s="103"/>
      <c r="N101" s="109"/>
      <c r="O101" s="94"/>
      <c r="P101" s="94"/>
      <c r="Q101" s="49" t="str">
        <f t="shared" si="18"/>
        <v/>
      </c>
      <c r="R101" s="49" t="str">
        <f t="shared" si="19"/>
        <v/>
      </c>
      <c r="S101" s="63"/>
      <c r="T101" s="99">
        <f t="shared" si="20"/>
        <v>0</v>
      </c>
      <c r="U101" s="103" t="str">
        <f t="shared" si="26"/>
        <v/>
      </c>
      <c r="V101" s="100">
        <f t="shared" si="22"/>
        <v>0</v>
      </c>
      <c r="W101" s="101" t="b">
        <f t="shared" si="23"/>
        <v>1</v>
      </c>
      <c r="X101">
        <f t="shared" si="24"/>
        <v>0</v>
      </c>
    </row>
    <row r="102" spans="12:24" x14ac:dyDescent="0.25">
      <c r="L102" s="107" t="str">
        <f t="shared" si="25"/>
        <v/>
      </c>
      <c r="M102" s="103"/>
      <c r="N102" s="109"/>
      <c r="O102" s="94"/>
      <c r="P102" s="94"/>
      <c r="Q102" s="49" t="str">
        <f t="shared" si="18"/>
        <v/>
      </c>
      <c r="R102" s="49" t="str">
        <f t="shared" si="19"/>
        <v/>
      </c>
      <c r="S102" s="63"/>
      <c r="T102" s="99">
        <f t="shared" si="20"/>
        <v>0</v>
      </c>
      <c r="U102" s="103" t="str">
        <f t="shared" si="26"/>
        <v/>
      </c>
      <c r="V102" s="100">
        <f t="shared" si="22"/>
        <v>0</v>
      </c>
      <c r="W102" s="101" t="b">
        <f t="shared" si="23"/>
        <v>1</v>
      </c>
      <c r="X102">
        <f t="shared" si="24"/>
        <v>0</v>
      </c>
    </row>
    <row r="103" spans="12:24" x14ac:dyDescent="0.25">
      <c r="L103" s="107" t="str">
        <f t="shared" si="25"/>
        <v/>
      </c>
      <c r="M103" s="103"/>
      <c r="N103" s="109"/>
      <c r="O103" s="94"/>
      <c r="P103" s="94"/>
      <c r="Q103" s="49" t="str">
        <f t="shared" si="18"/>
        <v/>
      </c>
      <c r="R103" s="49" t="str">
        <f t="shared" si="19"/>
        <v/>
      </c>
      <c r="S103" s="63"/>
      <c r="T103" s="99">
        <f t="shared" si="20"/>
        <v>0</v>
      </c>
      <c r="U103" s="103" t="str">
        <f t="shared" si="26"/>
        <v/>
      </c>
      <c r="V103" s="100">
        <f t="shared" si="22"/>
        <v>0</v>
      </c>
      <c r="W103" s="101" t="b">
        <f t="shared" si="23"/>
        <v>1</v>
      </c>
      <c r="X103">
        <f t="shared" si="24"/>
        <v>0</v>
      </c>
    </row>
    <row r="104" spans="12:24" x14ac:dyDescent="0.25">
      <c r="L104" s="107" t="str">
        <f t="shared" si="25"/>
        <v/>
      </c>
      <c r="M104" s="103"/>
      <c r="N104" s="109"/>
      <c r="O104" s="94"/>
      <c r="P104" s="94"/>
      <c r="Q104" s="49" t="str">
        <f t="shared" si="18"/>
        <v/>
      </c>
      <c r="R104" s="49" t="str">
        <f t="shared" si="19"/>
        <v/>
      </c>
      <c r="S104" s="63"/>
      <c r="T104" s="99">
        <f t="shared" si="20"/>
        <v>0</v>
      </c>
      <c r="U104" s="103" t="str">
        <f t="shared" si="26"/>
        <v/>
      </c>
      <c r="V104" s="100">
        <f t="shared" si="22"/>
        <v>0</v>
      </c>
      <c r="W104" s="101" t="b">
        <f t="shared" si="23"/>
        <v>1</v>
      </c>
      <c r="X104">
        <f t="shared" si="24"/>
        <v>0</v>
      </c>
    </row>
    <row r="105" spans="12:24" x14ac:dyDescent="0.25">
      <c r="L105" s="107" t="str">
        <f t="shared" si="25"/>
        <v/>
      </c>
      <c r="M105" s="103"/>
      <c r="N105" s="109"/>
      <c r="O105" s="94"/>
      <c r="P105" s="94"/>
      <c r="Q105" s="49" t="str">
        <f t="shared" si="18"/>
        <v/>
      </c>
      <c r="R105" s="49" t="str">
        <f t="shared" si="19"/>
        <v/>
      </c>
      <c r="S105" s="63"/>
      <c r="T105" s="99">
        <f t="shared" si="20"/>
        <v>0</v>
      </c>
      <c r="U105" s="103" t="str">
        <f t="shared" si="26"/>
        <v/>
      </c>
      <c r="V105" s="100">
        <f t="shared" si="22"/>
        <v>0</v>
      </c>
      <c r="W105" s="101" t="b">
        <f t="shared" si="23"/>
        <v>1</v>
      </c>
      <c r="X105">
        <f t="shared" si="24"/>
        <v>0</v>
      </c>
    </row>
    <row r="106" spans="12:24" x14ac:dyDescent="0.25">
      <c r="L106" s="107" t="str">
        <f t="shared" si="25"/>
        <v/>
      </c>
      <c r="M106" s="103"/>
      <c r="N106" s="109"/>
      <c r="O106" s="94"/>
      <c r="P106" s="94"/>
      <c r="Q106" s="49" t="str">
        <f t="shared" si="18"/>
        <v/>
      </c>
      <c r="R106" s="49" t="str">
        <f t="shared" si="19"/>
        <v/>
      </c>
      <c r="S106" s="63"/>
      <c r="T106" s="99">
        <f t="shared" si="20"/>
        <v>0</v>
      </c>
      <c r="U106" s="103" t="str">
        <f t="shared" si="26"/>
        <v/>
      </c>
      <c r="V106" s="100">
        <f t="shared" si="22"/>
        <v>0</v>
      </c>
      <c r="W106" s="101" t="b">
        <f t="shared" si="23"/>
        <v>1</v>
      </c>
      <c r="X106">
        <f t="shared" si="24"/>
        <v>0</v>
      </c>
    </row>
    <row r="107" spans="12:24" x14ac:dyDescent="0.25">
      <c r="L107" s="107" t="str">
        <f t="shared" si="25"/>
        <v/>
      </c>
      <c r="M107" s="103"/>
      <c r="N107" s="109"/>
      <c r="O107" s="94"/>
      <c r="P107" s="94"/>
      <c r="Q107" s="49" t="str">
        <f t="shared" si="18"/>
        <v/>
      </c>
      <c r="R107" s="49" t="str">
        <f t="shared" si="19"/>
        <v/>
      </c>
      <c r="S107" s="63"/>
      <c r="T107" s="99">
        <f t="shared" si="20"/>
        <v>0</v>
      </c>
      <c r="U107" s="103" t="str">
        <f t="shared" si="26"/>
        <v/>
      </c>
      <c r="V107" s="100">
        <f t="shared" si="22"/>
        <v>0</v>
      </c>
      <c r="W107" s="101" t="b">
        <f t="shared" si="23"/>
        <v>1</v>
      </c>
      <c r="X107">
        <f t="shared" si="24"/>
        <v>0</v>
      </c>
    </row>
    <row r="108" spans="12:24" x14ac:dyDescent="0.25">
      <c r="L108" s="107" t="str">
        <f t="shared" si="25"/>
        <v/>
      </c>
      <c r="M108" s="103"/>
      <c r="N108" s="109"/>
      <c r="O108" s="94"/>
      <c r="P108" s="94"/>
      <c r="Q108" s="49" t="str">
        <f t="shared" si="18"/>
        <v/>
      </c>
      <c r="R108" s="49" t="str">
        <f t="shared" si="19"/>
        <v/>
      </c>
      <c r="S108" s="63"/>
      <c r="T108" s="99">
        <f t="shared" si="20"/>
        <v>0</v>
      </c>
      <c r="U108" s="103" t="str">
        <f t="shared" si="26"/>
        <v/>
      </c>
      <c r="V108" s="100">
        <f t="shared" si="22"/>
        <v>0</v>
      </c>
      <c r="W108" s="101" t="b">
        <f t="shared" si="23"/>
        <v>1</v>
      </c>
      <c r="X108">
        <f t="shared" si="24"/>
        <v>0</v>
      </c>
    </row>
    <row r="109" spans="12:24" x14ac:dyDescent="0.25">
      <c r="L109" s="107" t="str">
        <f t="shared" si="25"/>
        <v/>
      </c>
      <c r="M109" s="103"/>
      <c r="N109" s="109"/>
      <c r="O109" s="94"/>
      <c r="P109" s="94"/>
      <c r="Q109" s="49" t="str">
        <f t="shared" si="18"/>
        <v/>
      </c>
      <c r="R109" s="49" t="str">
        <f t="shared" si="19"/>
        <v/>
      </c>
      <c r="S109" s="63"/>
      <c r="T109" s="99">
        <f t="shared" si="20"/>
        <v>0</v>
      </c>
      <c r="U109" s="103" t="str">
        <f t="shared" si="26"/>
        <v/>
      </c>
      <c r="V109" s="100">
        <f t="shared" si="22"/>
        <v>0</v>
      </c>
      <c r="W109" s="101" t="b">
        <f t="shared" si="23"/>
        <v>1</v>
      </c>
      <c r="X109">
        <f t="shared" si="24"/>
        <v>0</v>
      </c>
    </row>
    <row r="110" spans="12:24" x14ac:dyDescent="0.25">
      <c r="L110" s="107" t="str">
        <f t="shared" si="25"/>
        <v/>
      </c>
      <c r="M110" s="103"/>
      <c r="N110" s="109"/>
      <c r="O110" s="94"/>
      <c r="P110" s="94"/>
      <c r="Q110" s="49" t="str">
        <f t="shared" si="18"/>
        <v/>
      </c>
      <c r="R110" s="49" t="str">
        <f t="shared" si="19"/>
        <v/>
      </c>
      <c r="S110" s="63"/>
      <c r="T110" s="99">
        <f t="shared" si="20"/>
        <v>0</v>
      </c>
      <c r="U110" s="103" t="str">
        <f t="shared" si="26"/>
        <v/>
      </c>
      <c r="V110" s="100">
        <f t="shared" si="22"/>
        <v>0</v>
      </c>
      <c r="W110" s="101" t="b">
        <f t="shared" si="23"/>
        <v>1</v>
      </c>
      <c r="X110">
        <f t="shared" si="24"/>
        <v>0</v>
      </c>
    </row>
    <row r="111" spans="12:24" x14ac:dyDescent="0.25">
      <c r="L111" s="107" t="str">
        <f t="shared" si="25"/>
        <v/>
      </c>
      <c r="M111" s="103"/>
      <c r="N111" s="109"/>
      <c r="O111" s="94"/>
      <c r="P111" s="94"/>
      <c r="Q111" s="49" t="str">
        <f t="shared" si="18"/>
        <v/>
      </c>
      <c r="R111" s="49" t="str">
        <f t="shared" si="19"/>
        <v/>
      </c>
      <c r="S111" s="63"/>
      <c r="T111" s="99">
        <f t="shared" si="20"/>
        <v>0</v>
      </c>
      <c r="U111" s="103" t="str">
        <f t="shared" si="26"/>
        <v/>
      </c>
      <c r="V111" s="100">
        <f t="shared" si="22"/>
        <v>0</v>
      </c>
      <c r="W111" s="101" t="b">
        <f t="shared" si="23"/>
        <v>1</v>
      </c>
      <c r="X111">
        <f t="shared" si="24"/>
        <v>0</v>
      </c>
    </row>
    <row r="112" spans="12:24" x14ac:dyDescent="0.25">
      <c r="L112" s="107" t="str">
        <f t="shared" si="25"/>
        <v/>
      </c>
      <c r="M112" s="103"/>
      <c r="N112" s="109"/>
      <c r="O112" s="94"/>
      <c r="P112" s="94"/>
      <c r="Q112" s="49" t="str">
        <f t="shared" si="18"/>
        <v/>
      </c>
      <c r="R112" s="49" t="str">
        <f t="shared" si="19"/>
        <v/>
      </c>
      <c r="S112" s="63"/>
      <c r="T112" s="99">
        <f t="shared" si="20"/>
        <v>0</v>
      </c>
      <c r="U112" s="103" t="str">
        <f t="shared" si="26"/>
        <v/>
      </c>
      <c r="V112" s="100">
        <f t="shared" si="22"/>
        <v>0</v>
      </c>
      <c r="W112" s="101" t="b">
        <f t="shared" si="23"/>
        <v>1</v>
      </c>
      <c r="X112">
        <f t="shared" si="24"/>
        <v>0</v>
      </c>
    </row>
    <row r="113" spans="12:24" x14ac:dyDescent="0.25">
      <c r="L113" s="107" t="str">
        <f t="shared" si="25"/>
        <v/>
      </c>
      <c r="M113" s="103"/>
      <c r="N113" s="109"/>
      <c r="O113" s="94"/>
      <c r="P113" s="94"/>
      <c r="Q113" s="49" t="str">
        <f t="shared" si="18"/>
        <v/>
      </c>
      <c r="R113" s="49" t="str">
        <f t="shared" si="19"/>
        <v/>
      </c>
      <c r="S113" s="63"/>
      <c r="T113" s="99">
        <f t="shared" si="20"/>
        <v>0</v>
      </c>
      <c r="U113" s="103" t="str">
        <f t="shared" si="26"/>
        <v/>
      </c>
      <c r="V113" s="100">
        <f t="shared" si="22"/>
        <v>0</v>
      </c>
      <c r="W113" s="101" t="b">
        <f t="shared" si="23"/>
        <v>1</v>
      </c>
      <c r="X113">
        <f t="shared" si="24"/>
        <v>0</v>
      </c>
    </row>
    <row r="114" spans="12:24" x14ac:dyDescent="0.25">
      <c r="L114" s="107" t="str">
        <f t="shared" si="25"/>
        <v/>
      </c>
      <c r="M114" s="103"/>
      <c r="N114" s="109"/>
      <c r="O114" s="94"/>
      <c r="P114" s="94"/>
      <c r="Q114" s="49" t="str">
        <f t="shared" si="18"/>
        <v/>
      </c>
      <c r="R114" s="49" t="str">
        <f t="shared" si="19"/>
        <v/>
      </c>
      <c r="S114" s="63"/>
      <c r="T114" s="99">
        <f t="shared" si="20"/>
        <v>0</v>
      </c>
      <c r="U114" s="103" t="str">
        <f t="shared" si="26"/>
        <v/>
      </c>
      <c r="V114" s="100">
        <f t="shared" si="22"/>
        <v>0</v>
      </c>
      <c r="W114" s="101" t="b">
        <f t="shared" si="23"/>
        <v>1</v>
      </c>
      <c r="X114">
        <f t="shared" si="24"/>
        <v>0</v>
      </c>
    </row>
    <row r="115" spans="12:24" x14ac:dyDescent="0.25">
      <c r="L115" s="107" t="str">
        <f t="shared" si="25"/>
        <v/>
      </c>
      <c r="M115" s="103"/>
      <c r="N115" s="109"/>
      <c r="O115" s="94"/>
      <c r="P115" s="94"/>
      <c r="Q115" s="49" t="str">
        <f t="shared" si="18"/>
        <v/>
      </c>
      <c r="R115" s="49" t="str">
        <f t="shared" si="19"/>
        <v/>
      </c>
      <c r="S115" s="63"/>
      <c r="T115" s="99">
        <f t="shared" si="20"/>
        <v>0</v>
      </c>
      <c r="U115" s="103" t="str">
        <f t="shared" si="26"/>
        <v/>
      </c>
      <c r="V115" s="100">
        <f t="shared" si="22"/>
        <v>0</v>
      </c>
      <c r="W115" s="101" t="b">
        <f t="shared" si="23"/>
        <v>1</v>
      </c>
      <c r="X115">
        <f t="shared" si="24"/>
        <v>0</v>
      </c>
    </row>
    <row r="116" spans="12:24" x14ac:dyDescent="0.25">
      <c r="L116" s="107" t="str">
        <f t="shared" si="25"/>
        <v/>
      </c>
      <c r="M116" s="103"/>
      <c r="N116" s="109"/>
      <c r="O116" s="94"/>
      <c r="P116" s="94"/>
      <c r="Q116" s="49" t="str">
        <f t="shared" si="18"/>
        <v/>
      </c>
      <c r="R116" s="49" t="str">
        <f t="shared" si="19"/>
        <v/>
      </c>
      <c r="S116" s="63"/>
      <c r="T116" s="99">
        <f t="shared" si="20"/>
        <v>0</v>
      </c>
      <c r="U116" s="103" t="str">
        <f t="shared" si="26"/>
        <v/>
      </c>
      <c r="V116" s="100">
        <f t="shared" si="22"/>
        <v>0</v>
      </c>
      <c r="W116" s="101" t="b">
        <f t="shared" si="23"/>
        <v>1</v>
      </c>
      <c r="X116">
        <f t="shared" si="24"/>
        <v>0</v>
      </c>
    </row>
    <row r="117" spans="12:24" x14ac:dyDescent="0.25">
      <c r="L117" s="107" t="str">
        <f t="shared" si="25"/>
        <v/>
      </c>
      <c r="M117" s="103"/>
      <c r="N117" s="109"/>
      <c r="O117" s="94"/>
      <c r="P117" s="94"/>
      <c r="Q117" s="49" t="str">
        <f t="shared" si="18"/>
        <v/>
      </c>
      <c r="R117" s="49" t="str">
        <f t="shared" si="19"/>
        <v/>
      </c>
      <c r="S117" s="63"/>
      <c r="T117" s="99">
        <f t="shared" si="20"/>
        <v>0</v>
      </c>
      <c r="U117" s="103" t="str">
        <f t="shared" si="26"/>
        <v/>
      </c>
      <c r="V117" s="100">
        <f t="shared" si="22"/>
        <v>0</v>
      </c>
      <c r="W117" s="101" t="b">
        <f t="shared" si="23"/>
        <v>1</v>
      </c>
      <c r="X117">
        <f t="shared" si="24"/>
        <v>0</v>
      </c>
    </row>
    <row r="118" spans="12:24" x14ac:dyDescent="0.25">
      <c r="L118" s="107" t="str">
        <f t="shared" si="25"/>
        <v/>
      </c>
      <c r="M118" s="103"/>
      <c r="N118" s="109"/>
      <c r="O118" s="94"/>
      <c r="P118" s="94"/>
      <c r="Q118" s="49" t="str">
        <f t="shared" si="18"/>
        <v/>
      </c>
      <c r="R118" s="49" t="str">
        <f t="shared" si="19"/>
        <v/>
      </c>
      <c r="S118" s="63"/>
      <c r="T118" s="99">
        <f t="shared" si="20"/>
        <v>0</v>
      </c>
      <c r="U118" s="103" t="str">
        <f t="shared" si="26"/>
        <v/>
      </c>
      <c r="V118" s="100">
        <f t="shared" si="22"/>
        <v>0</v>
      </c>
      <c r="W118" s="101" t="b">
        <f t="shared" si="23"/>
        <v>1</v>
      </c>
      <c r="X118">
        <f t="shared" si="24"/>
        <v>0</v>
      </c>
    </row>
    <row r="119" spans="12:24" x14ac:dyDescent="0.25">
      <c r="L119" s="107" t="str">
        <f t="shared" si="25"/>
        <v/>
      </c>
      <c r="M119" s="103"/>
      <c r="N119" s="109"/>
      <c r="O119" s="94"/>
      <c r="P119" s="94"/>
      <c r="Q119" s="49" t="str">
        <f t="shared" si="18"/>
        <v/>
      </c>
      <c r="R119" s="49" t="str">
        <f t="shared" si="19"/>
        <v/>
      </c>
      <c r="S119" s="63"/>
      <c r="T119" s="99">
        <f t="shared" si="20"/>
        <v>0</v>
      </c>
      <c r="U119" s="103" t="str">
        <f t="shared" si="26"/>
        <v/>
      </c>
      <c r="V119" s="100">
        <f t="shared" si="22"/>
        <v>0</v>
      </c>
      <c r="W119" s="101" t="b">
        <f t="shared" si="23"/>
        <v>1</v>
      </c>
      <c r="X119">
        <f t="shared" si="24"/>
        <v>0</v>
      </c>
    </row>
    <row r="120" spans="12:24" x14ac:dyDescent="0.25">
      <c r="L120" s="107" t="str">
        <f t="shared" si="25"/>
        <v/>
      </c>
      <c r="M120" s="103"/>
      <c r="N120" s="109"/>
      <c r="O120" s="94"/>
      <c r="P120" s="94"/>
      <c r="Q120" s="49" t="str">
        <f t="shared" si="18"/>
        <v/>
      </c>
      <c r="R120" s="49" t="str">
        <f t="shared" si="19"/>
        <v/>
      </c>
      <c r="S120" s="63"/>
      <c r="T120" s="99">
        <f t="shared" si="20"/>
        <v>0</v>
      </c>
      <c r="U120" s="103" t="str">
        <f t="shared" si="26"/>
        <v/>
      </c>
      <c r="V120" s="100">
        <f t="shared" si="22"/>
        <v>0</v>
      </c>
      <c r="W120" s="101" t="b">
        <f t="shared" si="23"/>
        <v>1</v>
      </c>
      <c r="X120">
        <f t="shared" si="24"/>
        <v>0</v>
      </c>
    </row>
    <row r="121" spans="12:24" x14ac:dyDescent="0.25">
      <c r="L121" s="107" t="str">
        <f t="shared" si="25"/>
        <v/>
      </c>
      <c r="M121" s="103"/>
      <c r="N121" s="109"/>
      <c r="O121" s="94"/>
      <c r="P121" s="94"/>
      <c r="Q121" s="49" t="str">
        <f t="shared" si="18"/>
        <v/>
      </c>
      <c r="R121" s="49" t="str">
        <f t="shared" si="19"/>
        <v/>
      </c>
      <c r="S121" s="63"/>
      <c r="T121" s="99">
        <f t="shared" si="20"/>
        <v>0</v>
      </c>
      <c r="U121" s="103" t="str">
        <f t="shared" si="26"/>
        <v/>
      </c>
      <c r="V121" s="100">
        <f t="shared" si="22"/>
        <v>0</v>
      </c>
      <c r="W121" s="101" t="b">
        <f t="shared" si="23"/>
        <v>1</v>
      </c>
      <c r="X121">
        <f t="shared" si="24"/>
        <v>0</v>
      </c>
    </row>
    <row r="122" spans="12:24" x14ac:dyDescent="0.25">
      <c r="N122" s="110"/>
      <c r="Q122" s="49" t="str">
        <f t="shared" si="18"/>
        <v/>
      </c>
      <c r="R122" s="49" t="str">
        <f t="shared" si="19"/>
        <v/>
      </c>
      <c r="S122" s="63"/>
      <c r="T122" s="99">
        <f t="shared" si="20"/>
        <v>0</v>
      </c>
      <c r="U122" s="103" t="str">
        <f t="shared" si="26"/>
        <v/>
      </c>
      <c r="V122" s="100">
        <f t="shared" si="22"/>
        <v>0</v>
      </c>
      <c r="W122" s="101" t="b">
        <f t="shared" si="23"/>
        <v>1</v>
      </c>
      <c r="X122">
        <f t="shared" si="24"/>
        <v>0</v>
      </c>
    </row>
    <row r="123" spans="12:24" x14ac:dyDescent="0.25">
      <c r="Q123" s="49" t="str">
        <f t="shared" si="18"/>
        <v/>
      </c>
      <c r="R123" s="49" t="str">
        <f t="shared" si="19"/>
        <v/>
      </c>
      <c r="S123" s="63"/>
      <c r="T123" s="99">
        <f t="shared" si="20"/>
        <v>0</v>
      </c>
      <c r="U123" s="103" t="str">
        <f t="shared" si="26"/>
        <v/>
      </c>
      <c r="V123" s="100">
        <f t="shared" si="22"/>
        <v>0</v>
      </c>
      <c r="W123" s="101" t="b">
        <f t="shared" si="23"/>
        <v>1</v>
      </c>
      <c r="X123">
        <f t="shared" si="24"/>
        <v>0</v>
      </c>
    </row>
    <row r="124" spans="12:24" x14ac:dyDescent="0.25">
      <c r="Q124" s="49" t="str">
        <f t="shared" si="18"/>
        <v/>
      </c>
      <c r="R124" s="49" t="str">
        <f t="shared" si="19"/>
        <v/>
      </c>
      <c r="S124" s="63"/>
      <c r="T124" s="99">
        <f t="shared" si="20"/>
        <v>0</v>
      </c>
      <c r="U124" s="103" t="str">
        <f t="shared" si="26"/>
        <v/>
      </c>
      <c r="V124" s="100">
        <f t="shared" si="22"/>
        <v>0</v>
      </c>
      <c r="W124" s="101" t="b">
        <f t="shared" si="23"/>
        <v>1</v>
      </c>
      <c r="X124">
        <f t="shared" si="24"/>
        <v>0</v>
      </c>
    </row>
    <row r="125" spans="12:24" x14ac:dyDescent="0.25">
      <c r="Q125" s="49" t="str">
        <f t="shared" si="18"/>
        <v/>
      </c>
      <c r="R125" s="49" t="str">
        <f t="shared" si="19"/>
        <v/>
      </c>
      <c r="S125" s="63"/>
      <c r="T125" s="99">
        <f t="shared" si="20"/>
        <v>0</v>
      </c>
      <c r="U125" s="103" t="str">
        <f t="shared" si="26"/>
        <v/>
      </c>
      <c r="V125" s="100">
        <f t="shared" si="22"/>
        <v>0</v>
      </c>
      <c r="W125" s="101" t="b">
        <f t="shared" si="23"/>
        <v>1</v>
      </c>
      <c r="X125">
        <f t="shared" si="24"/>
        <v>0</v>
      </c>
    </row>
    <row r="126" spans="12:24" x14ac:dyDescent="0.25">
      <c r="Q126" s="49" t="str">
        <f t="shared" si="18"/>
        <v/>
      </c>
      <c r="R126" s="49" t="str">
        <f t="shared" si="19"/>
        <v/>
      </c>
      <c r="S126" s="63"/>
      <c r="T126" s="99">
        <f t="shared" si="20"/>
        <v>0</v>
      </c>
      <c r="U126" s="103" t="str">
        <f t="shared" si="26"/>
        <v/>
      </c>
      <c r="V126" s="100">
        <f t="shared" si="22"/>
        <v>0</v>
      </c>
      <c r="W126" s="101" t="b">
        <f t="shared" si="23"/>
        <v>1</v>
      </c>
      <c r="X126">
        <f t="shared" si="24"/>
        <v>0</v>
      </c>
    </row>
    <row r="127" spans="12:24" x14ac:dyDescent="0.25">
      <c r="Q127" s="49" t="str">
        <f t="shared" si="18"/>
        <v/>
      </c>
      <c r="R127" s="49" t="str">
        <f t="shared" si="19"/>
        <v/>
      </c>
      <c r="S127" s="63"/>
      <c r="T127" s="99">
        <f t="shared" si="20"/>
        <v>0</v>
      </c>
      <c r="U127" s="103" t="str">
        <f t="shared" si="26"/>
        <v/>
      </c>
      <c r="V127" s="100">
        <f t="shared" si="22"/>
        <v>0</v>
      </c>
      <c r="W127" s="101" t="b">
        <f t="shared" si="23"/>
        <v>1</v>
      </c>
      <c r="X127">
        <f t="shared" si="24"/>
        <v>0</v>
      </c>
    </row>
    <row r="128" spans="12:24" x14ac:dyDescent="0.25">
      <c r="Q128" s="49" t="str">
        <f t="shared" si="18"/>
        <v/>
      </c>
      <c r="R128" s="49" t="str">
        <f t="shared" si="19"/>
        <v/>
      </c>
      <c r="S128" s="63"/>
      <c r="T128" s="99">
        <f t="shared" si="20"/>
        <v>0</v>
      </c>
      <c r="U128" s="103" t="str">
        <f t="shared" si="26"/>
        <v/>
      </c>
      <c r="V128" s="100">
        <f t="shared" si="22"/>
        <v>0</v>
      </c>
      <c r="W128" s="101" t="b">
        <f t="shared" si="23"/>
        <v>1</v>
      </c>
      <c r="X128">
        <f t="shared" si="24"/>
        <v>0</v>
      </c>
    </row>
    <row r="129" spans="17:24" x14ac:dyDescent="0.25">
      <c r="Q129" s="49" t="str">
        <f t="shared" si="18"/>
        <v/>
      </c>
      <c r="R129" s="49" t="str">
        <f t="shared" si="19"/>
        <v/>
      </c>
      <c r="S129" s="63"/>
      <c r="T129" s="99">
        <f t="shared" si="20"/>
        <v>0</v>
      </c>
      <c r="U129" s="103" t="str">
        <f t="shared" si="26"/>
        <v/>
      </c>
      <c r="V129" s="100">
        <f t="shared" si="22"/>
        <v>0</v>
      </c>
      <c r="W129" s="101" t="b">
        <f t="shared" si="23"/>
        <v>1</v>
      </c>
      <c r="X129">
        <f t="shared" si="24"/>
        <v>0</v>
      </c>
    </row>
    <row r="130" spans="17:24" x14ac:dyDescent="0.25">
      <c r="Q130" s="49" t="str">
        <f t="shared" si="18"/>
        <v/>
      </c>
      <c r="R130" s="49" t="str">
        <f t="shared" si="19"/>
        <v/>
      </c>
      <c r="S130" s="63"/>
      <c r="T130" s="99">
        <f t="shared" si="20"/>
        <v>0</v>
      </c>
      <c r="U130" s="103" t="str">
        <f t="shared" si="26"/>
        <v/>
      </c>
      <c r="V130" s="100">
        <f t="shared" si="22"/>
        <v>0</v>
      </c>
      <c r="W130" s="101" t="b">
        <f t="shared" si="23"/>
        <v>1</v>
      </c>
      <c r="X130">
        <f t="shared" si="24"/>
        <v>0</v>
      </c>
    </row>
    <row r="131" spans="17:24" x14ac:dyDescent="0.25">
      <c r="Q131" s="49" t="str">
        <f t="shared" ref="Q131:Q194" si="27">IF(ISBLANK(M131),"",ROUNDUP(N131,0))</f>
        <v/>
      </c>
      <c r="R131" s="49" t="str">
        <f t="shared" ref="R131:R194" si="28">IF(ISBLANK(B131), "", IF(OR(AND(F131=0, G131&gt;=5), AND(F131&gt;0, G131&gt;1)), 1, 0))</f>
        <v/>
      </c>
      <c r="S131" s="63"/>
      <c r="T131" s="99">
        <f t="shared" ref="T131:T194" si="29">IF(N131&gt;=5,1,0)</f>
        <v>0</v>
      </c>
      <c r="U131" s="103" t="str">
        <f t="shared" ref="U131:U150" si="30">IF(OR(ISBLANK(M131),SUM(S131,T131)=0),"",+M131)</f>
        <v/>
      </c>
      <c r="V131" s="100">
        <f t="shared" ref="V131:V194" si="31">IFERROR(+P131*SUM(S131:T131),"")</f>
        <v>0</v>
      </c>
      <c r="W131" s="101" t="b">
        <f t="shared" ref="W131:W194" si="32">AND(_xlfn.ISFORMULA(T131),NOT(ISNUMBER(S131)))</f>
        <v>1</v>
      </c>
      <c r="X131">
        <f t="shared" si="24"/>
        <v>0</v>
      </c>
    </row>
    <row r="132" spans="17:24" x14ac:dyDescent="0.25">
      <c r="Q132" s="49" t="str">
        <f t="shared" si="27"/>
        <v/>
      </c>
      <c r="R132" s="49" t="str">
        <f t="shared" si="28"/>
        <v/>
      </c>
      <c r="S132" s="63"/>
      <c r="T132" s="99">
        <f t="shared" si="29"/>
        <v>0</v>
      </c>
      <c r="U132" s="103" t="str">
        <f t="shared" si="30"/>
        <v/>
      </c>
      <c r="V132" s="100">
        <f t="shared" si="31"/>
        <v>0</v>
      </c>
      <c r="W132" s="101" t="b">
        <f t="shared" si="32"/>
        <v>1</v>
      </c>
      <c r="X132">
        <f t="shared" si="24"/>
        <v>0</v>
      </c>
    </row>
    <row r="133" spans="17:24" x14ac:dyDescent="0.25">
      <c r="Q133" s="49" t="str">
        <f t="shared" si="27"/>
        <v/>
      </c>
      <c r="R133" s="49" t="str">
        <f t="shared" si="28"/>
        <v/>
      </c>
      <c r="S133" s="63"/>
      <c r="T133" s="99">
        <f t="shared" si="29"/>
        <v>0</v>
      </c>
      <c r="U133" s="103" t="str">
        <f t="shared" si="30"/>
        <v/>
      </c>
      <c r="V133" s="100">
        <f t="shared" si="31"/>
        <v>0</v>
      </c>
      <c r="W133" s="101" t="b">
        <f t="shared" si="32"/>
        <v>1</v>
      </c>
      <c r="X133">
        <f t="shared" si="24"/>
        <v>0</v>
      </c>
    </row>
    <row r="134" spans="17:24" x14ac:dyDescent="0.25">
      <c r="Q134" s="49" t="str">
        <f t="shared" si="27"/>
        <v/>
      </c>
      <c r="R134" s="49" t="str">
        <f t="shared" si="28"/>
        <v/>
      </c>
      <c r="S134" s="63"/>
      <c r="T134" s="99">
        <f t="shared" si="29"/>
        <v>0</v>
      </c>
      <c r="U134" s="103" t="str">
        <f t="shared" si="30"/>
        <v/>
      </c>
      <c r="V134" s="100">
        <f t="shared" si="31"/>
        <v>0</v>
      </c>
      <c r="W134" s="101" t="b">
        <f t="shared" si="32"/>
        <v>1</v>
      </c>
      <c r="X134">
        <f t="shared" si="24"/>
        <v>0</v>
      </c>
    </row>
    <row r="135" spans="17:24" x14ac:dyDescent="0.25">
      <c r="Q135" s="49" t="str">
        <f t="shared" si="27"/>
        <v/>
      </c>
      <c r="R135" s="49" t="str">
        <f t="shared" si="28"/>
        <v/>
      </c>
      <c r="S135" s="63"/>
      <c r="T135" s="99">
        <f t="shared" si="29"/>
        <v>0</v>
      </c>
      <c r="U135" s="103" t="str">
        <f t="shared" si="30"/>
        <v/>
      </c>
      <c r="V135" s="100">
        <f t="shared" si="31"/>
        <v>0</v>
      </c>
      <c r="W135" s="101" t="b">
        <f t="shared" si="32"/>
        <v>1</v>
      </c>
      <c r="X135">
        <f t="shared" ref="X135:X198" si="33">SUM(S135:T135)</f>
        <v>0</v>
      </c>
    </row>
    <row r="136" spans="17:24" x14ac:dyDescent="0.25">
      <c r="Q136" s="49" t="str">
        <f t="shared" si="27"/>
        <v/>
      </c>
      <c r="R136" s="49" t="str">
        <f t="shared" si="28"/>
        <v/>
      </c>
      <c r="S136" s="63"/>
      <c r="T136" s="99">
        <f t="shared" si="29"/>
        <v>0</v>
      </c>
      <c r="U136" s="103" t="str">
        <f t="shared" si="30"/>
        <v/>
      </c>
      <c r="V136" s="100">
        <f t="shared" si="31"/>
        <v>0</v>
      </c>
      <c r="W136" s="101" t="b">
        <f t="shared" si="32"/>
        <v>1</v>
      </c>
      <c r="X136">
        <f t="shared" si="33"/>
        <v>0</v>
      </c>
    </row>
    <row r="137" spans="17:24" x14ac:dyDescent="0.25">
      <c r="Q137" s="49" t="str">
        <f t="shared" si="27"/>
        <v/>
      </c>
      <c r="R137" s="49" t="str">
        <f t="shared" si="28"/>
        <v/>
      </c>
      <c r="S137" s="63"/>
      <c r="T137" s="99">
        <f t="shared" si="29"/>
        <v>0</v>
      </c>
      <c r="U137" s="103" t="str">
        <f t="shared" si="30"/>
        <v/>
      </c>
      <c r="V137" s="100">
        <f t="shared" si="31"/>
        <v>0</v>
      </c>
      <c r="W137" s="101" t="b">
        <f t="shared" si="32"/>
        <v>1</v>
      </c>
      <c r="X137">
        <f t="shared" si="33"/>
        <v>0</v>
      </c>
    </row>
    <row r="138" spans="17:24" x14ac:dyDescent="0.25">
      <c r="Q138" s="49" t="str">
        <f t="shared" si="27"/>
        <v/>
      </c>
      <c r="R138" s="49" t="str">
        <f t="shared" si="28"/>
        <v/>
      </c>
      <c r="S138" s="63"/>
      <c r="T138" s="99">
        <f t="shared" si="29"/>
        <v>0</v>
      </c>
      <c r="U138" s="103" t="str">
        <f t="shared" si="30"/>
        <v/>
      </c>
      <c r="V138" s="100">
        <f t="shared" si="31"/>
        <v>0</v>
      </c>
      <c r="W138" s="101" t="b">
        <f t="shared" si="32"/>
        <v>1</v>
      </c>
      <c r="X138">
        <f t="shared" si="33"/>
        <v>0</v>
      </c>
    </row>
    <row r="139" spans="17:24" x14ac:dyDescent="0.25">
      <c r="Q139" s="49" t="str">
        <f t="shared" si="27"/>
        <v/>
      </c>
      <c r="R139" s="49" t="str">
        <f t="shared" si="28"/>
        <v/>
      </c>
      <c r="S139" s="63"/>
      <c r="T139" s="99">
        <f t="shared" si="29"/>
        <v>0</v>
      </c>
      <c r="U139" s="103" t="str">
        <f t="shared" si="30"/>
        <v/>
      </c>
      <c r="V139" s="100">
        <f t="shared" si="31"/>
        <v>0</v>
      </c>
      <c r="W139" s="101" t="b">
        <f t="shared" si="32"/>
        <v>1</v>
      </c>
      <c r="X139">
        <f t="shared" si="33"/>
        <v>0</v>
      </c>
    </row>
    <row r="140" spans="17:24" x14ac:dyDescent="0.25">
      <c r="Q140" s="49" t="str">
        <f t="shared" si="27"/>
        <v/>
      </c>
      <c r="R140" s="49" t="str">
        <f t="shared" si="28"/>
        <v/>
      </c>
      <c r="S140" s="63"/>
      <c r="T140" s="99">
        <f t="shared" si="29"/>
        <v>0</v>
      </c>
      <c r="U140" s="103" t="str">
        <f t="shared" si="30"/>
        <v/>
      </c>
      <c r="V140" s="100">
        <f t="shared" si="31"/>
        <v>0</v>
      </c>
      <c r="W140" s="101" t="b">
        <f t="shared" si="32"/>
        <v>1</v>
      </c>
      <c r="X140">
        <f t="shared" si="33"/>
        <v>0</v>
      </c>
    </row>
    <row r="141" spans="17:24" x14ac:dyDescent="0.25">
      <c r="Q141" s="49" t="str">
        <f t="shared" si="27"/>
        <v/>
      </c>
      <c r="R141" s="49" t="str">
        <f t="shared" si="28"/>
        <v/>
      </c>
      <c r="S141" s="63"/>
      <c r="T141" s="99">
        <f t="shared" si="29"/>
        <v>0</v>
      </c>
      <c r="U141" s="103" t="str">
        <f t="shared" si="30"/>
        <v/>
      </c>
      <c r="V141" s="100">
        <f t="shared" si="31"/>
        <v>0</v>
      </c>
      <c r="W141" s="101" t="b">
        <f t="shared" si="32"/>
        <v>1</v>
      </c>
      <c r="X141">
        <f t="shared" si="33"/>
        <v>0</v>
      </c>
    </row>
    <row r="142" spans="17:24" x14ac:dyDescent="0.25">
      <c r="Q142" s="49" t="str">
        <f t="shared" si="27"/>
        <v/>
      </c>
      <c r="R142" s="49" t="str">
        <f t="shared" si="28"/>
        <v/>
      </c>
      <c r="S142" s="63"/>
      <c r="T142" s="99">
        <f t="shared" si="29"/>
        <v>0</v>
      </c>
      <c r="U142" s="103" t="str">
        <f t="shared" si="30"/>
        <v/>
      </c>
      <c r="V142" s="100">
        <f t="shared" si="31"/>
        <v>0</v>
      </c>
      <c r="W142" s="101" t="b">
        <f t="shared" si="32"/>
        <v>1</v>
      </c>
      <c r="X142">
        <f t="shared" si="33"/>
        <v>0</v>
      </c>
    </row>
    <row r="143" spans="17:24" x14ac:dyDescent="0.25">
      <c r="Q143" s="49" t="str">
        <f t="shared" si="27"/>
        <v/>
      </c>
      <c r="R143" s="49" t="str">
        <f t="shared" si="28"/>
        <v/>
      </c>
      <c r="S143" s="63"/>
      <c r="T143" s="99">
        <f t="shared" si="29"/>
        <v>0</v>
      </c>
      <c r="U143" s="103" t="str">
        <f t="shared" si="30"/>
        <v/>
      </c>
      <c r="V143" s="100">
        <f t="shared" si="31"/>
        <v>0</v>
      </c>
      <c r="W143" s="101" t="b">
        <f t="shared" si="32"/>
        <v>1</v>
      </c>
      <c r="X143">
        <f t="shared" si="33"/>
        <v>0</v>
      </c>
    </row>
    <row r="144" spans="17:24" x14ac:dyDescent="0.25">
      <c r="Q144" s="49" t="str">
        <f t="shared" si="27"/>
        <v/>
      </c>
      <c r="R144" s="49" t="str">
        <f t="shared" si="28"/>
        <v/>
      </c>
      <c r="S144" s="63"/>
      <c r="T144" s="99">
        <f t="shared" si="29"/>
        <v>0</v>
      </c>
      <c r="U144" s="103" t="str">
        <f t="shared" si="30"/>
        <v/>
      </c>
      <c r="V144" s="100">
        <f t="shared" si="31"/>
        <v>0</v>
      </c>
      <c r="W144" s="101" t="b">
        <f t="shared" si="32"/>
        <v>1</v>
      </c>
      <c r="X144">
        <f t="shared" si="33"/>
        <v>0</v>
      </c>
    </row>
    <row r="145" spans="17:24" x14ac:dyDescent="0.25">
      <c r="Q145" s="49" t="str">
        <f t="shared" si="27"/>
        <v/>
      </c>
      <c r="R145" s="49" t="str">
        <f t="shared" si="28"/>
        <v/>
      </c>
      <c r="S145" s="63"/>
      <c r="T145" s="99">
        <f t="shared" si="29"/>
        <v>0</v>
      </c>
      <c r="U145" s="103" t="str">
        <f t="shared" si="30"/>
        <v/>
      </c>
      <c r="V145" s="100">
        <f t="shared" si="31"/>
        <v>0</v>
      </c>
      <c r="W145" s="101" t="b">
        <f t="shared" si="32"/>
        <v>1</v>
      </c>
      <c r="X145">
        <f t="shared" si="33"/>
        <v>0</v>
      </c>
    </row>
    <row r="146" spans="17:24" x14ac:dyDescent="0.25">
      <c r="Q146" s="49" t="str">
        <f t="shared" si="27"/>
        <v/>
      </c>
      <c r="R146" s="49" t="str">
        <f t="shared" si="28"/>
        <v/>
      </c>
      <c r="S146" s="63"/>
      <c r="T146" s="99">
        <f t="shared" si="29"/>
        <v>0</v>
      </c>
      <c r="U146" s="103" t="str">
        <f t="shared" si="30"/>
        <v/>
      </c>
      <c r="V146" s="100">
        <f t="shared" si="31"/>
        <v>0</v>
      </c>
      <c r="W146" s="101" t="b">
        <f t="shared" si="32"/>
        <v>1</v>
      </c>
      <c r="X146">
        <f t="shared" si="33"/>
        <v>0</v>
      </c>
    </row>
    <row r="147" spans="17:24" x14ac:dyDescent="0.25">
      <c r="Q147" s="49" t="str">
        <f t="shared" si="27"/>
        <v/>
      </c>
      <c r="R147" s="49" t="str">
        <f t="shared" si="28"/>
        <v/>
      </c>
      <c r="S147" s="63"/>
      <c r="T147" s="99">
        <f t="shared" si="29"/>
        <v>0</v>
      </c>
      <c r="U147" s="103" t="str">
        <f t="shared" si="30"/>
        <v/>
      </c>
      <c r="V147" s="100">
        <f t="shared" si="31"/>
        <v>0</v>
      </c>
      <c r="W147" s="101" t="b">
        <f t="shared" si="32"/>
        <v>1</v>
      </c>
      <c r="X147">
        <f t="shared" si="33"/>
        <v>0</v>
      </c>
    </row>
    <row r="148" spans="17:24" x14ac:dyDescent="0.25">
      <c r="Q148" s="49" t="str">
        <f t="shared" si="27"/>
        <v/>
      </c>
      <c r="R148" s="49" t="str">
        <f t="shared" si="28"/>
        <v/>
      </c>
      <c r="S148" s="63"/>
      <c r="T148" s="99">
        <f t="shared" si="29"/>
        <v>0</v>
      </c>
      <c r="U148" s="103" t="str">
        <f t="shared" si="30"/>
        <v/>
      </c>
      <c r="V148" s="100">
        <f t="shared" si="31"/>
        <v>0</v>
      </c>
      <c r="W148" s="101" t="b">
        <f t="shared" si="32"/>
        <v>1</v>
      </c>
      <c r="X148">
        <f t="shared" si="33"/>
        <v>0</v>
      </c>
    </row>
    <row r="149" spans="17:24" x14ac:dyDescent="0.25">
      <c r="Q149" s="49" t="str">
        <f t="shared" si="27"/>
        <v/>
      </c>
      <c r="R149" s="49" t="str">
        <f t="shared" si="28"/>
        <v/>
      </c>
      <c r="S149" s="63"/>
      <c r="T149" s="99">
        <f t="shared" si="29"/>
        <v>0</v>
      </c>
      <c r="U149" s="103" t="str">
        <f t="shared" si="30"/>
        <v/>
      </c>
      <c r="V149" s="100">
        <f t="shared" si="31"/>
        <v>0</v>
      </c>
      <c r="W149" s="101" t="b">
        <f t="shared" si="32"/>
        <v>1</v>
      </c>
      <c r="X149">
        <f t="shared" si="33"/>
        <v>0</v>
      </c>
    </row>
    <row r="150" spans="17:24" x14ac:dyDescent="0.25">
      <c r="Q150" s="49" t="str">
        <f t="shared" si="27"/>
        <v/>
      </c>
      <c r="R150" s="49" t="str">
        <f t="shared" si="28"/>
        <v/>
      </c>
      <c r="S150" s="63"/>
      <c r="T150" s="99">
        <f t="shared" si="29"/>
        <v>0</v>
      </c>
      <c r="U150" s="103" t="str">
        <f t="shared" si="30"/>
        <v/>
      </c>
      <c r="V150" s="100">
        <f t="shared" si="31"/>
        <v>0</v>
      </c>
      <c r="W150" s="101" t="b">
        <f t="shared" si="32"/>
        <v>1</v>
      </c>
      <c r="X150">
        <f t="shared" si="33"/>
        <v>0</v>
      </c>
    </row>
    <row r="151" spans="17:24" x14ac:dyDescent="0.25">
      <c r="Q151" s="49" t="str">
        <f t="shared" si="27"/>
        <v/>
      </c>
      <c r="R151" s="49" t="str">
        <f t="shared" si="28"/>
        <v/>
      </c>
      <c r="S151" s="63"/>
      <c r="T151" s="99">
        <f t="shared" si="29"/>
        <v>0</v>
      </c>
      <c r="V151" s="100">
        <f t="shared" si="31"/>
        <v>0</v>
      </c>
      <c r="W151" s="101" t="b">
        <f t="shared" si="32"/>
        <v>1</v>
      </c>
      <c r="X151">
        <f t="shared" si="33"/>
        <v>0</v>
      </c>
    </row>
    <row r="152" spans="17:24" x14ac:dyDescent="0.25">
      <c r="Q152" s="49" t="str">
        <f t="shared" si="27"/>
        <v/>
      </c>
      <c r="R152" s="49" t="str">
        <f t="shared" si="28"/>
        <v/>
      </c>
      <c r="S152" s="63"/>
      <c r="T152" s="99">
        <f t="shared" si="29"/>
        <v>0</v>
      </c>
      <c r="V152" s="100">
        <f t="shared" si="31"/>
        <v>0</v>
      </c>
      <c r="W152" s="101" t="b">
        <f t="shared" si="32"/>
        <v>1</v>
      </c>
      <c r="X152">
        <f t="shared" si="33"/>
        <v>0</v>
      </c>
    </row>
    <row r="153" spans="17:24" x14ac:dyDescent="0.25">
      <c r="Q153" s="49" t="str">
        <f t="shared" si="27"/>
        <v/>
      </c>
      <c r="R153" s="49" t="str">
        <f t="shared" si="28"/>
        <v/>
      </c>
      <c r="S153" s="63"/>
      <c r="T153" s="99">
        <f t="shared" si="29"/>
        <v>0</v>
      </c>
      <c r="V153" s="100">
        <f t="shared" si="31"/>
        <v>0</v>
      </c>
      <c r="W153" s="101" t="b">
        <f t="shared" si="32"/>
        <v>1</v>
      </c>
      <c r="X153">
        <f t="shared" si="33"/>
        <v>0</v>
      </c>
    </row>
    <row r="154" spans="17:24" x14ac:dyDescent="0.25">
      <c r="Q154" s="49" t="str">
        <f t="shared" si="27"/>
        <v/>
      </c>
      <c r="R154" s="49" t="str">
        <f t="shared" si="28"/>
        <v/>
      </c>
      <c r="S154" s="63"/>
      <c r="T154" s="99">
        <f t="shared" si="29"/>
        <v>0</v>
      </c>
      <c r="V154" s="100">
        <f t="shared" si="31"/>
        <v>0</v>
      </c>
      <c r="W154" s="101" t="b">
        <f t="shared" si="32"/>
        <v>1</v>
      </c>
      <c r="X154">
        <f t="shared" si="33"/>
        <v>0</v>
      </c>
    </row>
    <row r="155" spans="17:24" x14ac:dyDescent="0.25">
      <c r="Q155" s="49" t="str">
        <f t="shared" si="27"/>
        <v/>
      </c>
      <c r="R155" s="49" t="str">
        <f t="shared" si="28"/>
        <v/>
      </c>
      <c r="S155" s="63"/>
      <c r="T155" s="99">
        <f t="shared" si="29"/>
        <v>0</v>
      </c>
      <c r="V155" s="100">
        <f t="shared" si="31"/>
        <v>0</v>
      </c>
      <c r="W155" s="101" t="b">
        <f t="shared" si="32"/>
        <v>1</v>
      </c>
      <c r="X155">
        <f t="shared" si="33"/>
        <v>0</v>
      </c>
    </row>
    <row r="156" spans="17:24" x14ac:dyDescent="0.25">
      <c r="Q156" s="49" t="str">
        <f t="shared" si="27"/>
        <v/>
      </c>
      <c r="R156" s="49" t="str">
        <f t="shared" si="28"/>
        <v/>
      </c>
      <c r="S156" s="63"/>
      <c r="T156" s="99">
        <f t="shared" si="29"/>
        <v>0</v>
      </c>
      <c r="V156" s="100">
        <f t="shared" si="31"/>
        <v>0</v>
      </c>
      <c r="W156" s="101" t="b">
        <f t="shared" si="32"/>
        <v>1</v>
      </c>
      <c r="X156">
        <f t="shared" si="33"/>
        <v>0</v>
      </c>
    </row>
    <row r="157" spans="17:24" x14ac:dyDescent="0.25">
      <c r="Q157" s="49" t="str">
        <f t="shared" si="27"/>
        <v/>
      </c>
      <c r="R157" s="49" t="str">
        <f t="shared" si="28"/>
        <v/>
      </c>
      <c r="S157" s="63"/>
      <c r="T157" s="99">
        <f t="shared" si="29"/>
        <v>0</v>
      </c>
      <c r="V157" s="100">
        <f t="shared" si="31"/>
        <v>0</v>
      </c>
      <c r="W157" s="101" t="b">
        <f t="shared" si="32"/>
        <v>1</v>
      </c>
      <c r="X157">
        <f t="shared" si="33"/>
        <v>0</v>
      </c>
    </row>
    <row r="158" spans="17:24" x14ac:dyDescent="0.25">
      <c r="Q158" s="49" t="str">
        <f t="shared" si="27"/>
        <v/>
      </c>
      <c r="R158" s="49" t="str">
        <f t="shared" si="28"/>
        <v/>
      </c>
      <c r="S158" s="63"/>
      <c r="T158" s="99">
        <f t="shared" si="29"/>
        <v>0</v>
      </c>
      <c r="V158" s="100">
        <f t="shared" si="31"/>
        <v>0</v>
      </c>
      <c r="W158" s="101" t="b">
        <f t="shared" si="32"/>
        <v>1</v>
      </c>
      <c r="X158">
        <f t="shared" si="33"/>
        <v>0</v>
      </c>
    </row>
    <row r="159" spans="17:24" x14ac:dyDescent="0.25">
      <c r="Q159" s="49" t="str">
        <f t="shared" si="27"/>
        <v/>
      </c>
      <c r="R159" s="49" t="str">
        <f t="shared" si="28"/>
        <v/>
      </c>
      <c r="S159" s="63"/>
      <c r="T159" s="99">
        <f t="shared" si="29"/>
        <v>0</v>
      </c>
      <c r="V159" s="100">
        <f t="shared" si="31"/>
        <v>0</v>
      </c>
      <c r="W159" s="101" t="b">
        <f t="shared" si="32"/>
        <v>1</v>
      </c>
      <c r="X159">
        <f t="shared" si="33"/>
        <v>0</v>
      </c>
    </row>
    <row r="160" spans="17:24" x14ac:dyDescent="0.25">
      <c r="Q160" s="49" t="str">
        <f t="shared" si="27"/>
        <v/>
      </c>
      <c r="R160" s="49" t="str">
        <f t="shared" si="28"/>
        <v/>
      </c>
      <c r="S160" s="63"/>
      <c r="T160" s="99">
        <f t="shared" si="29"/>
        <v>0</v>
      </c>
      <c r="V160" s="100">
        <f t="shared" si="31"/>
        <v>0</v>
      </c>
      <c r="W160" s="101" t="b">
        <f t="shared" si="32"/>
        <v>1</v>
      </c>
      <c r="X160">
        <f t="shared" si="33"/>
        <v>0</v>
      </c>
    </row>
    <row r="161" spans="17:24" x14ac:dyDescent="0.25">
      <c r="Q161" s="49" t="str">
        <f t="shared" si="27"/>
        <v/>
      </c>
      <c r="R161" s="49" t="str">
        <f t="shared" si="28"/>
        <v/>
      </c>
      <c r="S161" s="63"/>
      <c r="T161" s="99">
        <f t="shared" si="29"/>
        <v>0</v>
      </c>
      <c r="V161" s="100">
        <f t="shared" si="31"/>
        <v>0</v>
      </c>
      <c r="W161" s="101" t="b">
        <f t="shared" si="32"/>
        <v>1</v>
      </c>
      <c r="X161">
        <f t="shared" si="33"/>
        <v>0</v>
      </c>
    </row>
    <row r="162" spans="17:24" x14ac:dyDescent="0.25">
      <c r="Q162" s="49" t="str">
        <f t="shared" si="27"/>
        <v/>
      </c>
      <c r="R162" s="49" t="str">
        <f t="shared" si="28"/>
        <v/>
      </c>
      <c r="S162" s="63"/>
      <c r="T162" s="99">
        <f t="shared" si="29"/>
        <v>0</v>
      </c>
      <c r="V162" s="100">
        <f t="shared" si="31"/>
        <v>0</v>
      </c>
      <c r="W162" s="101" t="b">
        <f t="shared" si="32"/>
        <v>1</v>
      </c>
      <c r="X162">
        <f t="shared" si="33"/>
        <v>0</v>
      </c>
    </row>
    <row r="163" spans="17:24" x14ac:dyDescent="0.25">
      <c r="Q163" s="49" t="str">
        <f t="shared" si="27"/>
        <v/>
      </c>
      <c r="R163" s="49" t="str">
        <f t="shared" si="28"/>
        <v/>
      </c>
      <c r="S163" s="63"/>
      <c r="T163" s="99">
        <f t="shared" si="29"/>
        <v>0</v>
      </c>
      <c r="V163" s="100">
        <f t="shared" si="31"/>
        <v>0</v>
      </c>
      <c r="W163" s="101" t="b">
        <f t="shared" si="32"/>
        <v>1</v>
      </c>
      <c r="X163">
        <f t="shared" si="33"/>
        <v>0</v>
      </c>
    </row>
    <row r="164" spans="17:24" x14ac:dyDescent="0.25">
      <c r="Q164" s="49" t="str">
        <f t="shared" si="27"/>
        <v/>
      </c>
      <c r="R164" s="49" t="str">
        <f t="shared" si="28"/>
        <v/>
      </c>
      <c r="S164" s="63"/>
      <c r="T164" s="99">
        <f t="shared" si="29"/>
        <v>0</v>
      </c>
      <c r="V164" s="100">
        <f t="shared" si="31"/>
        <v>0</v>
      </c>
      <c r="W164" s="101" t="b">
        <f t="shared" si="32"/>
        <v>1</v>
      </c>
      <c r="X164">
        <f t="shared" si="33"/>
        <v>0</v>
      </c>
    </row>
    <row r="165" spans="17:24" x14ac:dyDescent="0.25">
      <c r="Q165" s="49" t="str">
        <f t="shared" si="27"/>
        <v/>
      </c>
      <c r="R165" s="49" t="str">
        <f t="shared" si="28"/>
        <v/>
      </c>
      <c r="S165" s="63"/>
      <c r="T165" s="99">
        <f t="shared" si="29"/>
        <v>0</v>
      </c>
      <c r="V165" s="100">
        <f t="shared" si="31"/>
        <v>0</v>
      </c>
      <c r="W165" s="101" t="b">
        <f t="shared" si="32"/>
        <v>1</v>
      </c>
      <c r="X165">
        <f t="shared" si="33"/>
        <v>0</v>
      </c>
    </row>
    <row r="166" spans="17:24" x14ac:dyDescent="0.25">
      <c r="Q166" s="49" t="str">
        <f t="shared" si="27"/>
        <v/>
      </c>
      <c r="R166" s="49" t="str">
        <f t="shared" si="28"/>
        <v/>
      </c>
      <c r="S166" s="63"/>
      <c r="T166" s="99">
        <f t="shared" si="29"/>
        <v>0</v>
      </c>
      <c r="V166" s="100">
        <f t="shared" si="31"/>
        <v>0</v>
      </c>
      <c r="W166" s="101" t="b">
        <f t="shared" si="32"/>
        <v>1</v>
      </c>
      <c r="X166">
        <f t="shared" si="33"/>
        <v>0</v>
      </c>
    </row>
    <row r="167" spans="17:24" x14ac:dyDescent="0.25">
      <c r="Q167" s="49" t="str">
        <f t="shared" si="27"/>
        <v/>
      </c>
      <c r="R167" s="49" t="str">
        <f t="shared" si="28"/>
        <v/>
      </c>
      <c r="S167" s="63"/>
      <c r="T167" s="99">
        <f t="shared" si="29"/>
        <v>0</v>
      </c>
      <c r="V167" s="100">
        <f t="shared" si="31"/>
        <v>0</v>
      </c>
      <c r="W167" s="101" t="b">
        <f t="shared" si="32"/>
        <v>1</v>
      </c>
      <c r="X167">
        <f t="shared" si="33"/>
        <v>0</v>
      </c>
    </row>
    <row r="168" spans="17:24" x14ac:dyDescent="0.25">
      <c r="Q168" s="49" t="str">
        <f t="shared" si="27"/>
        <v/>
      </c>
      <c r="R168" s="49" t="str">
        <f t="shared" si="28"/>
        <v/>
      </c>
      <c r="S168" s="63"/>
      <c r="T168" s="99">
        <f t="shared" si="29"/>
        <v>0</v>
      </c>
      <c r="V168" s="100">
        <f t="shared" si="31"/>
        <v>0</v>
      </c>
      <c r="W168" s="101" t="b">
        <f t="shared" si="32"/>
        <v>1</v>
      </c>
      <c r="X168">
        <f t="shared" si="33"/>
        <v>0</v>
      </c>
    </row>
    <row r="169" spans="17:24" x14ac:dyDescent="0.25">
      <c r="Q169" s="49" t="str">
        <f t="shared" si="27"/>
        <v/>
      </c>
      <c r="R169" s="49" t="str">
        <f t="shared" si="28"/>
        <v/>
      </c>
      <c r="S169" s="63"/>
      <c r="T169" s="99">
        <f t="shared" si="29"/>
        <v>0</v>
      </c>
      <c r="V169" s="100">
        <f t="shared" si="31"/>
        <v>0</v>
      </c>
      <c r="W169" s="101" t="b">
        <f t="shared" si="32"/>
        <v>1</v>
      </c>
      <c r="X169">
        <f t="shared" si="33"/>
        <v>0</v>
      </c>
    </row>
    <row r="170" spans="17:24" x14ac:dyDescent="0.25">
      <c r="Q170" s="49" t="str">
        <f t="shared" si="27"/>
        <v/>
      </c>
      <c r="R170" s="49" t="str">
        <f t="shared" si="28"/>
        <v/>
      </c>
      <c r="S170" s="63"/>
      <c r="T170" s="99">
        <f t="shared" si="29"/>
        <v>0</v>
      </c>
      <c r="V170" s="100">
        <f t="shared" si="31"/>
        <v>0</v>
      </c>
      <c r="W170" s="101" t="b">
        <f t="shared" si="32"/>
        <v>1</v>
      </c>
      <c r="X170">
        <f t="shared" si="33"/>
        <v>0</v>
      </c>
    </row>
    <row r="171" spans="17:24" x14ac:dyDescent="0.25">
      <c r="Q171" s="49" t="str">
        <f t="shared" si="27"/>
        <v/>
      </c>
      <c r="R171" s="49" t="str">
        <f t="shared" si="28"/>
        <v/>
      </c>
      <c r="S171" s="63"/>
      <c r="T171" s="99">
        <f t="shared" si="29"/>
        <v>0</v>
      </c>
      <c r="V171" s="100">
        <f t="shared" si="31"/>
        <v>0</v>
      </c>
      <c r="W171" s="101" t="b">
        <f t="shared" si="32"/>
        <v>1</v>
      </c>
      <c r="X171">
        <f t="shared" si="33"/>
        <v>0</v>
      </c>
    </row>
    <row r="172" spans="17:24" x14ac:dyDescent="0.25">
      <c r="Q172" s="49" t="str">
        <f t="shared" si="27"/>
        <v/>
      </c>
      <c r="R172" s="49" t="str">
        <f t="shared" si="28"/>
        <v/>
      </c>
      <c r="S172" s="63"/>
      <c r="T172" s="99">
        <f t="shared" si="29"/>
        <v>0</v>
      </c>
      <c r="V172" s="100">
        <f t="shared" si="31"/>
        <v>0</v>
      </c>
      <c r="W172" s="101" t="b">
        <f t="shared" si="32"/>
        <v>1</v>
      </c>
      <c r="X172">
        <f t="shared" si="33"/>
        <v>0</v>
      </c>
    </row>
    <row r="173" spans="17:24" x14ac:dyDescent="0.25">
      <c r="Q173" s="49" t="str">
        <f t="shared" si="27"/>
        <v/>
      </c>
      <c r="R173" s="49" t="str">
        <f t="shared" si="28"/>
        <v/>
      </c>
      <c r="S173" s="63"/>
      <c r="T173" s="99">
        <f t="shared" si="29"/>
        <v>0</v>
      </c>
      <c r="V173" s="100">
        <f t="shared" si="31"/>
        <v>0</v>
      </c>
      <c r="W173" s="101" t="b">
        <f t="shared" si="32"/>
        <v>1</v>
      </c>
      <c r="X173">
        <f t="shared" si="33"/>
        <v>0</v>
      </c>
    </row>
    <row r="174" spans="17:24" x14ac:dyDescent="0.25">
      <c r="Q174" s="49" t="str">
        <f t="shared" si="27"/>
        <v/>
      </c>
      <c r="R174" s="49" t="str">
        <f t="shared" si="28"/>
        <v/>
      </c>
      <c r="S174" s="63"/>
      <c r="T174" s="99">
        <f t="shared" si="29"/>
        <v>0</v>
      </c>
      <c r="V174" s="100">
        <f t="shared" si="31"/>
        <v>0</v>
      </c>
      <c r="W174" s="101" t="b">
        <f t="shared" si="32"/>
        <v>1</v>
      </c>
      <c r="X174">
        <f t="shared" si="33"/>
        <v>0</v>
      </c>
    </row>
    <row r="175" spans="17:24" x14ac:dyDescent="0.25">
      <c r="Q175" s="49" t="str">
        <f t="shared" si="27"/>
        <v/>
      </c>
      <c r="R175" s="49" t="str">
        <f t="shared" si="28"/>
        <v/>
      </c>
      <c r="S175" s="63"/>
      <c r="T175" s="99">
        <f t="shared" si="29"/>
        <v>0</v>
      </c>
      <c r="V175" s="100">
        <f t="shared" si="31"/>
        <v>0</v>
      </c>
      <c r="W175" s="101" t="b">
        <f t="shared" si="32"/>
        <v>1</v>
      </c>
      <c r="X175">
        <f t="shared" si="33"/>
        <v>0</v>
      </c>
    </row>
    <row r="176" spans="17:24" x14ac:dyDescent="0.25">
      <c r="Q176" s="49" t="str">
        <f t="shared" si="27"/>
        <v/>
      </c>
      <c r="R176" s="49" t="str">
        <f t="shared" si="28"/>
        <v/>
      </c>
      <c r="S176" s="63"/>
      <c r="T176" s="99">
        <f t="shared" si="29"/>
        <v>0</v>
      </c>
      <c r="V176" s="100">
        <f t="shared" si="31"/>
        <v>0</v>
      </c>
      <c r="W176" s="101" t="b">
        <f t="shared" si="32"/>
        <v>1</v>
      </c>
      <c r="X176">
        <f t="shared" si="33"/>
        <v>0</v>
      </c>
    </row>
    <row r="177" spans="17:24" x14ac:dyDescent="0.25">
      <c r="Q177" s="49" t="str">
        <f t="shared" si="27"/>
        <v/>
      </c>
      <c r="R177" s="49" t="str">
        <f t="shared" si="28"/>
        <v/>
      </c>
      <c r="S177" s="63"/>
      <c r="T177" s="99">
        <f t="shared" si="29"/>
        <v>0</v>
      </c>
      <c r="V177" s="100">
        <f t="shared" si="31"/>
        <v>0</v>
      </c>
      <c r="W177" s="101" t="b">
        <f t="shared" si="32"/>
        <v>1</v>
      </c>
      <c r="X177">
        <f t="shared" si="33"/>
        <v>0</v>
      </c>
    </row>
    <row r="178" spans="17:24" x14ac:dyDescent="0.25">
      <c r="Q178" s="49" t="str">
        <f t="shared" si="27"/>
        <v/>
      </c>
      <c r="R178" s="49" t="str">
        <f t="shared" si="28"/>
        <v/>
      </c>
      <c r="S178" s="63"/>
      <c r="T178" s="99">
        <f t="shared" si="29"/>
        <v>0</v>
      </c>
      <c r="V178" s="100">
        <f t="shared" si="31"/>
        <v>0</v>
      </c>
      <c r="W178" s="101" t="b">
        <f t="shared" si="32"/>
        <v>1</v>
      </c>
      <c r="X178">
        <f t="shared" si="33"/>
        <v>0</v>
      </c>
    </row>
    <row r="179" spans="17:24" x14ac:dyDescent="0.25">
      <c r="Q179" s="49" t="str">
        <f t="shared" si="27"/>
        <v/>
      </c>
      <c r="R179" s="49" t="str">
        <f t="shared" si="28"/>
        <v/>
      </c>
      <c r="S179" s="63"/>
      <c r="T179" s="99">
        <f t="shared" si="29"/>
        <v>0</v>
      </c>
      <c r="V179" s="100">
        <f t="shared" si="31"/>
        <v>0</v>
      </c>
      <c r="W179" s="101" t="b">
        <f t="shared" si="32"/>
        <v>1</v>
      </c>
      <c r="X179">
        <f t="shared" si="33"/>
        <v>0</v>
      </c>
    </row>
    <row r="180" spans="17:24" x14ac:dyDescent="0.25">
      <c r="Q180" s="49" t="str">
        <f t="shared" si="27"/>
        <v/>
      </c>
      <c r="R180" s="49" t="str">
        <f t="shared" si="28"/>
        <v/>
      </c>
      <c r="S180" s="63"/>
      <c r="T180" s="99">
        <f t="shared" si="29"/>
        <v>0</v>
      </c>
      <c r="V180" s="100">
        <f t="shared" si="31"/>
        <v>0</v>
      </c>
      <c r="W180" s="101" t="b">
        <f t="shared" si="32"/>
        <v>1</v>
      </c>
      <c r="X180">
        <f t="shared" si="33"/>
        <v>0</v>
      </c>
    </row>
    <row r="181" spans="17:24" x14ac:dyDescent="0.25">
      <c r="Q181" s="49" t="str">
        <f t="shared" si="27"/>
        <v/>
      </c>
      <c r="R181" s="49" t="str">
        <f t="shared" si="28"/>
        <v/>
      </c>
      <c r="S181" s="63"/>
      <c r="T181" s="99">
        <f t="shared" si="29"/>
        <v>0</v>
      </c>
      <c r="V181" s="100">
        <f t="shared" si="31"/>
        <v>0</v>
      </c>
      <c r="W181" s="101" t="b">
        <f t="shared" si="32"/>
        <v>1</v>
      </c>
      <c r="X181">
        <f t="shared" si="33"/>
        <v>0</v>
      </c>
    </row>
    <row r="182" spans="17:24" x14ac:dyDescent="0.25">
      <c r="Q182" s="49" t="str">
        <f t="shared" si="27"/>
        <v/>
      </c>
      <c r="R182" s="49" t="str">
        <f t="shared" si="28"/>
        <v/>
      </c>
      <c r="S182" s="63"/>
      <c r="T182" s="99">
        <f t="shared" si="29"/>
        <v>0</v>
      </c>
      <c r="V182" s="100">
        <f t="shared" si="31"/>
        <v>0</v>
      </c>
      <c r="W182" s="101" t="b">
        <f t="shared" si="32"/>
        <v>1</v>
      </c>
      <c r="X182">
        <f t="shared" si="33"/>
        <v>0</v>
      </c>
    </row>
    <row r="183" spans="17:24" x14ac:dyDescent="0.25">
      <c r="Q183" s="49" t="str">
        <f t="shared" si="27"/>
        <v/>
      </c>
      <c r="R183" s="49" t="str">
        <f t="shared" si="28"/>
        <v/>
      </c>
      <c r="S183" s="63"/>
      <c r="T183" s="99">
        <f t="shared" si="29"/>
        <v>0</v>
      </c>
      <c r="V183" s="100">
        <f t="shared" si="31"/>
        <v>0</v>
      </c>
      <c r="W183" s="101" t="b">
        <f t="shared" si="32"/>
        <v>1</v>
      </c>
      <c r="X183">
        <f t="shared" si="33"/>
        <v>0</v>
      </c>
    </row>
    <row r="184" spans="17:24" x14ac:dyDescent="0.25">
      <c r="Q184" s="49" t="str">
        <f t="shared" si="27"/>
        <v/>
      </c>
      <c r="R184" s="49" t="str">
        <f t="shared" si="28"/>
        <v/>
      </c>
      <c r="S184" s="63"/>
      <c r="T184" s="99">
        <f t="shared" si="29"/>
        <v>0</v>
      </c>
      <c r="V184" s="100">
        <f t="shared" si="31"/>
        <v>0</v>
      </c>
      <c r="W184" s="101" t="b">
        <f t="shared" si="32"/>
        <v>1</v>
      </c>
      <c r="X184">
        <f t="shared" si="33"/>
        <v>0</v>
      </c>
    </row>
    <row r="185" spans="17:24" x14ac:dyDescent="0.25">
      <c r="Q185" s="49" t="str">
        <f t="shared" si="27"/>
        <v/>
      </c>
      <c r="R185" s="49" t="str">
        <f t="shared" si="28"/>
        <v/>
      </c>
      <c r="S185" s="63"/>
      <c r="T185" s="99">
        <f t="shared" si="29"/>
        <v>0</v>
      </c>
      <c r="V185" s="100">
        <f t="shared" si="31"/>
        <v>0</v>
      </c>
      <c r="W185" s="101" t="b">
        <f t="shared" si="32"/>
        <v>1</v>
      </c>
      <c r="X185">
        <f t="shared" si="33"/>
        <v>0</v>
      </c>
    </row>
    <row r="186" spans="17:24" x14ac:dyDescent="0.25">
      <c r="Q186" s="49" t="str">
        <f t="shared" si="27"/>
        <v/>
      </c>
      <c r="R186" s="49" t="str">
        <f t="shared" si="28"/>
        <v/>
      </c>
      <c r="S186" s="63"/>
      <c r="T186" s="99">
        <f t="shared" si="29"/>
        <v>0</v>
      </c>
      <c r="V186" s="100">
        <f t="shared" si="31"/>
        <v>0</v>
      </c>
      <c r="W186" s="101" t="b">
        <f t="shared" si="32"/>
        <v>1</v>
      </c>
      <c r="X186">
        <f t="shared" si="33"/>
        <v>0</v>
      </c>
    </row>
    <row r="187" spans="17:24" x14ac:dyDescent="0.25">
      <c r="Q187" s="49" t="str">
        <f t="shared" si="27"/>
        <v/>
      </c>
      <c r="R187" s="49" t="str">
        <f t="shared" si="28"/>
        <v/>
      </c>
      <c r="S187" s="63"/>
      <c r="T187" s="99">
        <f t="shared" si="29"/>
        <v>0</v>
      </c>
      <c r="V187" s="100">
        <f t="shared" si="31"/>
        <v>0</v>
      </c>
      <c r="W187" s="101" t="b">
        <f t="shared" si="32"/>
        <v>1</v>
      </c>
      <c r="X187">
        <f t="shared" si="33"/>
        <v>0</v>
      </c>
    </row>
    <row r="188" spans="17:24" x14ac:dyDescent="0.25">
      <c r="Q188" s="49" t="str">
        <f t="shared" si="27"/>
        <v/>
      </c>
      <c r="R188" s="49" t="str">
        <f t="shared" si="28"/>
        <v/>
      </c>
      <c r="S188" s="63"/>
      <c r="T188" s="99">
        <f t="shared" si="29"/>
        <v>0</v>
      </c>
      <c r="V188" s="100">
        <f t="shared" si="31"/>
        <v>0</v>
      </c>
      <c r="W188" s="101" t="b">
        <f t="shared" si="32"/>
        <v>1</v>
      </c>
      <c r="X188">
        <f t="shared" si="33"/>
        <v>0</v>
      </c>
    </row>
    <row r="189" spans="17:24" x14ac:dyDescent="0.25">
      <c r="Q189" s="49" t="str">
        <f t="shared" si="27"/>
        <v/>
      </c>
      <c r="R189" s="49" t="str">
        <f t="shared" si="28"/>
        <v/>
      </c>
      <c r="S189" s="63"/>
      <c r="T189" s="99">
        <f t="shared" si="29"/>
        <v>0</v>
      </c>
      <c r="V189" s="100">
        <f t="shared" si="31"/>
        <v>0</v>
      </c>
      <c r="W189" s="101" t="b">
        <f t="shared" si="32"/>
        <v>1</v>
      </c>
      <c r="X189">
        <f t="shared" si="33"/>
        <v>0</v>
      </c>
    </row>
    <row r="190" spans="17:24" x14ac:dyDescent="0.25">
      <c r="Q190" s="49" t="str">
        <f t="shared" si="27"/>
        <v/>
      </c>
      <c r="R190" s="49" t="str">
        <f t="shared" si="28"/>
        <v/>
      </c>
      <c r="S190" s="63"/>
      <c r="T190" s="99">
        <f t="shared" si="29"/>
        <v>0</v>
      </c>
      <c r="V190" s="100">
        <f t="shared" si="31"/>
        <v>0</v>
      </c>
      <c r="W190" s="101" t="b">
        <f t="shared" si="32"/>
        <v>1</v>
      </c>
      <c r="X190">
        <f t="shared" si="33"/>
        <v>0</v>
      </c>
    </row>
    <row r="191" spans="17:24" x14ac:dyDescent="0.25">
      <c r="Q191" s="49" t="str">
        <f t="shared" si="27"/>
        <v/>
      </c>
      <c r="R191" s="49" t="str">
        <f t="shared" si="28"/>
        <v/>
      </c>
      <c r="S191" s="63"/>
      <c r="T191" s="99">
        <f t="shared" si="29"/>
        <v>0</v>
      </c>
      <c r="V191" s="100">
        <f t="shared" si="31"/>
        <v>0</v>
      </c>
      <c r="W191" s="101" t="b">
        <f t="shared" si="32"/>
        <v>1</v>
      </c>
      <c r="X191">
        <f t="shared" si="33"/>
        <v>0</v>
      </c>
    </row>
    <row r="192" spans="17:24" x14ac:dyDescent="0.25">
      <c r="Q192" s="49" t="str">
        <f t="shared" si="27"/>
        <v/>
      </c>
      <c r="R192" s="49" t="str">
        <f t="shared" si="28"/>
        <v/>
      </c>
      <c r="S192" s="63"/>
      <c r="T192" s="99">
        <f t="shared" si="29"/>
        <v>0</v>
      </c>
      <c r="V192" s="100">
        <f t="shared" si="31"/>
        <v>0</v>
      </c>
      <c r="W192" s="101" t="b">
        <f t="shared" si="32"/>
        <v>1</v>
      </c>
      <c r="X192">
        <f t="shared" si="33"/>
        <v>0</v>
      </c>
    </row>
    <row r="193" spans="17:24" x14ac:dyDescent="0.25">
      <c r="Q193" s="49" t="str">
        <f t="shared" si="27"/>
        <v/>
      </c>
      <c r="R193" s="49" t="str">
        <f t="shared" si="28"/>
        <v/>
      </c>
      <c r="S193" s="63"/>
      <c r="T193" s="99">
        <f t="shared" si="29"/>
        <v>0</v>
      </c>
      <c r="V193" s="100">
        <f t="shared" si="31"/>
        <v>0</v>
      </c>
      <c r="W193" s="101" t="b">
        <f t="shared" si="32"/>
        <v>1</v>
      </c>
      <c r="X193">
        <f t="shared" si="33"/>
        <v>0</v>
      </c>
    </row>
    <row r="194" spans="17:24" x14ac:dyDescent="0.25">
      <c r="Q194" s="49" t="str">
        <f t="shared" si="27"/>
        <v/>
      </c>
      <c r="R194" s="49" t="str">
        <f t="shared" si="28"/>
        <v/>
      </c>
      <c r="S194" s="63"/>
      <c r="T194" s="99">
        <f t="shared" si="29"/>
        <v>0</v>
      </c>
      <c r="V194" s="100">
        <f t="shared" si="31"/>
        <v>0</v>
      </c>
      <c r="W194" s="101" t="b">
        <f t="shared" si="32"/>
        <v>1</v>
      </c>
      <c r="X194">
        <f t="shared" si="33"/>
        <v>0</v>
      </c>
    </row>
    <row r="195" spans="17:24" x14ac:dyDescent="0.25">
      <c r="Q195" s="49" t="str">
        <f t="shared" ref="Q195:Q258" si="34">IF(ISBLANK(M195),"",ROUNDUP(N195,0))</f>
        <v/>
      </c>
      <c r="R195" s="49" t="str">
        <f t="shared" ref="R195:R258" si="35">IF(ISBLANK(B195), "", IF(OR(AND(F195=0, G195&gt;=5), AND(F195&gt;0, G195&gt;1)), 1, 0))</f>
        <v/>
      </c>
      <c r="S195" s="63"/>
      <c r="T195" s="99">
        <f t="shared" ref="T195:T258" si="36">IF(N195&gt;=5,1,0)</f>
        <v>0</v>
      </c>
      <c r="V195" s="100">
        <f t="shared" ref="V195:V258" si="37">IFERROR(+P195*SUM(S195:T195),"")</f>
        <v>0</v>
      </c>
      <c r="W195" s="101" t="b">
        <f t="shared" ref="W195:W258" si="38">AND(_xlfn.ISFORMULA(T195),NOT(ISNUMBER(S195)))</f>
        <v>1</v>
      </c>
      <c r="X195">
        <f t="shared" si="33"/>
        <v>0</v>
      </c>
    </row>
    <row r="196" spans="17:24" x14ac:dyDescent="0.25">
      <c r="Q196" s="49" t="str">
        <f t="shared" si="34"/>
        <v/>
      </c>
      <c r="R196" s="49" t="str">
        <f t="shared" si="35"/>
        <v/>
      </c>
      <c r="S196" s="63"/>
      <c r="T196" s="99">
        <f t="shared" si="36"/>
        <v>0</v>
      </c>
      <c r="V196" s="100">
        <f t="shared" si="37"/>
        <v>0</v>
      </c>
      <c r="W196" s="101" t="b">
        <f t="shared" si="38"/>
        <v>1</v>
      </c>
      <c r="X196">
        <f t="shared" si="33"/>
        <v>0</v>
      </c>
    </row>
    <row r="197" spans="17:24" x14ac:dyDescent="0.25">
      <c r="Q197" s="49" t="str">
        <f t="shared" si="34"/>
        <v/>
      </c>
      <c r="R197" s="49" t="str">
        <f t="shared" si="35"/>
        <v/>
      </c>
      <c r="S197" s="63"/>
      <c r="T197" s="99">
        <f t="shared" si="36"/>
        <v>0</v>
      </c>
      <c r="V197" s="100">
        <f t="shared" si="37"/>
        <v>0</v>
      </c>
      <c r="W197" s="101" t="b">
        <f t="shared" si="38"/>
        <v>1</v>
      </c>
      <c r="X197">
        <f t="shared" si="33"/>
        <v>0</v>
      </c>
    </row>
    <row r="198" spans="17:24" x14ac:dyDescent="0.25">
      <c r="Q198" s="49" t="str">
        <f t="shared" si="34"/>
        <v/>
      </c>
      <c r="R198" s="49" t="str">
        <f t="shared" si="35"/>
        <v/>
      </c>
      <c r="S198" s="63"/>
      <c r="T198" s="99">
        <f t="shared" si="36"/>
        <v>0</v>
      </c>
      <c r="V198" s="100">
        <f t="shared" si="37"/>
        <v>0</v>
      </c>
      <c r="W198" s="101" t="b">
        <f t="shared" si="38"/>
        <v>1</v>
      </c>
      <c r="X198">
        <f t="shared" si="33"/>
        <v>0</v>
      </c>
    </row>
    <row r="199" spans="17:24" x14ac:dyDescent="0.25">
      <c r="Q199" s="49" t="str">
        <f t="shared" si="34"/>
        <v/>
      </c>
      <c r="R199" s="49" t="str">
        <f t="shared" si="35"/>
        <v/>
      </c>
      <c r="S199" s="63"/>
      <c r="T199" s="99">
        <f t="shared" si="36"/>
        <v>0</v>
      </c>
      <c r="V199" s="100">
        <f t="shared" si="37"/>
        <v>0</v>
      </c>
      <c r="W199" s="101" t="b">
        <f t="shared" si="38"/>
        <v>1</v>
      </c>
      <c r="X199">
        <f t="shared" ref="X199:X262" si="39">SUM(S199:T199)</f>
        <v>0</v>
      </c>
    </row>
    <row r="200" spans="17:24" x14ac:dyDescent="0.25">
      <c r="Q200" s="49" t="str">
        <f t="shared" si="34"/>
        <v/>
      </c>
      <c r="R200" s="49" t="str">
        <f t="shared" si="35"/>
        <v/>
      </c>
      <c r="S200" s="63"/>
      <c r="T200" s="99">
        <f t="shared" si="36"/>
        <v>0</v>
      </c>
      <c r="V200" s="100">
        <f t="shared" si="37"/>
        <v>0</v>
      </c>
      <c r="W200" s="101" t="b">
        <f t="shared" si="38"/>
        <v>1</v>
      </c>
      <c r="X200">
        <f t="shared" si="39"/>
        <v>0</v>
      </c>
    </row>
    <row r="201" spans="17:24" x14ac:dyDescent="0.25">
      <c r="Q201" s="49" t="str">
        <f t="shared" si="34"/>
        <v/>
      </c>
      <c r="R201" s="49" t="str">
        <f t="shared" si="35"/>
        <v/>
      </c>
      <c r="S201" s="63"/>
      <c r="T201" s="99">
        <f t="shared" si="36"/>
        <v>0</v>
      </c>
      <c r="V201" s="100">
        <f t="shared" si="37"/>
        <v>0</v>
      </c>
      <c r="W201" s="101" t="b">
        <f t="shared" si="38"/>
        <v>1</v>
      </c>
      <c r="X201">
        <f t="shared" si="39"/>
        <v>0</v>
      </c>
    </row>
    <row r="202" spans="17:24" x14ac:dyDescent="0.25">
      <c r="Q202" s="49" t="str">
        <f t="shared" si="34"/>
        <v/>
      </c>
      <c r="R202" s="49" t="str">
        <f t="shared" si="35"/>
        <v/>
      </c>
      <c r="S202" s="63"/>
      <c r="T202" s="99">
        <f t="shared" si="36"/>
        <v>0</v>
      </c>
      <c r="V202" s="100">
        <f t="shared" si="37"/>
        <v>0</v>
      </c>
      <c r="W202" s="101" t="b">
        <f t="shared" si="38"/>
        <v>1</v>
      </c>
      <c r="X202">
        <f t="shared" si="39"/>
        <v>0</v>
      </c>
    </row>
    <row r="203" spans="17:24" x14ac:dyDescent="0.25">
      <c r="Q203" s="49" t="str">
        <f t="shared" si="34"/>
        <v/>
      </c>
      <c r="R203" s="49" t="str">
        <f t="shared" si="35"/>
        <v/>
      </c>
      <c r="S203" s="63"/>
      <c r="T203" s="99">
        <f t="shared" si="36"/>
        <v>0</v>
      </c>
      <c r="V203" s="100">
        <f t="shared" si="37"/>
        <v>0</v>
      </c>
      <c r="W203" s="101" t="b">
        <f t="shared" si="38"/>
        <v>1</v>
      </c>
      <c r="X203">
        <f t="shared" si="39"/>
        <v>0</v>
      </c>
    </row>
    <row r="204" spans="17:24" x14ac:dyDescent="0.25">
      <c r="Q204" s="49" t="str">
        <f t="shared" si="34"/>
        <v/>
      </c>
      <c r="R204" s="49" t="str">
        <f t="shared" si="35"/>
        <v/>
      </c>
      <c r="S204" s="63"/>
      <c r="T204" s="99">
        <f t="shared" si="36"/>
        <v>0</v>
      </c>
      <c r="V204" s="100">
        <f t="shared" si="37"/>
        <v>0</v>
      </c>
      <c r="W204" s="101" t="b">
        <f t="shared" si="38"/>
        <v>1</v>
      </c>
      <c r="X204">
        <f t="shared" si="39"/>
        <v>0</v>
      </c>
    </row>
    <row r="205" spans="17:24" x14ac:dyDescent="0.25">
      <c r="Q205" s="49" t="str">
        <f t="shared" si="34"/>
        <v/>
      </c>
      <c r="R205" s="49" t="str">
        <f t="shared" si="35"/>
        <v/>
      </c>
      <c r="S205" s="63"/>
      <c r="T205" s="99">
        <f t="shared" si="36"/>
        <v>0</v>
      </c>
      <c r="V205" s="100">
        <f t="shared" si="37"/>
        <v>0</v>
      </c>
      <c r="W205" s="101" t="b">
        <f t="shared" si="38"/>
        <v>1</v>
      </c>
      <c r="X205">
        <f t="shared" si="39"/>
        <v>0</v>
      </c>
    </row>
    <row r="206" spans="17:24" x14ac:dyDescent="0.25">
      <c r="Q206" s="49" t="str">
        <f t="shared" si="34"/>
        <v/>
      </c>
      <c r="R206" s="49" t="str">
        <f t="shared" si="35"/>
        <v/>
      </c>
      <c r="S206" s="63"/>
      <c r="T206" s="99">
        <f t="shared" si="36"/>
        <v>0</v>
      </c>
      <c r="V206" s="100">
        <f t="shared" si="37"/>
        <v>0</v>
      </c>
      <c r="W206" s="101" t="b">
        <f t="shared" si="38"/>
        <v>1</v>
      </c>
      <c r="X206">
        <f t="shared" si="39"/>
        <v>0</v>
      </c>
    </row>
    <row r="207" spans="17:24" x14ac:dyDescent="0.25">
      <c r="Q207" s="49" t="str">
        <f t="shared" si="34"/>
        <v/>
      </c>
      <c r="R207" s="49" t="str">
        <f t="shared" si="35"/>
        <v/>
      </c>
      <c r="S207" s="63"/>
      <c r="T207" s="99">
        <f t="shared" si="36"/>
        <v>0</v>
      </c>
      <c r="V207" s="100">
        <f t="shared" si="37"/>
        <v>0</v>
      </c>
      <c r="W207" s="101" t="b">
        <f t="shared" si="38"/>
        <v>1</v>
      </c>
      <c r="X207">
        <f t="shared" si="39"/>
        <v>0</v>
      </c>
    </row>
    <row r="208" spans="17:24" x14ac:dyDescent="0.25">
      <c r="Q208" s="49" t="str">
        <f t="shared" si="34"/>
        <v/>
      </c>
      <c r="R208" s="49" t="str">
        <f t="shared" si="35"/>
        <v/>
      </c>
      <c r="S208" s="63"/>
      <c r="T208" s="99">
        <f t="shared" si="36"/>
        <v>0</v>
      </c>
      <c r="V208" s="100">
        <f t="shared" si="37"/>
        <v>0</v>
      </c>
      <c r="W208" s="101" t="b">
        <f t="shared" si="38"/>
        <v>1</v>
      </c>
      <c r="X208">
        <f t="shared" si="39"/>
        <v>0</v>
      </c>
    </row>
    <row r="209" spans="17:24" x14ac:dyDescent="0.25">
      <c r="Q209" s="49" t="str">
        <f t="shared" si="34"/>
        <v/>
      </c>
      <c r="R209" s="49" t="str">
        <f t="shared" si="35"/>
        <v/>
      </c>
      <c r="S209" s="63"/>
      <c r="T209" s="99">
        <f t="shared" si="36"/>
        <v>0</v>
      </c>
      <c r="V209" s="100">
        <f t="shared" si="37"/>
        <v>0</v>
      </c>
      <c r="W209" s="101" t="b">
        <f t="shared" si="38"/>
        <v>1</v>
      </c>
      <c r="X209">
        <f t="shared" si="39"/>
        <v>0</v>
      </c>
    </row>
    <row r="210" spans="17:24" x14ac:dyDescent="0.25">
      <c r="Q210" s="49" t="str">
        <f t="shared" si="34"/>
        <v/>
      </c>
      <c r="R210" s="49" t="str">
        <f t="shared" si="35"/>
        <v/>
      </c>
      <c r="S210" s="63"/>
      <c r="T210" s="99">
        <f t="shared" si="36"/>
        <v>0</v>
      </c>
      <c r="V210" s="100">
        <f t="shared" si="37"/>
        <v>0</v>
      </c>
      <c r="W210" s="101" t="b">
        <f t="shared" si="38"/>
        <v>1</v>
      </c>
      <c r="X210">
        <f t="shared" si="39"/>
        <v>0</v>
      </c>
    </row>
    <row r="211" spans="17:24" x14ac:dyDescent="0.25">
      <c r="Q211" s="49" t="str">
        <f t="shared" si="34"/>
        <v/>
      </c>
      <c r="R211" s="49" t="str">
        <f t="shared" si="35"/>
        <v/>
      </c>
      <c r="S211" s="63"/>
      <c r="T211" s="99">
        <f t="shared" si="36"/>
        <v>0</v>
      </c>
      <c r="V211" s="100">
        <f t="shared" si="37"/>
        <v>0</v>
      </c>
      <c r="W211" s="101" t="b">
        <f t="shared" si="38"/>
        <v>1</v>
      </c>
      <c r="X211">
        <f t="shared" si="39"/>
        <v>0</v>
      </c>
    </row>
    <row r="212" spans="17:24" x14ac:dyDescent="0.25">
      <c r="Q212" s="49" t="str">
        <f t="shared" si="34"/>
        <v/>
      </c>
      <c r="R212" s="49" t="str">
        <f t="shared" si="35"/>
        <v/>
      </c>
      <c r="S212" s="63"/>
      <c r="T212" s="99">
        <f t="shared" si="36"/>
        <v>0</v>
      </c>
      <c r="V212" s="100">
        <f t="shared" si="37"/>
        <v>0</v>
      </c>
      <c r="W212" s="101" t="b">
        <f t="shared" si="38"/>
        <v>1</v>
      </c>
      <c r="X212">
        <f t="shared" si="39"/>
        <v>0</v>
      </c>
    </row>
    <row r="213" spans="17:24" x14ac:dyDescent="0.25">
      <c r="Q213" s="49" t="str">
        <f t="shared" si="34"/>
        <v/>
      </c>
      <c r="R213" s="49" t="str">
        <f t="shared" si="35"/>
        <v/>
      </c>
      <c r="S213" s="63"/>
      <c r="T213" s="99">
        <f t="shared" si="36"/>
        <v>0</v>
      </c>
      <c r="V213" s="100">
        <f t="shared" si="37"/>
        <v>0</v>
      </c>
      <c r="W213" s="101" t="b">
        <f t="shared" si="38"/>
        <v>1</v>
      </c>
      <c r="X213">
        <f t="shared" si="39"/>
        <v>0</v>
      </c>
    </row>
    <row r="214" spans="17:24" x14ac:dyDescent="0.25">
      <c r="Q214" s="49" t="str">
        <f t="shared" si="34"/>
        <v/>
      </c>
      <c r="R214" s="49" t="str">
        <f t="shared" si="35"/>
        <v/>
      </c>
      <c r="S214" s="63"/>
      <c r="T214" s="99">
        <f t="shared" si="36"/>
        <v>0</v>
      </c>
      <c r="V214" s="100">
        <f t="shared" si="37"/>
        <v>0</v>
      </c>
      <c r="W214" s="101" t="b">
        <f t="shared" si="38"/>
        <v>1</v>
      </c>
      <c r="X214">
        <f t="shared" si="39"/>
        <v>0</v>
      </c>
    </row>
    <row r="215" spans="17:24" x14ac:dyDescent="0.25">
      <c r="Q215" s="49" t="str">
        <f t="shared" si="34"/>
        <v/>
      </c>
      <c r="R215" s="49" t="str">
        <f t="shared" si="35"/>
        <v/>
      </c>
      <c r="S215" s="63"/>
      <c r="T215" s="99">
        <f t="shared" si="36"/>
        <v>0</v>
      </c>
      <c r="V215" s="100">
        <f t="shared" si="37"/>
        <v>0</v>
      </c>
      <c r="W215" s="101" t="b">
        <f t="shared" si="38"/>
        <v>1</v>
      </c>
      <c r="X215">
        <f t="shared" si="39"/>
        <v>0</v>
      </c>
    </row>
    <row r="216" spans="17:24" x14ac:dyDescent="0.25">
      <c r="Q216" s="49" t="str">
        <f t="shared" si="34"/>
        <v/>
      </c>
      <c r="R216" s="49" t="str">
        <f t="shared" si="35"/>
        <v/>
      </c>
      <c r="S216" s="63"/>
      <c r="T216" s="99">
        <f t="shared" si="36"/>
        <v>0</v>
      </c>
      <c r="V216" s="100">
        <f t="shared" si="37"/>
        <v>0</v>
      </c>
      <c r="W216" s="101" t="b">
        <f t="shared" si="38"/>
        <v>1</v>
      </c>
      <c r="X216">
        <f t="shared" si="39"/>
        <v>0</v>
      </c>
    </row>
    <row r="217" spans="17:24" x14ac:dyDescent="0.25">
      <c r="Q217" s="49" t="str">
        <f t="shared" si="34"/>
        <v/>
      </c>
      <c r="R217" s="49" t="str">
        <f t="shared" si="35"/>
        <v/>
      </c>
      <c r="S217" s="63"/>
      <c r="T217" s="99">
        <f t="shared" si="36"/>
        <v>0</v>
      </c>
      <c r="V217" s="100">
        <f t="shared" si="37"/>
        <v>0</v>
      </c>
      <c r="W217" s="101" t="b">
        <f t="shared" si="38"/>
        <v>1</v>
      </c>
      <c r="X217">
        <f t="shared" si="39"/>
        <v>0</v>
      </c>
    </row>
    <row r="218" spans="17:24" x14ac:dyDescent="0.25">
      <c r="Q218" s="49" t="str">
        <f t="shared" si="34"/>
        <v/>
      </c>
      <c r="R218" s="49" t="str">
        <f t="shared" si="35"/>
        <v/>
      </c>
      <c r="S218" s="63"/>
      <c r="T218" s="99">
        <f t="shared" si="36"/>
        <v>0</v>
      </c>
      <c r="V218" s="100">
        <f t="shared" si="37"/>
        <v>0</v>
      </c>
      <c r="W218" s="101" t="b">
        <f t="shared" si="38"/>
        <v>1</v>
      </c>
      <c r="X218">
        <f t="shared" si="39"/>
        <v>0</v>
      </c>
    </row>
    <row r="219" spans="17:24" x14ac:dyDescent="0.25">
      <c r="Q219" s="49" t="str">
        <f t="shared" si="34"/>
        <v/>
      </c>
      <c r="R219" s="49" t="str">
        <f t="shared" si="35"/>
        <v/>
      </c>
      <c r="S219" s="63"/>
      <c r="T219" s="99">
        <f t="shared" si="36"/>
        <v>0</v>
      </c>
      <c r="V219" s="100">
        <f t="shared" si="37"/>
        <v>0</v>
      </c>
      <c r="W219" s="101" t="b">
        <f t="shared" si="38"/>
        <v>1</v>
      </c>
      <c r="X219">
        <f t="shared" si="39"/>
        <v>0</v>
      </c>
    </row>
    <row r="220" spans="17:24" x14ac:dyDescent="0.25">
      <c r="Q220" s="49" t="str">
        <f t="shared" si="34"/>
        <v/>
      </c>
      <c r="R220" s="49" t="str">
        <f t="shared" si="35"/>
        <v/>
      </c>
      <c r="S220" s="63"/>
      <c r="T220" s="99">
        <f t="shared" si="36"/>
        <v>0</v>
      </c>
      <c r="V220" s="100">
        <f t="shared" si="37"/>
        <v>0</v>
      </c>
      <c r="W220" s="101" t="b">
        <f t="shared" si="38"/>
        <v>1</v>
      </c>
      <c r="X220">
        <f t="shared" si="39"/>
        <v>0</v>
      </c>
    </row>
    <row r="221" spans="17:24" x14ac:dyDescent="0.25">
      <c r="Q221" s="49" t="str">
        <f t="shared" si="34"/>
        <v/>
      </c>
      <c r="R221" s="49" t="str">
        <f t="shared" si="35"/>
        <v/>
      </c>
      <c r="S221" s="63"/>
      <c r="T221" s="99">
        <f t="shared" si="36"/>
        <v>0</v>
      </c>
      <c r="V221" s="100">
        <f t="shared" si="37"/>
        <v>0</v>
      </c>
      <c r="W221" s="101" t="b">
        <f t="shared" si="38"/>
        <v>1</v>
      </c>
      <c r="X221">
        <f t="shared" si="39"/>
        <v>0</v>
      </c>
    </row>
    <row r="222" spans="17:24" x14ac:dyDescent="0.25">
      <c r="Q222" s="49" t="str">
        <f t="shared" si="34"/>
        <v/>
      </c>
      <c r="R222" s="49" t="str">
        <f t="shared" si="35"/>
        <v/>
      </c>
      <c r="S222" s="63"/>
      <c r="T222" s="99">
        <f t="shared" si="36"/>
        <v>0</v>
      </c>
      <c r="V222" s="100">
        <f t="shared" si="37"/>
        <v>0</v>
      </c>
      <c r="W222" s="101" t="b">
        <f t="shared" si="38"/>
        <v>1</v>
      </c>
      <c r="X222">
        <f t="shared" si="39"/>
        <v>0</v>
      </c>
    </row>
    <row r="223" spans="17:24" x14ac:dyDescent="0.25">
      <c r="Q223" s="49" t="str">
        <f t="shared" si="34"/>
        <v/>
      </c>
      <c r="R223" s="49" t="str">
        <f t="shared" si="35"/>
        <v/>
      </c>
      <c r="S223" s="63"/>
      <c r="T223" s="99">
        <f t="shared" si="36"/>
        <v>0</v>
      </c>
      <c r="V223" s="100">
        <f t="shared" si="37"/>
        <v>0</v>
      </c>
      <c r="W223" s="101" t="b">
        <f t="shared" si="38"/>
        <v>1</v>
      </c>
      <c r="X223">
        <f t="shared" si="39"/>
        <v>0</v>
      </c>
    </row>
    <row r="224" spans="17:24" x14ac:dyDescent="0.25">
      <c r="Q224" s="49" t="str">
        <f t="shared" si="34"/>
        <v/>
      </c>
      <c r="R224" s="49" t="str">
        <f t="shared" si="35"/>
        <v/>
      </c>
      <c r="S224" s="63"/>
      <c r="T224" s="99">
        <f t="shared" si="36"/>
        <v>0</v>
      </c>
      <c r="V224" s="100">
        <f t="shared" si="37"/>
        <v>0</v>
      </c>
      <c r="W224" s="101" t="b">
        <f t="shared" si="38"/>
        <v>1</v>
      </c>
      <c r="X224">
        <f t="shared" si="39"/>
        <v>0</v>
      </c>
    </row>
    <row r="225" spans="17:24" x14ac:dyDescent="0.25">
      <c r="Q225" s="49" t="str">
        <f t="shared" si="34"/>
        <v/>
      </c>
      <c r="R225" s="49" t="str">
        <f t="shared" si="35"/>
        <v/>
      </c>
      <c r="S225" s="63"/>
      <c r="T225" s="99">
        <f t="shared" si="36"/>
        <v>0</v>
      </c>
      <c r="V225" s="100">
        <f t="shared" si="37"/>
        <v>0</v>
      </c>
      <c r="W225" s="101" t="b">
        <f t="shared" si="38"/>
        <v>1</v>
      </c>
      <c r="X225">
        <f t="shared" si="39"/>
        <v>0</v>
      </c>
    </row>
    <row r="226" spans="17:24" x14ac:dyDescent="0.25">
      <c r="Q226" s="49" t="str">
        <f t="shared" si="34"/>
        <v/>
      </c>
      <c r="R226" s="49" t="str">
        <f t="shared" si="35"/>
        <v/>
      </c>
      <c r="S226" s="63"/>
      <c r="T226" s="99">
        <f t="shared" si="36"/>
        <v>0</v>
      </c>
      <c r="V226" s="100">
        <f t="shared" si="37"/>
        <v>0</v>
      </c>
      <c r="W226" s="101" t="b">
        <f t="shared" si="38"/>
        <v>1</v>
      </c>
      <c r="X226">
        <f t="shared" si="39"/>
        <v>0</v>
      </c>
    </row>
    <row r="227" spans="17:24" x14ac:dyDescent="0.25">
      <c r="Q227" s="49" t="str">
        <f t="shared" si="34"/>
        <v/>
      </c>
      <c r="R227" s="49" t="str">
        <f t="shared" si="35"/>
        <v/>
      </c>
      <c r="S227" s="63"/>
      <c r="T227" s="99">
        <f t="shared" si="36"/>
        <v>0</v>
      </c>
      <c r="V227" s="100">
        <f t="shared" si="37"/>
        <v>0</v>
      </c>
      <c r="W227" s="101" t="b">
        <f t="shared" si="38"/>
        <v>1</v>
      </c>
      <c r="X227">
        <f t="shared" si="39"/>
        <v>0</v>
      </c>
    </row>
    <row r="228" spans="17:24" x14ac:dyDescent="0.25">
      <c r="Q228" s="49" t="str">
        <f t="shared" si="34"/>
        <v/>
      </c>
      <c r="R228" s="49" t="str">
        <f t="shared" si="35"/>
        <v/>
      </c>
      <c r="S228" s="63"/>
      <c r="T228" s="99">
        <f t="shared" si="36"/>
        <v>0</v>
      </c>
      <c r="V228" s="100">
        <f t="shared" si="37"/>
        <v>0</v>
      </c>
      <c r="W228" s="101" t="b">
        <f t="shared" si="38"/>
        <v>1</v>
      </c>
      <c r="X228">
        <f t="shared" si="39"/>
        <v>0</v>
      </c>
    </row>
    <row r="229" spans="17:24" x14ac:dyDescent="0.25">
      <c r="Q229" s="49" t="str">
        <f t="shared" si="34"/>
        <v/>
      </c>
      <c r="R229" s="49" t="str">
        <f t="shared" si="35"/>
        <v/>
      </c>
      <c r="S229" s="63"/>
      <c r="T229" s="99">
        <f t="shared" si="36"/>
        <v>0</v>
      </c>
      <c r="V229" s="100">
        <f t="shared" si="37"/>
        <v>0</v>
      </c>
      <c r="W229" s="101" t="b">
        <f t="shared" si="38"/>
        <v>1</v>
      </c>
      <c r="X229">
        <f t="shared" si="39"/>
        <v>0</v>
      </c>
    </row>
    <row r="230" spans="17:24" x14ac:dyDescent="0.25">
      <c r="Q230" s="49" t="str">
        <f t="shared" si="34"/>
        <v/>
      </c>
      <c r="R230" s="49" t="str">
        <f t="shared" si="35"/>
        <v/>
      </c>
      <c r="S230" s="63"/>
      <c r="T230" s="99">
        <f t="shared" si="36"/>
        <v>0</v>
      </c>
      <c r="V230" s="100">
        <f t="shared" si="37"/>
        <v>0</v>
      </c>
      <c r="W230" s="101" t="b">
        <f t="shared" si="38"/>
        <v>1</v>
      </c>
      <c r="X230">
        <f t="shared" si="39"/>
        <v>0</v>
      </c>
    </row>
    <row r="231" spans="17:24" x14ac:dyDescent="0.25">
      <c r="Q231" s="49" t="str">
        <f t="shared" si="34"/>
        <v/>
      </c>
      <c r="R231" s="49" t="str">
        <f t="shared" si="35"/>
        <v/>
      </c>
      <c r="S231" s="63"/>
      <c r="T231" s="99">
        <f t="shared" si="36"/>
        <v>0</v>
      </c>
      <c r="V231" s="100">
        <f t="shared" si="37"/>
        <v>0</v>
      </c>
      <c r="W231" s="101" t="b">
        <f t="shared" si="38"/>
        <v>1</v>
      </c>
      <c r="X231">
        <f t="shared" si="39"/>
        <v>0</v>
      </c>
    </row>
    <row r="232" spans="17:24" x14ac:dyDescent="0.25">
      <c r="Q232" s="49" t="str">
        <f t="shared" si="34"/>
        <v/>
      </c>
      <c r="R232" s="49" t="str">
        <f t="shared" si="35"/>
        <v/>
      </c>
      <c r="S232" s="63"/>
      <c r="T232" s="99">
        <f t="shared" si="36"/>
        <v>0</v>
      </c>
      <c r="V232" s="100">
        <f t="shared" si="37"/>
        <v>0</v>
      </c>
      <c r="W232" s="101" t="b">
        <f t="shared" si="38"/>
        <v>1</v>
      </c>
      <c r="X232">
        <f t="shared" si="39"/>
        <v>0</v>
      </c>
    </row>
    <row r="233" spans="17:24" x14ac:dyDescent="0.25">
      <c r="Q233" s="49" t="str">
        <f t="shared" si="34"/>
        <v/>
      </c>
      <c r="R233" s="49" t="str">
        <f t="shared" si="35"/>
        <v/>
      </c>
      <c r="S233" s="63"/>
      <c r="T233" s="99">
        <f t="shared" si="36"/>
        <v>0</v>
      </c>
      <c r="V233" s="100">
        <f t="shared" si="37"/>
        <v>0</v>
      </c>
      <c r="W233" s="101" t="b">
        <f t="shared" si="38"/>
        <v>1</v>
      </c>
      <c r="X233">
        <f t="shared" si="39"/>
        <v>0</v>
      </c>
    </row>
    <row r="234" spans="17:24" x14ac:dyDescent="0.25">
      <c r="Q234" s="49" t="str">
        <f t="shared" si="34"/>
        <v/>
      </c>
      <c r="R234" s="49" t="str">
        <f t="shared" si="35"/>
        <v/>
      </c>
      <c r="S234" s="63"/>
      <c r="T234" s="99">
        <f t="shared" si="36"/>
        <v>0</v>
      </c>
      <c r="V234" s="100">
        <f t="shared" si="37"/>
        <v>0</v>
      </c>
      <c r="W234" s="101" t="b">
        <f t="shared" si="38"/>
        <v>1</v>
      </c>
      <c r="X234">
        <f t="shared" si="39"/>
        <v>0</v>
      </c>
    </row>
    <row r="235" spans="17:24" x14ac:dyDescent="0.25">
      <c r="Q235" s="49" t="str">
        <f t="shared" si="34"/>
        <v/>
      </c>
      <c r="R235" s="49" t="str">
        <f t="shared" si="35"/>
        <v/>
      </c>
      <c r="S235" s="63"/>
      <c r="T235" s="99">
        <f t="shared" si="36"/>
        <v>0</v>
      </c>
      <c r="V235" s="100">
        <f t="shared" si="37"/>
        <v>0</v>
      </c>
      <c r="W235" s="101" t="b">
        <f t="shared" si="38"/>
        <v>1</v>
      </c>
      <c r="X235">
        <f t="shared" si="39"/>
        <v>0</v>
      </c>
    </row>
    <row r="236" spans="17:24" x14ac:dyDescent="0.25">
      <c r="Q236" s="49" t="str">
        <f t="shared" si="34"/>
        <v/>
      </c>
      <c r="R236" s="49" t="str">
        <f t="shared" si="35"/>
        <v/>
      </c>
      <c r="S236" s="63"/>
      <c r="T236" s="99">
        <f t="shared" si="36"/>
        <v>0</v>
      </c>
      <c r="V236" s="100">
        <f t="shared" si="37"/>
        <v>0</v>
      </c>
      <c r="W236" s="101" t="b">
        <f t="shared" si="38"/>
        <v>1</v>
      </c>
      <c r="X236">
        <f t="shared" si="39"/>
        <v>0</v>
      </c>
    </row>
    <row r="237" spans="17:24" x14ac:dyDescent="0.25">
      <c r="Q237" s="49" t="str">
        <f t="shared" si="34"/>
        <v/>
      </c>
      <c r="R237" s="49" t="str">
        <f t="shared" si="35"/>
        <v/>
      </c>
      <c r="S237" s="63"/>
      <c r="T237" s="99">
        <f t="shared" si="36"/>
        <v>0</v>
      </c>
      <c r="V237" s="100">
        <f t="shared" si="37"/>
        <v>0</v>
      </c>
      <c r="W237" s="101" t="b">
        <f t="shared" si="38"/>
        <v>1</v>
      </c>
      <c r="X237">
        <f t="shared" si="39"/>
        <v>0</v>
      </c>
    </row>
    <row r="238" spans="17:24" x14ac:dyDescent="0.25">
      <c r="Q238" s="49" t="str">
        <f t="shared" si="34"/>
        <v/>
      </c>
      <c r="R238" s="49" t="str">
        <f t="shared" si="35"/>
        <v/>
      </c>
      <c r="S238" s="63"/>
      <c r="T238" s="99">
        <f t="shared" si="36"/>
        <v>0</v>
      </c>
      <c r="V238" s="100">
        <f t="shared" si="37"/>
        <v>0</v>
      </c>
      <c r="W238" s="101" t="b">
        <f t="shared" si="38"/>
        <v>1</v>
      </c>
      <c r="X238">
        <f t="shared" si="39"/>
        <v>0</v>
      </c>
    </row>
    <row r="239" spans="17:24" x14ac:dyDescent="0.25">
      <c r="Q239" s="49" t="str">
        <f t="shared" si="34"/>
        <v/>
      </c>
      <c r="R239" s="49" t="str">
        <f t="shared" si="35"/>
        <v/>
      </c>
      <c r="S239" s="63"/>
      <c r="T239" s="99">
        <f t="shared" si="36"/>
        <v>0</v>
      </c>
      <c r="V239" s="100">
        <f t="shared" si="37"/>
        <v>0</v>
      </c>
      <c r="W239" s="101" t="b">
        <f t="shared" si="38"/>
        <v>1</v>
      </c>
      <c r="X239">
        <f t="shared" si="39"/>
        <v>0</v>
      </c>
    </row>
    <row r="240" spans="17:24" x14ac:dyDescent="0.25">
      <c r="Q240" s="49" t="str">
        <f t="shared" si="34"/>
        <v/>
      </c>
      <c r="R240" s="49" t="str">
        <f t="shared" si="35"/>
        <v/>
      </c>
      <c r="S240" s="63"/>
      <c r="T240" s="99">
        <f t="shared" si="36"/>
        <v>0</v>
      </c>
      <c r="V240" s="100">
        <f t="shared" si="37"/>
        <v>0</v>
      </c>
      <c r="W240" s="101" t="b">
        <f t="shared" si="38"/>
        <v>1</v>
      </c>
      <c r="X240">
        <f t="shared" si="39"/>
        <v>0</v>
      </c>
    </row>
    <row r="241" spans="17:24" x14ac:dyDescent="0.25">
      <c r="Q241" s="49" t="str">
        <f t="shared" si="34"/>
        <v/>
      </c>
      <c r="R241" s="49" t="str">
        <f t="shared" si="35"/>
        <v/>
      </c>
      <c r="S241" s="63"/>
      <c r="T241" s="99">
        <f t="shared" si="36"/>
        <v>0</v>
      </c>
      <c r="V241" s="100">
        <f t="shared" si="37"/>
        <v>0</v>
      </c>
      <c r="W241" s="101" t="b">
        <f t="shared" si="38"/>
        <v>1</v>
      </c>
      <c r="X241">
        <f t="shared" si="39"/>
        <v>0</v>
      </c>
    </row>
    <row r="242" spans="17:24" x14ac:dyDescent="0.25">
      <c r="Q242" s="49" t="str">
        <f t="shared" si="34"/>
        <v/>
      </c>
      <c r="R242" s="49" t="str">
        <f t="shared" si="35"/>
        <v/>
      </c>
      <c r="S242" s="63"/>
      <c r="T242" s="99">
        <f t="shared" si="36"/>
        <v>0</v>
      </c>
      <c r="V242" s="100">
        <f t="shared" si="37"/>
        <v>0</v>
      </c>
      <c r="W242" s="101" t="b">
        <f t="shared" si="38"/>
        <v>1</v>
      </c>
      <c r="X242">
        <f t="shared" si="39"/>
        <v>0</v>
      </c>
    </row>
    <row r="243" spans="17:24" x14ac:dyDescent="0.25">
      <c r="Q243" s="49" t="str">
        <f t="shared" si="34"/>
        <v/>
      </c>
      <c r="R243" s="49" t="str">
        <f t="shared" si="35"/>
        <v/>
      </c>
      <c r="S243" s="63"/>
      <c r="T243" s="99">
        <f t="shared" si="36"/>
        <v>0</v>
      </c>
      <c r="V243" s="100">
        <f t="shared" si="37"/>
        <v>0</v>
      </c>
      <c r="W243" s="101" t="b">
        <f t="shared" si="38"/>
        <v>1</v>
      </c>
      <c r="X243">
        <f t="shared" si="39"/>
        <v>0</v>
      </c>
    </row>
    <row r="244" spans="17:24" x14ac:dyDescent="0.25">
      <c r="Q244" s="49" t="str">
        <f t="shared" si="34"/>
        <v/>
      </c>
      <c r="R244" s="49" t="str">
        <f t="shared" si="35"/>
        <v/>
      </c>
      <c r="S244" s="63"/>
      <c r="T244" s="99">
        <f t="shared" si="36"/>
        <v>0</v>
      </c>
      <c r="V244" s="100">
        <f t="shared" si="37"/>
        <v>0</v>
      </c>
      <c r="W244" s="101" t="b">
        <f t="shared" si="38"/>
        <v>1</v>
      </c>
      <c r="X244">
        <f t="shared" si="39"/>
        <v>0</v>
      </c>
    </row>
    <row r="245" spans="17:24" x14ac:dyDescent="0.25">
      <c r="Q245" s="49" t="str">
        <f t="shared" si="34"/>
        <v/>
      </c>
      <c r="R245" s="49" t="str">
        <f t="shared" si="35"/>
        <v/>
      </c>
      <c r="S245" s="63"/>
      <c r="T245" s="99">
        <f t="shared" si="36"/>
        <v>0</v>
      </c>
      <c r="V245" s="100">
        <f t="shared" si="37"/>
        <v>0</v>
      </c>
      <c r="W245" s="101" t="b">
        <f t="shared" si="38"/>
        <v>1</v>
      </c>
      <c r="X245">
        <f t="shared" si="39"/>
        <v>0</v>
      </c>
    </row>
    <row r="246" spans="17:24" x14ac:dyDescent="0.25">
      <c r="Q246" s="49" t="str">
        <f t="shared" si="34"/>
        <v/>
      </c>
      <c r="R246" s="49" t="str">
        <f t="shared" si="35"/>
        <v/>
      </c>
      <c r="S246" s="63"/>
      <c r="T246" s="99">
        <f t="shared" si="36"/>
        <v>0</v>
      </c>
      <c r="V246" s="100">
        <f t="shared" si="37"/>
        <v>0</v>
      </c>
      <c r="W246" s="101" t="b">
        <f t="shared" si="38"/>
        <v>1</v>
      </c>
      <c r="X246">
        <f t="shared" si="39"/>
        <v>0</v>
      </c>
    </row>
    <row r="247" spans="17:24" x14ac:dyDescent="0.25">
      <c r="Q247" s="49" t="str">
        <f t="shared" si="34"/>
        <v/>
      </c>
      <c r="R247" s="49" t="str">
        <f t="shared" si="35"/>
        <v/>
      </c>
      <c r="S247" s="63"/>
      <c r="T247" s="99">
        <f t="shared" si="36"/>
        <v>0</v>
      </c>
      <c r="V247" s="100">
        <f t="shared" si="37"/>
        <v>0</v>
      </c>
      <c r="W247" s="101" t="b">
        <f t="shared" si="38"/>
        <v>1</v>
      </c>
      <c r="X247">
        <f t="shared" si="39"/>
        <v>0</v>
      </c>
    </row>
    <row r="248" spans="17:24" x14ac:dyDescent="0.25">
      <c r="Q248" s="49" t="str">
        <f t="shared" si="34"/>
        <v/>
      </c>
      <c r="R248" s="49" t="str">
        <f t="shared" si="35"/>
        <v/>
      </c>
      <c r="S248" s="63"/>
      <c r="T248" s="99">
        <f t="shared" si="36"/>
        <v>0</v>
      </c>
      <c r="V248" s="100">
        <f t="shared" si="37"/>
        <v>0</v>
      </c>
      <c r="W248" s="101" t="b">
        <f t="shared" si="38"/>
        <v>1</v>
      </c>
      <c r="X248">
        <f t="shared" si="39"/>
        <v>0</v>
      </c>
    </row>
    <row r="249" spans="17:24" x14ac:dyDescent="0.25">
      <c r="Q249" s="49" t="str">
        <f t="shared" si="34"/>
        <v/>
      </c>
      <c r="R249" s="49" t="str">
        <f t="shared" si="35"/>
        <v/>
      </c>
      <c r="S249" s="63"/>
      <c r="T249" s="99">
        <f t="shared" si="36"/>
        <v>0</v>
      </c>
      <c r="V249" s="100">
        <f t="shared" si="37"/>
        <v>0</v>
      </c>
      <c r="W249" s="101" t="b">
        <f t="shared" si="38"/>
        <v>1</v>
      </c>
      <c r="X249">
        <f t="shared" si="39"/>
        <v>0</v>
      </c>
    </row>
    <row r="250" spans="17:24" x14ac:dyDescent="0.25">
      <c r="Q250" s="49" t="str">
        <f t="shared" si="34"/>
        <v/>
      </c>
      <c r="R250" s="49" t="str">
        <f t="shared" si="35"/>
        <v/>
      </c>
      <c r="S250" s="63"/>
      <c r="T250" s="99">
        <f t="shared" si="36"/>
        <v>0</v>
      </c>
      <c r="V250" s="100">
        <f t="shared" si="37"/>
        <v>0</v>
      </c>
      <c r="W250" s="101" t="b">
        <f t="shared" si="38"/>
        <v>1</v>
      </c>
      <c r="X250">
        <f t="shared" si="39"/>
        <v>0</v>
      </c>
    </row>
    <row r="251" spans="17:24" x14ac:dyDescent="0.25">
      <c r="Q251" s="49" t="str">
        <f t="shared" si="34"/>
        <v/>
      </c>
      <c r="R251" s="49" t="str">
        <f t="shared" si="35"/>
        <v/>
      </c>
      <c r="S251" s="63"/>
      <c r="T251" s="99">
        <f t="shared" si="36"/>
        <v>0</v>
      </c>
      <c r="V251" s="100">
        <f t="shared" si="37"/>
        <v>0</v>
      </c>
      <c r="W251" s="101" t="b">
        <f t="shared" si="38"/>
        <v>1</v>
      </c>
      <c r="X251">
        <f t="shared" si="39"/>
        <v>0</v>
      </c>
    </row>
    <row r="252" spans="17:24" x14ac:dyDescent="0.25">
      <c r="Q252" s="49" t="str">
        <f t="shared" si="34"/>
        <v/>
      </c>
      <c r="R252" s="49" t="str">
        <f t="shared" si="35"/>
        <v/>
      </c>
      <c r="S252" s="63"/>
      <c r="T252" s="99">
        <f t="shared" si="36"/>
        <v>0</v>
      </c>
      <c r="V252" s="100">
        <f t="shared" si="37"/>
        <v>0</v>
      </c>
      <c r="W252" s="101" t="b">
        <f t="shared" si="38"/>
        <v>1</v>
      </c>
      <c r="X252">
        <f t="shared" si="39"/>
        <v>0</v>
      </c>
    </row>
    <row r="253" spans="17:24" x14ac:dyDescent="0.25">
      <c r="Q253" s="49" t="str">
        <f t="shared" si="34"/>
        <v/>
      </c>
      <c r="R253" s="49" t="str">
        <f t="shared" si="35"/>
        <v/>
      </c>
      <c r="S253" s="63"/>
      <c r="T253" s="99">
        <f t="shared" si="36"/>
        <v>0</v>
      </c>
      <c r="V253" s="100">
        <f t="shared" si="37"/>
        <v>0</v>
      </c>
      <c r="W253" s="101" t="b">
        <f t="shared" si="38"/>
        <v>1</v>
      </c>
      <c r="X253">
        <f t="shared" si="39"/>
        <v>0</v>
      </c>
    </row>
    <row r="254" spans="17:24" x14ac:dyDescent="0.25">
      <c r="Q254" s="49" t="str">
        <f t="shared" si="34"/>
        <v/>
      </c>
      <c r="R254" s="49" t="str">
        <f t="shared" si="35"/>
        <v/>
      </c>
      <c r="S254" s="63"/>
      <c r="T254" s="99">
        <f t="shared" si="36"/>
        <v>0</v>
      </c>
      <c r="V254" s="100">
        <f t="shared" si="37"/>
        <v>0</v>
      </c>
      <c r="W254" s="101" t="b">
        <f t="shared" si="38"/>
        <v>1</v>
      </c>
      <c r="X254">
        <f t="shared" si="39"/>
        <v>0</v>
      </c>
    </row>
    <row r="255" spans="17:24" x14ac:dyDescent="0.25">
      <c r="Q255" s="49" t="str">
        <f t="shared" si="34"/>
        <v/>
      </c>
      <c r="R255" s="49" t="str">
        <f t="shared" si="35"/>
        <v/>
      </c>
      <c r="S255" s="63"/>
      <c r="T255" s="99">
        <f t="shared" si="36"/>
        <v>0</v>
      </c>
      <c r="V255" s="100">
        <f t="shared" si="37"/>
        <v>0</v>
      </c>
      <c r="W255" s="101" t="b">
        <f t="shared" si="38"/>
        <v>1</v>
      </c>
      <c r="X255">
        <f t="shared" si="39"/>
        <v>0</v>
      </c>
    </row>
    <row r="256" spans="17:24" x14ac:dyDescent="0.25">
      <c r="Q256" s="49" t="str">
        <f t="shared" si="34"/>
        <v/>
      </c>
      <c r="R256" s="49" t="str">
        <f t="shared" si="35"/>
        <v/>
      </c>
      <c r="S256" s="63"/>
      <c r="T256" s="99">
        <f t="shared" si="36"/>
        <v>0</v>
      </c>
      <c r="V256" s="100">
        <f t="shared" si="37"/>
        <v>0</v>
      </c>
      <c r="W256" s="101" t="b">
        <f t="shared" si="38"/>
        <v>1</v>
      </c>
      <c r="X256">
        <f t="shared" si="39"/>
        <v>0</v>
      </c>
    </row>
    <row r="257" spans="17:24" x14ac:dyDescent="0.25">
      <c r="Q257" s="49" t="str">
        <f t="shared" si="34"/>
        <v/>
      </c>
      <c r="R257" s="49" t="str">
        <f t="shared" si="35"/>
        <v/>
      </c>
      <c r="S257" s="63"/>
      <c r="T257" s="99">
        <f t="shared" si="36"/>
        <v>0</v>
      </c>
      <c r="V257" s="100">
        <f t="shared" si="37"/>
        <v>0</v>
      </c>
      <c r="W257" s="101" t="b">
        <f t="shared" si="38"/>
        <v>1</v>
      </c>
      <c r="X257">
        <f t="shared" si="39"/>
        <v>0</v>
      </c>
    </row>
    <row r="258" spans="17:24" x14ac:dyDescent="0.25">
      <c r="Q258" s="49" t="str">
        <f t="shared" si="34"/>
        <v/>
      </c>
      <c r="R258" s="49" t="str">
        <f t="shared" si="35"/>
        <v/>
      </c>
      <c r="S258" s="63"/>
      <c r="T258" s="99">
        <f t="shared" si="36"/>
        <v>0</v>
      </c>
      <c r="V258" s="100">
        <f t="shared" si="37"/>
        <v>0</v>
      </c>
      <c r="W258" s="101" t="b">
        <f t="shared" si="38"/>
        <v>1</v>
      </c>
      <c r="X258">
        <f t="shared" si="39"/>
        <v>0</v>
      </c>
    </row>
    <row r="259" spans="17:24" x14ac:dyDescent="0.25">
      <c r="Q259" s="49" t="str">
        <f t="shared" ref="Q259:Q322" si="40">IF(ISBLANK(M259),"",ROUNDUP(N259,0))</f>
        <v/>
      </c>
      <c r="R259" s="49" t="str">
        <f t="shared" ref="R259:R322" si="41">IF(ISBLANK(B259), "", IF(OR(AND(F259=0, G259&gt;=5), AND(F259&gt;0, G259&gt;1)), 1, 0))</f>
        <v/>
      </c>
      <c r="S259" s="63"/>
      <c r="T259" s="99">
        <f t="shared" ref="T259:T322" si="42">IF(N259&gt;=5,1,0)</f>
        <v>0</v>
      </c>
      <c r="V259" s="100">
        <f t="shared" ref="V259:V322" si="43">IFERROR(+P259*SUM(S259:T259),"")</f>
        <v>0</v>
      </c>
      <c r="W259" s="101" t="b">
        <f t="shared" ref="W259:W322" si="44">AND(_xlfn.ISFORMULA(T259),NOT(ISNUMBER(S259)))</f>
        <v>1</v>
      </c>
      <c r="X259">
        <f t="shared" si="39"/>
        <v>0</v>
      </c>
    </row>
    <row r="260" spans="17:24" x14ac:dyDescent="0.25">
      <c r="Q260" s="49" t="str">
        <f t="shared" si="40"/>
        <v/>
      </c>
      <c r="R260" s="49" t="str">
        <f t="shared" si="41"/>
        <v/>
      </c>
      <c r="S260" s="63"/>
      <c r="T260" s="99">
        <f t="shared" si="42"/>
        <v>0</v>
      </c>
      <c r="V260" s="100">
        <f t="shared" si="43"/>
        <v>0</v>
      </c>
      <c r="W260" s="101" t="b">
        <f t="shared" si="44"/>
        <v>1</v>
      </c>
      <c r="X260">
        <f t="shared" si="39"/>
        <v>0</v>
      </c>
    </row>
    <row r="261" spans="17:24" x14ac:dyDescent="0.25">
      <c r="Q261" s="49" t="str">
        <f t="shared" si="40"/>
        <v/>
      </c>
      <c r="R261" s="49" t="str">
        <f t="shared" si="41"/>
        <v/>
      </c>
      <c r="S261" s="63"/>
      <c r="T261" s="99">
        <f t="shared" si="42"/>
        <v>0</v>
      </c>
      <c r="V261" s="100">
        <f t="shared" si="43"/>
        <v>0</v>
      </c>
      <c r="W261" s="101" t="b">
        <f t="shared" si="44"/>
        <v>1</v>
      </c>
      <c r="X261">
        <f t="shared" si="39"/>
        <v>0</v>
      </c>
    </row>
    <row r="262" spans="17:24" x14ac:dyDescent="0.25">
      <c r="Q262" s="49" t="str">
        <f t="shared" si="40"/>
        <v/>
      </c>
      <c r="R262" s="49" t="str">
        <f t="shared" si="41"/>
        <v/>
      </c>
      <c r="S262" s="63"/>
      <c r="T262" s="99">
        <f t="shared" si="42"/>
        <v>0</v>
      </c>
      <c r="V262" s="100">
        <f t="shared" si="43"/>
        <v>0</v>
      </c>
      <c r="W262" s="101" t="b">
        <f t="shared" si="44"/>
        <v>1</v>
      </c>
      <c r="X262">
        <f t="shared" si="39"/>
        <v>0</v>
      </c>
    </row>
    <row r="263" spans="17:24" x14ac:dyDescent="0.25">
      <c r="Q263" s="49" t="str">
        <f t="shared" si="40"/>
        <v/>
      </c>
      <c r="R263" s="49" t="str">
        <f t="shared" si="41"/>
        <v/>
      </c>
      <c r="S263" s="63"/>
      <c r="T263" s="99">
        <f t="shared" si="42"/>
        <v>0</v>
      </c>
      <c r="V263" s="100">
        <f t="shared" si="43"/>
        <v>0</v>
      </c>
      <c r="W263" s="101" t="b">
        <f t="shared" si="44"/>
        <v>1</v>
      </c>
      <c r="X263">
        <f t="shared" ref="X263:X326" si="45">SUM(S263:T263)</f>
        <v>0</v>
      </c>
    </row>
    <row r="264" spans="17:24" x14ac:dyDescent="0.25">
      <c r="Q264" s="49" t="str">
        <f t="shared" si="40"/>
        <v/>
      </c>
      <c r="R264" s="49" t="str">
        <f t="shared" si="41"/>
        <v/>
      </c>
      <c r="S264" s="63"/>
      <c r="T264" s="99">
        <f t="shared" si="42"/>
        <v>0</v>
      </c>
      <c r="V264" s="100">
        <f t="shared" si="43"/>
        <v>0</v>
      </c>
      <c r="W264" s="101" t="b">
        <f t="shared" si="44"/>
        <v>1</v>
      </c>
      <c r="X264">
        <f t="shared" si="45"/>
        <v>0</v>
      </c>
    </row>
    <row r="265" spans="17:24" x14ac:dyDescent="0.25">
      <c r="Q265" s="49" t="str">
        <f t="shared" si="40"/>
        <v/>
      </c>
      <c r="R265" s="49" t="str">
        <f t="shared" si="41"/>
        <v/>
      </c>
      <c r="S265" s="63"/>
      <c r="T265" s="99">
        <f t="shared" si="42"/>
        <v>0</v>
      </c>
      <c r="V265" s="100">
        <f t="shared" si="43"/>
        <v>0</v>
      </c>
      <c r="W265" s="101" t="b">
        <f t="shared" si="44"/>
        <v>1</v>
      </c>
      <c r="X265">
        <f t="shared" si="45"/>
        <v>0</v>
      </c>
    </row>
    <row r="266" spans="17:24" x14ac:dyDescent="0.25">
      <c r="Q266" s="49" t="str">
        <f t="shared" si="40"/>
        <v/>
      </c>
      <c r="R266" s="49" t="str">
        <f t="shared" si="41"/>
        <v/>
      </c>
      <c r="S266" s="63"/>
      <c r="T266" s="99">
        <f t="shared" si="42"/>
        <v>0</v>
      </c>
      <c r="V266" s="100">
        <f t="shared" si="43"/>
        <v>0</v>
      </c>
      <c r="W266" s="101" t="b">
        <f t="shared" si="44"/>
        <v>1</v>
      </c>
      <c r="X266">
        <f t="shared" si="45"/>
        <v>0</v>
      </c>
    </row>
    <row r="267" spans="17:24" x14ac:dyDescent="0.25">
      <c r="Q267" s="49" t="str">
        <f t="shared" si="40"/>
        <v/>
      </c>
      <c r="R267" s="49" t="str">
        <f t="shared" si="41"/>
        <v/>
      </c>
      <c r="S267" s="63"/>
      <c r="T267" s="99">
        <f t="shared" si="42"/>
        <v>0</v>
      </c>
      <c r="V267" s="100">
        <f t="shared" si="43"/>
        <v>0</v>
      </c>
      <c r="W267" s="101" t="b">
        <f t="shared" si="44"/>
        <v>1</v>
      </c>
      <c r="X267">
        <f t="shared" si="45"/>
        <v>0</v>
      </c>
    </row>
    <row r="268" spans="17:24" x14ac:dyDescent="0.25">
      <c r="Q268" s="49" t="str">
        <f t="shared" si="40"/>
        <v/>
      </c>
      <c r="R268" s="49" t="str">
        <f t="shared" si="41"/>
        <v/>
      </c>
      <c r="S268" s="63"/>
      <c r="T268" s="99">
        <f t="shared" si="42"/>
        <v>0</v>
      </c>
      <c r="V268" s="100">
        <f t="shared" si="43"/>
        <v>0</v>
      </c>
      <c r="W268" s="101" t="b">
        <f t="shared" si="44"/>
        <v>1</v>
      </c>
      <c r="X268">
        <f t="shared" si="45"/>
        <v>0</v>
      </c>
    </row>
    <row r="269" spans="17:24" x14ac:dyDescent="0.25">
      <c r="Q269" s="49" t="str">
        <f t="shared" si="40"/>
        <v/>
      </c>
      <c r="R269" s="49" t="str">
        <f t="shared" si="41"/>
        <v/>
      </c>
      <c r="S269" s="63"/>
      <c r="T269" s="99">
        <f t="shared" si="42"/>
        <v>0</v>
      </c>
      <c r="V269" s="100">
        <f t="shared" si="43"/>
        <v>0</v>
      </c>
      <c r="W269" s="101" t="b">
        <f t="shared" si="44"/>
        <v>1</v>
      </c>
      <c r="X269">
        <f t="shared" si="45"/>
        <v>0</v>
      </c>
    </row>
    <row r="270" spans="17:24" x14ac:dyDescent="0.25">
      <c r="Q270" s="49" t="str">
        <f t="shared" si="40"/>
        <v/>
      </c>
      <c r="R270" s="49" t="str">
        <f t="shared" si="41"/>
        <v/>
      </c>
      <c r="S270" s="63"/>
      <c r="T270" s="99">
        <f t="shared" si="42"/>
        <v>0</v>
      </c>
      <c r="V270" s="100">
        <f t="shared" si="43"/>
        <v>0</v>
      </c>
      <c r="W270" s="101" t="b">
        <f t="shared" si="44"/>
        <v>1</v>
      </c>
      <c r="X270">
        <f t="shared" si="45"/>
        <v>0</v>
      </c>
    </row>
    <row r="271" spans="17:24" x14ac:dyDescent="0.25">
      <c r="Q271" s="49" t="str">
        <f t="shared" si="40"/>
        <v/>
      </c>
      <c r="R271" s="49" t="str">
        <f t="shared" si="41"/>
        <v/>
      </c>
      <c r="S271" s="63"/>
      <c r="T271" s="99">
        <f t="shared" si="42"/>
        <v>0</v>
      </c>
      <c r="V271" s="100">
        <f t="shared" si="43"/>
        <v>0</v>
      </c>
      <c r="W271" s="101" t="b">
        <f t="shared" si="44"/>
        <v>1</v>
      </c>
      <c r="X271">
        <f t="shared" si="45"/>
        <v>0</v>
      </c>
    </row>
    <row r="272" spans="17:24" x14ac:dyDescent="0.25">
      <c r="Q272" s="49" t="str">
        <f t="shared" si="40"/>
        <v/>
      </c>
      <c r="R272" s="49" t="str">
        <f t="shared" si="41"/>
        <v/>
      </c>
      <c r="S272" s="63"/>
      <c r="T272" s="99">
        <f t="shared" si="42"/>
        <v>0</v>
      </c>
      <c r="V272" s="100">
        <f t="shared" si="43"/>
        <v>0</v>
      </c>
      <c r="W272" s="101" t="b">
        <f t="shared" si="44"/>
        <v>1</v>
      </c>
      <c r="X272">
        <f t="shared" si="45"/>
        <v>0</v>
      </c>
    </row>
    <row r="273" spans="17:24" x14ac:dyDescent="0.25">
      <c r="Q273" s="49" t="str">
        <f t="shared" si="40"/>
        <v/>
      </c>
      <c r="R273" s="49" t="str">
        <f t="shared" si="41"/>
        <v/>
      </c>
      <c r="S273" s="63"/>
      <c r="T273" s="99">
        <f t="shared" si="42"/>
        <v>0</v>
      </c>
      <c r="V273" s="100">
        <f t="shared" si="43"/>
        <v>0</v>
      </c>
      <c r="W273" s="101" t="b">
        <f t="shared" si="44"/>
        <v>1</v>
      </c>
      <c r="X273">
        <f t="shared" si="45"/>
        <v>0</v>
      </c>
    </row>
    <row r="274" spans="17:24" x14ac:dyDescent="0.25">
      <c r="Q274" s="49" t="str">
        <f t="shared" si="40"/>
        <v/>
      </c>
      <c r="R274" s="49" t="str">
        <f t="shared" si="41"/>
        <v/>
      </c>
      <c r="S274" s="63"/>
      <c r="T274" s="99">
        <f t="shared" si="42"/>
        <v>0</v>
      </c>
      <c r="V274" s="100">
        <f t="shared" si="43"/>
        <v>0</v>
      </c>
      <c r="W274" s="101" t="b">
        <f t="shared" si="44"/>
        <v>1</v>
      </c>
      <c r="X274">
        <f t="shared" si="45"/>
        <v>0</v>
      </c>
    </row>
    <row r="275" spans="17:24" x14ac:dyDescent="0.25">
      <c r="Q275" s="49" t="str">
        <f t="shared" si="40"/>
        <v/>
      </c>
      <c r="R275" s="49" t="str">
        <f t="shared" si="41"/>
        <v/>
      </c>
      <c r="S275" s="63"/>
      <c r="T275" s="99">
        <f t="shared" si="42"/>
        <v>0</v>
      </c>
      <c r="V275" s="100">
        <f t="shared" si="43"/>
        <v>0</v>
      </c>
      <c r="W275" s="101" t="b">
        <f t="shared" si="44"/>
        <v>1</v>
      </c>
      <c r="X275">
        <f t="shared" si="45"/>
        <v>0</v>
      </c>
    </row>
    <row r="276" spans="17:24" x14ac:dyDescent="0.25">
      <c r="Q276" s="49" t="str">
        <f t="shared" si="40"/>
        <v/>
      </c>
      <c r="R276" s="49" t="str">
        <f t="shared" si="41"/>
        <v/>
      </c>
      <c r="S276" s="63"/>
      <c r="T276" s="99">
        <f t="shared" si="42"/>
        <v>0</v>
      </c>
      <c r="V276" s="100">
        <f t="shared" si="43"/>
        <v>0</v>
      </c>
      <c r="W276" s="101" t="b">
        <f t="shared" si="44"/>
        <v>1</v>
      </c>
      <c r="X276">
        <f t="shared" si="45"/>
        <v>0</v>
      </c>
    </row>
    <row r="277" spans="17:24" x14ac:dyDescent="0.25">
      <c r="Q277" s="49" t="str">
        <f t="shared" si="40"/>
        <v/>
      </c>
      <c r="R277" s="49" t="str">
        <f t="shared" si="41"/>
        <v/>
      </c>
      <c r="S277" s="63"/>
      <c r="T277" s="99">
        <f t="shared" si="42"/>
        <v>0</v>
      </c>
      <c r="V277" s="100">
        <f t="shared" si="43"/>
        <v>0</v>
      </c>
      <c r="W277" s="101" t="b">
        <f t="shared" si="44"/>
        <v>1</v>
      </c>
      <c r="X277">
        <f t="shared" si="45"/>
        <v>0</v>
      </c>
    </row>
    <row r="278" spans="17:24" x14ac:dyDescent="0.25">
      <c r="Q278" s="49" t="str">
        <f t="shared" si="40"/>
        <v/>
      </c>
      <c r="R278" s="49" t="str">
        <f t="shared" si="41"/>
        <v/>
      </c>
      <c r="S278" s="63"/>
      <c r="T278" s="99">
        <f t="shared" si="42"/>
        <v>0</v>
      </c>
      <c r="V278" s="100">
        <f t="shared" si="43"/>
        <v>0</v>
      </c>
      <c r="W278" s="101" t="b">
        <f t="shared" si="44"/>
        <v>1</v>
      </c>
      <c r="X278">
        <f t="shared" si="45"/>
        <v>0</v>
      </c>
    </row>
    <row r="279" spans="17:24" x14ac:dyDescent="0.25">
      <c r="Q279" s="49" t="str">
        <f t="shared" si="40"/>
        <v/>
      </c>
      <c r="R279" s="49" t="str">
        <f t="shared" si="41"/>
        <v/>
      </c>
      <c r="S279" s="63"/>
      <c r="T279" s="99">
        <f t="shared" si="42"/>
        <v>0</v>
      </c>
      <c r="V279" s="100">
        <f t="shared" si="43"/>
        <v>0</v>
      </c>
      <c r="W279" s="101" t="b">
        <f t="shared" si="44"/>
        <v>1</v>
      </c>
      <c r="X279">
        <f t="shared" si="45"/>
        <v>0</v>
      </c>
    </row>
    <row r="280" spans="17:24" x14ac:dyDescent="0.25">
      <c r="Q280" s="49" t="str">
        <f t="shared" si="40"/>
        <v/>
      </c>
      <c r="R280" s="49" t="str">
        <f t="shared" si="41"/>
        <v/>
      </c>
      <c r="S280" s="63"/>
      <c r="T280" s="99">
        <f t="shared" si="42"/>
        <v>0</v>
      </c>
      <c r="V280" s="100">
        <f t="shared" si="43"/>
        <v>0</v>
      </c>
      <c r="W280" s="101" t="b">
        <f t="shared" si="44"/>
        <v>1</v>
      </c>
      <c r="X280">
        <f t="shared" si="45"/>
        <v>0</v>
      </c>
    </row>
    <row r="281" spans="17:24" x14ac:dyDescent="0.25">
      <c r="Q281" s="49" t="str">
        <f t="shared" si="40"/>
        <v/>
      </c>
      <c r="R281" s="49" t="str">
        <f t="shared" si="41"/>
        <v/>
      </c>
      <c r="S281" s="63"/>
      <c r="T281" s="99">
        <f t="shared" si="42"/>
        <v>0</v>
      </c>
      <c r="V281" s="100">
        <f t="shared" si="43"/>
        <v>0</v>
      </c>
      <c r="W281" s="101" t="b">
        <f t="shared" si="44"/>
        <v>1</v>
      </c>
      <c r="X281">
        <f t="shared" si="45"/>
        <v>0</v>
      </c>
    </row>
    <row r="282" spans="17:24" x14ac:dyDescent="0.25">
      <c r="Q282" s="49" t="str">
        <f t="shared" si="40"/>
        <v/>
      </c>
      <c r="R282" s="49" t="str">
        <f t="shared" si="41"/>
        <v/>
      </c>
      <c r="S282" s="63"/>
      <c r="T282" s="99">
        <f t="shared" si="42"/>
        <v>0</v>
      </c>
      <c r="V282" s="100">
        <f t="shared" si="43"/>
        <v>0</v>
      </c>
      <c r="W282" s="101" t="b">
        <f t="shared" si="44"/>
        <v>1</v>
      </c>
      <c r="X282">
        <f t="shared" si="45"/>
        <v>0</v>
      </c>
    </row>
    <row r="283" spans="17:24" x14ac:dyDescent="0.25">
      <c r="Q283" s="49" t="str">
        <f t="shared" si="40"/>
        <v/>
      </c>
      <c r="R283" s="49" t="str">
        <f t="shared" si="41"/>
        <v/>
      </c>
      <c r="S283" s="63"/>
      <c r="T283" s="99">
        <f t="shared" si="42"/>
        <v>0</v>
      </c>
      <c r="V283" s="100">
        <f t="shared" si="43"/>
        <v>0</v>
      </c>
      <c r="W283" s="101" t="b">
        <f t="shared" si="44"/>
        <v>1</v>
      </c>
      <c r="X283">
        <f t="shared" si="45"/>
        <v>0</v>
      </c>
    </row>
    <row r="284" spans="17:24" x14ac:dyDescent="0.25">
      <c r="Q284" s="49" t="str">
        <f t="shared" si="40"/>
        <v/>
      </c>
      <c r="R284" s="49" t="str">
        <f t="shared" si="41"/>
        <v/>
      </c>
      <c r="S284" s="63"/>
      <c r="T284" s="99">
        <f t="shared" si="42"/>
        <v>0</v>
      </c>
      <c r="V284" s="100">
        <f t="shared" si="43"/>
        <v>0</v>
      </c>
      <c r="W284" s="101" t="b">
        <f t="shared" si="44"/>
        <v>1</v>
      </c>
      <c r="X284">
        <f t="shared" si="45"/>
        <v>0</v>
      </c>
    </row>
    <row r="285" spans="17:24" x14ac:dyDescent="0.25">
      <c r="Q285" s="49" t="str">
        <f t="shared" si="40"/>
        <v/>
      </c>
      <c r="R285" s="49" t="str">
        <f t="shared" si="41"/>
        <v/>
      </c>
      <c r="S285" s="63"/>
      <c r="T285" s="99">
        <f t="shared" si="42"/>
        <v>0</v>
      </c>
      <c r="V285" s="100">
        <f t="shared" si="43"/>
        <v>0</v>
      </c>
      <c r="W285" s="101" t="b">
        <f t="shared" si="44"/>
        <v>1</v>
      </c>
      <c r="X285">
        <f t="shared" si="45"/>
        <v>0</v>
      </c>
    </row>
    <row r="286" spans="17:24" x14ac:dyDescent="0.25">
      <c r="Q286" s="49" t="str">
        <f t="shared" si="40"/>
        <v/>
      </c>
      <c r="R286" s="49" t="str">
        <f t="shared" si="41"/>
        <v/>
      </c>
      <c r="S286" s="63"/>
      <c r="T286" s="99">
        <f t="shared" si="42"/>
        <v>0</v>
      </c>
      <c r="V286" s="100">
        <f t="shared" si="43"/>
        <v>0</v>
      </c>
      <c r="W286" s="101" t="b">
        <f t="shared" si="44"/>
        <v>1</v>
      </c>
      <c r="X286">
        <f t="shared" si="45"/>
        <v>0</v>
      </c>
    </row>
    <row r="287" spans="17:24" x14ac:dyDescent="0.25">
      <c r="Q287" s="49" t="str">
        <f t="shared" si="40"/>
        <v/>
      </c>
      <c r="R287" s="49" t="str">
        <f t="shared" si="41"/>
        <v/>
      </c>
      <c r="S287" s="63"/>
      <c r="T287" s="99">
        <f t="shared" si="42"/>
        <v>0</v>
      </c>
      <c r="V287" s="100">
        <f t="shared" si="43"/>
        <v>0</v>
      </c>
      <c r="W287" s="101" t="b">
        <f t="shared" si="44"/>
        <v>1</v>
      </c>
      <c r="X287">
        <f t="shared" si="45"/>
        <v>0</v>
      </c>
    </row>
    <row r="288" spans="17:24" x14ac:dyDescent="0.25">
      <c r="Q288" s="49" t="str">
        <f t="shared" si="40"/>
        <v/>
      </c>
      <c r="R288" s="49" t="str">
        <f t="shared" si="41"/>
        <v/>
      </c>
      <c r="S288" s="63"/>
      <c r="T288" s="99">
        <f t="shared" si="42"/>
        <v>0</v>
      </c>
      <c r="V288" s="100">
        <f t="shared" si="43"/>
        <v>0</v>
      </c>
      <c r="W288" s="101" t="b">
        <f t="shared" si="44"/>
        <v>1</v>
      </c>
      <c r="X288">
        <f t="shared" si="45"/>
        <v>0</v>
      </c>
    </row>
    <row r="289" spans="17:24" x14ac:dyDescent="0.25">
      <c r="Q289" s="49" t="str">
        <f t="shared" si="40"/>
        <v/>
      </c>
      <c r="R289" s="49" t="str">
        <f t="shared" si="41"/>
        <v/>
      </c>
      <c r="S289" s="63"/>
      <c r="T289" s="99">
        <f t="shared" si="42"/>
        <v>0</v>
      </c>
      <c r="V289" s="100">
        <f t="shared" si="43"/>
        <v>0</v>
      </c>
      <c r="W289" s="101" t="b">
        <f t="shared" si="44"/>
        <v>1</v>
      </c>
      <c r="X289">
        <f t="shared" si="45"/>
        <v>0</v>
      </c>
    </row>
    <row r="290" spans="17:24" x14ac:dyDescent="0.25">
      <c r="Q290" s="49" t="str">
        <f t="shared" si="40"/>
        <v/>
      </c>
      <c r="R290" s="49" t="str">
        <f t="shared" si="41"/>
        <v/>
      </c>
      <c r="S290" s="63"/>
      <c r="T290" s="99">
        <f t="shared" si="42"/>
        <v>0</v>
      </c>
      <c r="V290" s="100">
        <f t="shared" si="43"/>
        <v>0</v>
      </c>
      <c r="W290" s="101" t="b">
        <f t="shared" si="44"/>
        <v>1</v>
      </c>
      <c r="X290">
        <f t="shared" si="45"/>
        <v>0</v>
      </c>
    </row>
    <row r="291" spans="17:24" x14ac:dyDescent="0.25">
      <c r="Q291" s="49" t="str">
        <f t="shared" si="40"/>
        <v/>
      </c>
      <c r="R291" s="49" t="str">
        <f t="shared" si="41"/>
        <v/>
      </c>
      <c r="S291" s="63"/>
      <c r="T291" s="99">
        <f t="shared" si="42"/>
        <v>0</v>
      </c>
      <c r="V291" s="100">
        <f t="shared" si="43"/>
        <v>0</v>
      </c>
      <c r="W291" s="101" t="b">
        <f t="shared" si="44"/>
        <v>1</v>
      </c>
      <c r="X291">
        <f t="shared" si="45"/>
        <v>0</v>
      </c>
    </row>
    <row r="292" spans="17:24" x14ac:dyDescent="0.25">
      <c r="Q292" s="49" t="str">
        <f t="shared" si="40"/>
        <v/>
      </c>
      <c r="R292" s="49" t="str">
        <f t="shared" si="41"/>
        <v/>
      </c>
      <c r="S292" s="63"/>
      <c r="T292" s="99">
        <f t="shared" si="42"/>
        <v>0</v>
      </c>
      <c r="V292" s="100">
        <f t="shared" si="43"/>
        <v>0</v>
      </c>
      <c r="W292" s="101" t="b">
        <f t="shared" si="44"/>
        <v>1</v>
      </c>
      <c r="X292">
        <f t="shared" si="45"/>
        <v>0</v>
      </c>
    </row>
    <row r="293" spans="17:24" x14ac:dyDescent="0.25">
      <c r="Q293" s="49" t="str">
        <f t="shared" si="40"/>
        <v/>
      </c>
      <c r="R293" s="49" t="str">
        <f t="shared" si="41"/>
        <v/>
      </c>
      <c r="S293" s="63"/>
      <c r="T293" s="99">
        <f t="shared" si="42"/>
        <v>0</v>
      </c>
      <c r="V293" s="100">
        <f t="shared" si="43"/>
        <v>0</v>
      </c>
      <c r="W293" s="101" t="b">
        <f t="shared" si="44"/>
        <v>1</v>
      </c>
      <c r="X293">
        <f t="shared" si="45"/>
        <v>0</v>
      </c>
    </row>
    <row r="294" spans="17:24" x14ac:dyDescent="0.25">
      <c r="Q294" s="49" t="str">
        <f t="shared" si="40"/>
        <v/>
      </c>
      <c r="R294" s="49" t="str">
        <f t="shared" si="41"/>
        <v/>
      </c>
      <c r="S294" s="63"/>
      <c r="T294" s="99">
        <f t="shared" si="42"/>
        <v>0</v>
      </c>
      <c r="V294" s="100">
        <f t="shared" si="43"/>
        <v>0</v>
      </c>
      <c r="W294" s="101" t="b">
        <f t="shared" si="44"/>
        <v>1</v>
      </c>
      <c r="X294">
        <f t="shared" si="45"/>
        <v>0</v>
      </c>
    </row>
    <row r="295" spans="17:24" x14ac:dyDescent="0.25">
      <c r="Q295" s="49" t="str">
        <f t="shared" si="40"/>
        <v/>
      </c>
      <c r="R295" s="49" t="str">
        <f t="shared" si="41"/>
        <v/>
      </c>
      <c r="S295" s="63"/>
      <c r="T295" s="99">
        <f t="shared" si="42"/>
        <v>0</v>
      </c>
      <c r="V295" s="100">
        <f t="shared" si="43"/>
        <v>0</v>
      </c>
      <c r="W295" s="101" t="b">
        <f t="shared" si="44"/>
        <v>1</v>
      </c>
      <c r="X295">
        <f t="shared" si="45"/>
        <v>0</v>
      </c>
    </row>
    <row r="296" spans="17:24" x14ac:dyDescent="0.25">
      <c r="Q296" s="49" t="str">
        <f t="shared" si="40"/>
        <v/>
      </c>
      <c r="R296" s="49" t="str">
        <f t="shared" si="41"/>
        <v/>
      </c>
      <c r="S296" s="63"/>
      <c r="T296" s="99">
        <f t="shared" si="42"/>
        <v>0</v>
      </c>
      <c r="V296" s="100">
        <f t="shared" si="43"/>
        <v>0</v>
      </c>
      <c r="W296" s="101" t="b">
        <f t="shared" si="44"/>
        <v>1</v>
      </c>
      <c r="X296">
        <f t="shared" si="45"/>
        <v>0</v>
      </c>
    </row>
    <row r="297" spans="17:24" x14ac:dyDescent="0.25">
      <c r="Q297" s="49" t="str">
        <f t="shared" si="40"/>
        <v/>
      </c>
      <c r="R297" s="49" t="str">
        <f t="shared" si="41"/>
        <v/>
      </c>
      <c r="S297" s="63"/>
      <c r="T297" s="99">
        <f t="shared" si="42"/>
        <v>0</v>
      </c>
      <c r="V297" s="100">
        <f t="shared" si="43"/>
        <v>0</v>
      </c>
      <c r="W297" s="101" t="b">
        <f t="shared" si="44"/>
        <v>1</v>
      </c>
      <c r="X297">
        <f t="shared" si="45"/>
        <v>0</v>
      </c>
    </row>
    <row r="298" spans="17:24" x14ac:dyDescent="0.25">
      <c r="Q298" s="49" t="str">
        <f t="shared" si="40"/>
        <v/>
      </c>
      <c r="R298" s="49" t="str">
        <f t="shared" si="41"/>
        <v/>
      </c>
      <c r="S298" s="63"/>
      <c r="T298" s="99">
        <f t="shared" si="42"/>
        <v>0</v>
      </c>
      <c r="V298" s="100">
        <f t="shared" si="43"/>
        <v>0</v>
      </c>
      <c r="W298" s="101" t="b">
        <f t="shared" si="44"/>
        <v>1</v>
      </c>
      <c r="X298">
        <f t="shared" si="45"/>
        <v>0</v>
      </c>
    </row>
    <row r="299" spans="17:24" x14ac:dyDescent="0.25">
      <c r="Q299" s="49" t="str">
        <f t="shared" si="40"/>
        <v/>
      </c>
      <c r="R299" s="49" t="str">
        <f t="shared" si="41"/>
        <v/>
      </c>
      <c r="S299" s="63"/>
      <c r="T299" s="99">
        <f t="shared" si="42"/>
        <v>0</v>
      </c>
      <c r="V299" s="100">
        <f t="shared" si="43"/>
        <v>0</v>
      </c>
      <c r="W299" s="101" t="b">
        <f t="shared" si="44"/>
        <v>1</v>
      </c>
      <c r="X299">
        <f t="shared" si="45"/>
        <v>0</v>
      </c>
    </row>
    <row r="300" spans="17:24" x14ac:dyDescent="0.25">
      <c r="Q300" s="49" t="str">
        <f t="shared" si="40"/>
        <v/>
      </c>
      <c r="R300" s="49" t="str">
        <f t="shared" si="41"/>
        <v/>
      </c>
      <c r="S300" s="63"/>
      <c r="T300" s="99">
        <f t="shared" si="42"/>
        <v>0</v>
      </c>
      <c r="V300" s="100">
        <f t="shared" si="43"/>
        <v>0</v>
      </c>
      <c r="W300" s="101" t="b">
        <f t="shared" si="44"/>
        <v>1</v>
      </c>
      <c r="X300">
        <f t="shared" si="45"/>
        <v>0</v>
      </c>
    </row>
    <row r="301" spans="17:24" x14ac:dyDescent="0.25">
      <c r="Q301" s="49" t="str">
        <f t="shared" si="40"/>
        <v/>
      </c>
      <c r="R301" s="49" t="str">
        <f t="shared" si="41"/>
        <v/>
      </c>
      <c r="S301" s="63"/>
      <c r="T301" s="99">
        <f t="shared" si="42"/>
        <v>0</v>
      </c>
      <c r="V301" s="100">
        <f t="shared" si="43"/>
        <v>0</v>
      </c>
      <c r="W301" s="101" t="b">
        <f t="shared" si="44"/>
        <v>1</v>
      </c>
      <c r="X301">
        <f t="shared" si="45"/>
        <v>0</v>
      </c>
    </row>
    <row r="302" spans="17:24" x14ac:dyDescent="0.25">
      <c r="Q302" s="49" t="str">
        <f t="shared" si="40"/>
        <v/>
      </c>
      <c r="R302" s="49" t="str">
        <f t="shared" si="41"/>
        <v/>
      </c>
      <c r="S302" s="63"/>
      <c r="T302" s="99">
        <f t="shared" si="42"/>
        <v>0</v>
      </c>
      <c r="V302" s="100">
        <f t="shared" si="43"/>
        <v>0</v>
      </c>
      <c r="W302" s="101" t="b">
        <f t="shared" si="44"/>
        <v>1</v>
      </c>
      <c r="X302">
        <f t="shared" si="45"/>
        <v>0</v>
      </c>
    </row>
    <row r="303" spans="17:24" x14ac:dyDescent="0.25">
      <c r="Q303" s="49" t="str">
        <f t="shared" si="40"/>
        <v/>
      </c>
      <c r="R303" s="49" t="str">
        <f t="shared" si="41"/>
        <v/>
      </c>
      <c r="S303" s="63"/>
      <c r="T303" s="99">
        <f t="shared" si="42"/>
        <v>0</v>
      </c>
      <c r="V303" s="100">
        <f t="shared" si="43"/>
        <v>0</v>
      </c>
      <c r="W303" s="101" t="b">
        <f t="shared" si="44"/>
        <v>1</v>
      </c>
      <c r="X303">
        <f t="shared" si="45"/>
        <v>0</v>
      </c>
    </row>
    <row r="304" spans="17:24" x14ac:dyDescent="0.25">
      <c r="Q304" s="49" t="str">
        <f t="shared" si="40"/>
        <v/>
      </c>
      <c r="R304" s="49" t="str">
        <f t="shared" si="41"/>
        <v/>
      </c>
      <c r="S304" s="63"/>
      <c r="T304" s="99">
        <f t="shared" si="42"/>
        <v>0</v>
      </c>
      <c r="V304" s="100">
        <f t="shared" si="43"/>
        <v>0</v>
      </c>
      <c r="W304" s="101" t="b">
        <f t="shared" si="44"/>
        <v>1</v>
      </c>
      <c r="X304">
        <f t="shared" si="45"/>
        <v>0</v>
      </c>
    </row>
    <row r="305" spans="17:24" x14ac:dyDescent="0.25">
      <c r="Q305" s="49" t="str">
        <f t="shared" si="40"/>
        <v/>
      </c>
      <c r="R305" s="49" t="str">
        <f t="shared" si="41"/>
        <v/>
      </c>
      <c r="S305" s="63"/>
      <c r="T305" s="99">
        <f t="shared" si="42"/>
        <v>0</v>
      </c>
      <c r="V305" s="100">
        <f t="shared" si="43"/>
        <v>0</v>
      </c>
      <c r="W305" s="101" t="b">
        <f t="shared" si="44"/>
        <v>1</v>
      </c>
      <c r="X305">
        <f t="shared" si="45"/>
        <v>0</v>
      </c>
    </row>
    <row r="306" spans="17:24" x14ac:dyDescent="0.25">
      <c r="Q306" s="49" t="str">
        <f t="shared" si="40"/>
        <v/>
      </c>
      <c r="R306" s="49" t="str">
        <f t="shared" si="41"/>
        <v/>
      </c>
      <c r="S306" s="63"/>
      <c r="T306" s="99">
        <f t="shared" si="42"/>
        <v>0</v>
      </c>
      <c r="V306" s="100">
        <f t="shared" si="43"/>
        <v>0</v>
      </c>
      <c r="W306" s="101" t="b">
        <f t="shared" si="44"/>
        <v>1</v>
      </c>
      <c r="X306">
        <f t="shared" si="45"/>
        <v>0</v>
      </c>
    </row>
    <row r="307" spans="17:24" x14ac:dyDescent="0.25">
      <c r="Q307" s="49" t="str">
        <f t="shared" si="40"/>
        <v/>
      </c>
      <c r="R307" s="49" t="str">
        <f t="shared" si="41"/>
        <v/>
      </c>
      <c r="S307" s="63"/>
      <c r="T307" s="99">
        <f t="shared" si="42"/>
        <v>0</v>
      </c>
      <c r="V307" s="100">
        <f t="shared" si="43"/>
        <v>0</v>
      </c>
      <c r="W307" s="101" t="b">
        <f t="shared" si="44"/>
        <v>1</v>
      </c>
      <c r="X307">
        <f t="shared" si="45"/>
        <v>0</v>
      </c>
    </row>
    <row r="308" spans="17:24" x14ac:dyDescent="0.25">
      <c r="Q308" s="49" t="str">
        <f t="shared" si="40"/>
        <v/>
      </c>
      <c r="R308" s="49" t="str">
        <f t="shared" si="41"/>
        <v/>
      </c>
      <c r="S308" s="63"/>
      <c r="T308" s="99">
        <f t="shared" si="42"/>
        <v>0</v>
      </c>
      <c r="V308" s="100">
        <f t="shared" si="43"/>
        <v>0</v>
      </c>
      <c r="W308" s="101" t="b">
        <f t="shared" si="44"/>
        <v>1</v>
      </c>
      <c r="X308">
        <f t="shared" si="45"/>
        <v>0</v>
      </c>
    </row>
    <row r="309" spans="17:24" x14ac:dyDescent="0.25">
      <c r="Q309" s="49" t="str">
        <f t="shared" si="40"/>
        <v/>
      </c>
      <c r="R309" s="49" t="str">
        <f t="shared" si="41"/>
        <v/>
      </c>
      <c r="S309" s="63"/>
      <c r="T309" s="99">
        <f t="shared" si="42"/>
        <v>0</v>
      </c>
      <c r="V309" s="100">
        <f t="shared" si="43"/>
        <v>0</v>
      </c>
      <c r="W309" s="101" t="b">
        <f t="shared" si="44"/>
        <v>1</v>
      </c>
      <c r="X309">
        <f t="shared" si="45"/>
        <v>0</v>
      </c>
    </row>
    <row r="310" spans="17:24" x14ac:dyDescent="0.25">
      <c r="Q310" s="49" t="str">
        <f t="shared" si="40"/>
        <v/>
      </c>
      <c r="R310" s="49" t="str">
        <f t="shared" si="41"/>
        <v/>
      </c>
      <c r="S310" s="63"/>
      <c r="T310" s="99">
        <f t="shared" si="42"/>
        <v>0</v>
      </c>
      <c r="V310" s="100">
        <f t="shared" si="43"/>
        <v>0</v>
      </c>
      <c r="W310" s="101" t="b">
        <f t="shared" si="44"/>
        <v>1</v>
      </c>
      <c r="X310">
        <f t="shared" si="45"/>
        <v>0</v>
      </c>
    </row>
    <row r="311" spans="17:24" x14ac:dyDescent="0.25">
      <c r="Q311" s="49" t="str">
        <f t="shared" si="40"/>
        <v/>
      </c>
      <c r="R311" s="49" t="str">
        <f t="shared" si="41"/>
        <v/>
      </c>
      <c r="S311" s="63"/>
      <c r="T311" s="99">
        <f t="shared" si="42"/>
        <v>0</v>
      </c>
      <c r="V311" s="100">
        <f t="shared" si="43"/>
        <v>0</v>
      </c>
      <c r="W311" s="101" t="b">
        <f t="shared" si="44"/>
        <v>1</v>
      </c>
      <c r="X311">
        <f t="shared" si="45"/>
        <v>0</v>
      </c>
    </row>
    <row r="312" spans="17:24" x14ac:dyDescent="0.25">
      <c r="Q312" s="49" t="str">
        <f t="shared" si="40"/>
        <v/>
      </c>
      <c r="R312" s="49" t="str">
        <f t="shared" si="41"/>
        <v/>
      </c>
      <c r="S312" s="63"/>
      <c r="T312" s="99">
        <f t="shared" si="42"/>
        <v>0</v>
      </c>
      <c r="V312" s="100">
        <f t="shared" si="43"/>
        <v>0</v>
      </c>
      <c r="W312" s="101" t="b">
        <f t="shared" si="44"/>
        <v>1</v>
      </c>
      <c r="X312">
        <f t="shared" si="45"/>
        <v>0</v>
      </c>
    </row>
    <row r="313" spans="17:24" x14ac:dyDescent="0.25">
      <c r="Q313" s="49" t="str">
        <f t="shared" si="40"/>
        <v/>
      </c>
      <c r="R313" s="49" t="str">
        <f t="shared" si="41"/>
        <v/>
      </c>
      <c r="S313" s="63"/>
      <c r="T313" s="99">
        <f t="shared" si="42"/>
        <v>0</v>
      </c>
      <c r="V313" s="100">
        <f t="shared" si="43"/>
        <v>0</v>
      </c>
      <c r="W313" s="101" t="b">
        <f t="shared" si="44"/>
        <v>1</v>
      </c>
      <c r="X313">
        <f t="shared" si="45"/>
        <v>0</v>
      </c>
    </row>
    <row r="314" spans="17:24" x14ac:dyDescent="0.25">
      <c r="Q314" s="49" t="str">
        <f t="shared" si="40"/>
        <v/>
      </c>
      <c r="R314" s="49" t="str">
        <f t="shared" si="41"/>
        <v/>
      </c>
      <c r="S314" s="63"/>
      <c r="T314" s="99">
        <f t="shared" si="42"/>
        <v>0</v>
      </c>
      <c r="V314" s="100">
        <f t="shared" si="43"/>
        <v>0</v>
      </c>
      <c r="W314" s="101" t="b">
        <f t="shared" si="44"/>
        <v>1</v>
      </c>
      <c r="X314">
        <f t="shared" si="45"/>
        <v>0</v>
      </c>
    </row>
    <row r="315" spans="17:24" x14ac:dyDescent="0.25">
      <c r="Q315" s="49" t="str">
        <f t="shared" si="40"/>
        <v/>
      </c>
      <c r="R315" s="49" t="str">
        <f t="shared" si="41"/>
        <v/>
      </c>
      <c r="S315" s="63"/>
      <c r="T315" s="99">
        <f t="shared" si="42"/>
        <v>0</v>
      </c>
      <c r="V315" s="100">
        <f t="shared" si="43"/>
        <v>0</v>
      </c>
      <c r="W315" s="101" t="b">
        <f t="shared" si="44"/>
        <v>1</v>
      </c>
      <c r="X315">
        <f t="shared" si="45"/>
        <v>0</v>
      </c>
    </row>
    <row r="316" spans="17:24" x14ac:dyDescent="0.25">
      <c r="Q316" s="49" t="str">
        <f t="shared" si="40"/>
        <v/>
      </c>
      <c r="R316" s="49" t="str">
        <f t="shared" si="41"/>
        <v/>
      </c>
      <c r="S316" s="63"/>
      <c r="T316" s="99">
        <f t="shared" si="42"/>
        <v>0</v>
      </c>
      <c r="V316" s="100">
        <f t="shared" si="43"/>
        <v>0</v>
      </c>
      <c r="W316" s="101" t="b">
        <f t="shared" si="44"/>
        <v>1</v>
      </c>
      <c r="X316">
        <f t="shared" si="45"/>
        <v>0</v>
      </c>
    </row>
    <row r="317" spans="17:24" x14ac:dyDescent="0.25">
      <c r="Q317" s="49" t="str">
        <f t="shared" si="40"/>
        <v/>
      </c>
      <c r="R317" s="49" t="str">
        <f t="shared" si="41"/>
        <v/>
      </c>
      <c r="S317" s="63"/>
      <c r="T317" s="99">
        <f t="shared" si="42"/>
        <v>0</v>
      </c>
      <c r="V317" s="100">
        <f t="shared" si="43"/>
        <v>0</v>
      </c>
      <c r="W317" s="101" t="b">
        <f t="shared" si="44"/>
        <v>1</v>
      </c>
      <c r="X317">
        <f t="shared" si="45"/>
        <v>0</v>
      </c>
    </row>
    <row r="318" spans="17:24" x14ac:dyDescent="0.25">
      <c r="Q318" s="49" t="str">
        <f t="shared" si="40"/>
        <v/>
      </c>
      <c r="R318" s="49" t="str">
        <f t="shared" si="41"/>
        <v/>
      </c>
      <c r="S318" s="63"/>
      <c r="T318" s="99">
        <f t="shared" si="42"/>
        <v>0</v>
      </c>
      <c r="V318" s="100">
        <f t="shared" si="43"/>
        <v>0</v>
      </c>
      <c r="W318" s="101" t="b">
        <f t="shared" si="44"/>
        <v>1</v>
      </c>
      <c r="X318">
        <f t="shared" si="45"/>
        <v>0</v>
      </c>
    </row>
    <row r="319" spans="17:24" x14ac:dyDescent="0.25">
      <c r="Q319" s="49" t="str">
        <f t="shared" si="40"/>
        <v/>
      </c>
      <c r="R319" s="49" t="str">
        <f t="shared" si="41"/>
        <v/>
      </c>
      <c r="S319" s="63"/>
      <c r="T319" s="99">
        <f t="shared" si="42"/>
        <v>0</v>
      </c>
      <c r="V319" s="100">
        <f t="shared" si="43"/>
        <v>0</v>
      </c>
      <c r="W319" s="101" t="b">
        <f t="shared" si="44"/>
        <v>1</v>
      </c>
      <c r="X319">
        <f t="shared" si="45"/>
        <v>0</v>
      </c>
    </row>
    <row r="320" spans="17:24" x14ac:dyDescent="0.25">
      <c r="Q320" s="49" t="str">
        <f t="shared" si="40"/>
        <v/>
      </c>
      <c r="R320" s="49" t="str">
        <f t="shared" si="41"/>
        <v/>
      </c>
      <c r="S320" s="63"/>
      <c r="T320" s="99">
        <f t="shared" si="42"/>
        <v>0</v>
      </c>
      <c r="V320" s="100">
        <f t="shared" si="43"/>
        <v>0</v>
      </c>
      <c r="W320" s="101" t="b">
        <f t="shared" si="44"/>
        <v>1</v>
      </c>
      <c r="X320">
        <f t="shared" si="45"/>
        <v>0</v>
      </c>
    </row>
    <row r="321" spans="17:24" x14ac:dyDescent="0.25">
      <c r="Q321" s="49" t="str">
        <f t="shared" si="40"/>
        <v/>
      </c>
      <c r="R321" s="49" t="str">
        <f t="shared" si="41"/>
        <v/>
      </c>
      <c r="S321" s="63"/>
      <c r="T321" s="99">
        <f t="shared" si="42"/>
        <v>0</v>
      </c>
      <c r="V321" s="100">
        <f t="shared" si="43"/>
        <v>0</v>
      </c>
      <c r="W321" s="101" t="b">
        <f t="shared" si="44"/>
        <v>1</v>
      </c>
      <c r="X321">
        <f t="shared" si="45"/>
        <v>0</v>
      </c>
    </row>
    <row r="322" spans="17:24" x14ac:dyDescent="0.25">
      <c r="Q322" s="49" t="str">
        <f t="shared" si="40"/>
        <v/>
      </c>
      <c r="R322" s="49" t="str">
        <f t="shared" si="41"/>
        <v/>
      </c>
      <c r="S322" s="63"/>
      <c r="T322" s="99">
        <f t="shared" si="42"/>
        <v>0</v>
      </c>
      <c r="V322" s="100">
        <f t="shared" si="43"/>
        <v>0</v>
      </c>
      <c r="W322" s="101" t="b">
        <f t="shared" si="44"/>
        <v>1</v>
      </c>
      <c r="X322">
        <f t="shared" si="45"/>
        <v>0</v>
      </c>
    </row>
    <row r="323" spans="17:24" x14ac:dyDescent="0.25">
      <c r="Q323" s="49" t="str">
        <f t="shared" ref="Q323:Q348" si="46">IF(ISBLANK(M323),"",ROUNDUP(N323,0))</f>
        <v/>
      </c>
      <c r="R323" s="49" t="str">
        <f t="shared" ref="R323:R348" si="47">IF(ISBLANK(B323), "", IF(OR(AND(F323=0, G323&gt;=5), AND(F323&gt;0, G323&gt;1)), 1, 0))</f>
        <v/>
      </c>
      <c r="S323" s="63"/>
      <c r="T323" s="99">
        <f t="shared" ref="T323:T348" si="48">IF(N323&gt;=5,1,0)</f>
        <v>0</v>
      </c>
      <c r="V323" s="100">
        <f t="shared" ref="V323:V348" si="49">IFERROR(+P323*SUM(S323:T323),"")</f>
        <v>0</v>
      </c>
      <c r="W323" s="101" t="b">
        <f t="shared" ref="W323:W348" si="50">AND(_xlfn.ISFORMULA(T323),NOT(ISNUMBER(S323)))</f>
        <v>1</v>
      </c>
      <c r="X323">
        <f t="shared" si="45"/>
        <v>0</v>
      </c>
    </row>
    <row r="324" spans="17:24" x14ac:dyDescent="0.25">
      <c r="Q324" s="49" t="str">
        <f t="shared" si="46"/>
        <v/>
      </c>
      <c r="R324" s="49" t="str">
        <f t="shared" si="47"/>
        <v/>
      </c>
      <c r="S324" s="63"/>
      <c r="T324" s="99">
        <f t="shared" si="48"/>
        <v>0</v>
      </c>
      <c r="V324" s="100">
        <f t="shared" si="49"/>
        <v>0</v>
      </c>
      <c r="W324" s="101" t="b">
        <f t="shared" si="50"/>
        <v>1</v>
      </c>
      <c r="X324">
        <f t="shared" si="45"/>
        <v>0</v>
      </c>
    </row>
    <row r="325" spans="17:24" x14ac:dyDescent="0.25">
      <c r="Q325" s="49" t="str">
        <f t="shared" si="46"/>
        <v/>
      </c>
      <c r="R325" s="49" t="str">
        <f t="shared" si="47"/>
        <v/>
      </c>
      <c r="S325" s="63"/>
      <c r="T325" s="99">
        <f t="shared" si="48"/>
        <v>0</v>
      </c>
      <c r="V325" s="100">
        <f t="shared" si="49"/>
        <v>0</v>
      </c>
      <c r="W325" s="101" t="b">
        <f t="shared" si="50"/>
        <v>1</v>
      </c>
      <c r="X325">
        <f t="shared" si="45"/>
        <v>0</v>
      </c>
    </row>
    <row r="326" spans="17:24" x14ac:dyDescent="0.25">
      <c r="Q326" s="49" t="str">
        <f t="shared" si="46"/>
        <v/>
      </c>
      <c r="R326" s="49" t="str">
        <f t="shared" si="47"/>
        <v/>
      </c>
      <c r="S326" s="63"/>
      <c r="T326" s="99">
        <f t="shared" si="48"/>
        <v>0</v>
      </c>
      <c r="V326" s="100">
        <f t="shared" si="49"/>
        <v>0</v>
      </c>
      <c r="W326" s="101" t="b">
        <f t="shared" si="50"/>
        <v>1</v>
      </c>
      <c r="X326">
        <f t="shared" si="45"/>
        <v>0</v>
      </c>
    </row>
    <row r="327" spans="17:24" x14ac:dyDescent="0.25">
      <c r="Q327" s="49" t="str">
        <f t="shared" si="46"/>
        <v/>
      </c>
      <c r="R327" s="49" t="str">
        <f t="shared" si="47"/>
        <v/>
      </c>
      <c r="S327" s="63"/>
      <c r="T327" s="99">
        <f t="shared" si="48"/>
        <v>0</v>
      </c>
      <c r="V327" s="100">
        <f t="shared" si="49"/>
        <v>0</v>
      </c>
      <c r="W327" s="101" t="b">
        <f t="shared" si="50"/>
        <v>1</v>
      </c>
      <c r="X327">
        <f t="shared" ref="X327:X348" si="51">SUM(S327:T327)</f>
        <v>0</v>
      </c>
    </row>
    <row r="328" spans="17:24" x14ac:dyDescent="0.25">
      <c r="Q328" s="49" t="str">
        <f t="shared" si="46"/>
        <v/>
      </c>
      <c r="R328" s="49" t="str">
        <f t="shared" si="47"/>
        <v/>
      </c>
      <c r="S328" s="63"/>
      <c r="T328" s="99">
        <f t="shared" si="48"/>
        <v>0</v>
      </c>
      <c r="V328" s="100">
        <f t="shared" si="49"/>
        <v>0</v>
      </c>
      <c r="W328" s="101" t="b">
        <f t="shared" si="50"/>
        <v>1</v>
      </c>
      <c r="X328">
        <f t="shared" si="51"/>
        <v>0</v>
      </c>
    </row>
    <row r="329" spans="17:24" x14ac:dyDescent="0.25">
      <c r="Q329" s="49" t="str">
        <f t="shared" si="46"/>
        <v/>
      </c>
      <c r="R329" s="49" t="str">
        <f t="shared" si="47"/>
        <v/>
      </c>
      <c r="S329" s="63"/>
      <c r="T329" s="99">
        <f t="shared" si="48"/>
        <v>0</v>
      </c>
      <c r="V329" s="100">
        <f t="shared" si="49"/>
        <v>0</v>
      </c>
      <c r="W329" s="101" t="b">
        <f t="shared" si="50"/>
        <v>1</v>
      </c>
      <c r="X329">
        <f t="shared" si="51"/>
        <v>0</v>
      </c>
    </row>
    <row r="330" spans="17:24" x14ac:dyDescent="0.25">
      <c r="Q330" s="49" t="str">
        <f t="shared" si="46"/>
        <v/>
      </c>
      <c r="R330" s="49" t="str">
        <f t="shared" si="47"/>
        <v/>
      </c>
      <c r="S330" s="63"/>
      <c r="T330" s="99">
        <f t="shared" si="48"/>
        <v>0</v>
      </c>
      <c r="V330" s="100">
        <f t="shared" si="49"/>
        <v>0</v>
      </c>
      <c r="W330" s="101" t="b">
        <f t="shared" si="50"/>
        <v>1</v>
      </c>
      <c r="X330">
        <f t="shared" si="51"/>
        <v>0</v>
      </c>
    </row>
    <row r="331" spans="17:24" x14ac:dyDescent="0.25">
      <c r="Q331" s="49" t="str">
        <f t="shared" si="46"/>
        <v/>
      </c>
      <c r="R331" s="49" t="str">
        <f t="shared" si="47"/>
        <v/>
      </c>
      <c r="S331" s="63"/>
      <c r="T331" s="99">
        <f t="shared" si="48"/>
        <v>0</v>
      </c>
      <c r="V331" s="100">
        <f t="shared" si="49"/>
        <v>0</v>
      </c>
      <c r="W331" s="101" t="b">
        <f t="shared" si="50"/>
        <v>1</v>
      </c>
      <c r="X331">
        <f t="shared" si="51"/>
        <v>0</v>
      </c>
    </row>
    <row r="332" spans="17:24" x14ac:dyDescent="0.25">
      <c r="Q332" s="49" t="str">
        <f t="shared" si="46"/>
        <v/>
      </c>
      <c r="R332" s="49" t="str">
        <f t="shared" si="47"/>
        <v/>
      </c>
      <c r="S332" s="63"/>
      <c r="T332" s="99">
        <f t="shared" si="48"/>
        <v>0</v>
      </c>
      <c r="V332" s="100">
        <f t="shared" si="49"/>
        <v>0</v>
      </c>
      <c r="W332" s="101" t="b">
        <f t="shared" si="50"/>
        <v>1</v>
      </c>
      <c r="X332">
        <f t="shared" si="51"/>
        <v>0</v>
      </c>
    </row>
    <row r="333" spans="17:24" x14ac:dyDescent="0.25">
      <c r="Q333" s="49" t="str">
        <f t="shared" si="46"/>
        <v/>
      </c>
      <c r="R333" s="49" t="str">
        <f t="shared" si="47"/>
        <v/>
      </c>
      <c r="S333" s="63"/>
      <c r="T333" s="99">
        <f t="shared" si="48"/>
        <v>0</v>
      </c>
      <c r="V333" s="100">
        <f t="shared" si="49"/>
        <v>0</v>
      </c>
      <c r="W333" s="101" t="b">
        <f t="shared" si="50"/>
        <v>1</v>
      </c>
      <c r="X333">
        <f t="shared" si="51"/>
        <v>0</v>
      </c>
    </row>
    <row r="334" spans="17:24" x14ac:dyDescent="0.25">
      <c r="Q334" s="49" t="str">
        <f t="shared" si="46"/>
        <v/>
      </c>
      <c r="R334" s="49" t="str">
        <f t="shared" si="47"/>
        <v/>
      </c>
      <c r="S334" s="63"/>
      <c r="T334" s="99">
        <f t="shared" si="48"/>
        <v>0</v>
      </c>
      <c r="V334" s="100">
        <f t="shared" si="49"/>
        <v>0</v>
      </c>
      <c r="W334" s="101" t="b">
        <f t="shared" si="50"/>
        <v>1</v>
      </c>
      <c r="X334">
        <f t="shared" si="51"/>
        <v>0</v>
      </c>
    </row>
    <row r="335" spans="17:24" x14ac:dyDescent="0.25">
      <c r="Q335" s="49" t="str">
        <f t="shared" si="46"/>
        <v/>
      </c>
      <c r="R335" s="49" t="str">
        <f t="shared" si="47"/>
        <v/>
      </c>
      <c r="S335" s="63"/>
      <c r="T335" s="99">
        <f t="shared" si="48"/>
        <v>0</v>
      </c>
      <c r="V335" s="100">
        <f t="shared" si="49"/>
        <v>0</v>
      </c>
      <c r="W335" s="101" t="b">
        <f t="shared" si="50"/>
        <v>1</v>
      </c>
      <c r="X335">
        <f t="shared" si="51"/>
        <v>0</v>
      </c>
    </row>
    <row r="336" spans="17:24" x14ac:dyDescent="0.25">
      <c r="Q336" s="49" t="str">
        <f t="shared" si="46"/>
        <v/>
      </c>
      <c r="R336" s="49" t="str">
        <f t="shared" si="47"/>
        <v/>
      </c>
      <c r="S336" s="63"/>
      <c r="T336" s="99">
        <f t="shared" si="48"/>
        <v>0</v>
      </c>
      <c r="V336" s="100">
        <f t="shared" si="49"/>
        <v>0</v>
      </c>
      <c r="W336" s="101" t="b">
        <f t="shared" si="50"/>
        <v>1</v>
      </c>
      <c r="X336">
        <f t="shared" si="51"/>
        <v>0</v>
      </c>
    </row>
    <row r="337" spans="17:24" x14ac:dyDescent="0.25">
      <c r="Q337" s="49" t="str">
        <f t="shared" si="46"/>
        <v/>
      </c>
      <c r="R337" s="49" t="str">
        <f t="shared" si="47"/>
        <v/>
      </c>
      <c r="S337" s="63"/>
      <c r="T337" s="99">
        <f t="shared" si="48"/>
        <v>0</v>
      </c>
      <c r="V337" s="100">
        <f t="shared" si="49"/>
        <v>0</v>
      </c>
      <c r="W337" s="101" t="b">
        <f t="shared" si="50"/>
        <v>1</v>
      </c>
      <c r="X337">
        <f t="shared" si="51"/>
        <v>0</v>
      </c>
    </row>
    <row r="338" spans="17:24" x14ac:dyDescent="0.25">
      <c r="Q338" s="49" t="str">
        <f t="shared" si="46"/>
        <v/>
      </c>
      <c r="R338" s="49" t="str">
        <f t="shared" si="47"/>
        <v/>
      </c>
      <c r="S338" s="63"/>
      <c r="T338" s="99">
        <f t="shared" si="48"/>
        <v>0</v>
      </c>
      <c r="V338" s="100">
        <f t="shared" si="49"/>
        <v>0</v>
      </c>
      <c r="W338" s="101" t="b">
        <f t="shared" si="50"/>
        <v>1</v>
      </c>
      <c r="X338">
        <f t="shared" si="51"/>
        <v>0</v>
      </c>
    </row>
    <row r="339" spans="17:24" x14ac:dyDescent="0.25">
      <c r="Q339" s="49" t="str">
        <f t="shared" si="46"/>
        <v/>
      </c>
      <c r="R339" s="49" t="str">
        <f t="shared" si="47"/>
        <v/>
      </c>
      <c r="S339" s="63"/>
      <c r="T339" s="99">
        <f t="shared" si="48"/>
        <v>0</v>
      </c>
      <c r="V339" s="100">
        <f t="shared" si="49"/>
        <v>0</v>
      </c>
      <c r="W339" s="101" t="b">
        <f t="shared" si="50"/>
        <v>1</v>
      </c>
      <c r="X339">
        <f t="shared" si="51"/>
        <v>0</v>
      </c>
    </row>
    <row r="340" spans="17:24" x14ac:dyDescent="0.25">
      <c r="Q340" s="49" t="str">
        <f t="shared" si="46"/>
        <v/>
      </c>
      <c r="R340" s="49" t="str">
        <f t="shared" si="47"/>
        <v/>
      </c>
      <c r="S340" s="63"/>
      <c r="T340" s="99">
        <f t="shared" si="48"/>
        <v>0</v>
      </c>
      <c r="V340" s="100">
        <f t="shared" si="49"/>
        <v>0</v>
      </c>
      <c r="W340" s="101" t="b">
        <f t="shared" si="50"/>
        <v>1</v>
      </c>
      <c r="X340">
        <f t="shared" si="51"/>
        <v>0</v>
      </c>
    </row>
    <row r="341" spans="17:24" x14ac:dyDescent="0.25">
      <c r="Q341" s="49" t="str">
        <f t="shared" si="46"/>
        <v/>
      </c>
      <c r="R341" s="49" t="str">
        <f t="shared" si="47"/>
        <v/>
      </c>
      <c r="S341" s="63"/>
      <c r="T341" s="99">
        <f t="shared" si="48"/>
        <v>0</v>
      </c>
      <c r="V341" s="100">
        <f t="shared" si="49"/>
        <v>0</v>
      </c>
      <c r="W341" s="101" t="b">
        <f t="shared" si="50"/>
        <v>1</v>
      </c>
      <c r="X341">
        <f t="shared" si="51"/>
        <v>0</v>
      </c>
    </row>
    <row r="342" spans="17:24" x14ac:dyDescent="0.25">
      <c r="Q342" s="49" t="str">
        <f t="shared" si="46"/>
        <v/>
      </c>
      <c r="R342" s="49" t="str">
        <f t="shared" si="47"/>
        <v/>
      </c>
      <c r="S342" s="63"/>
      <c r="T342" s="99">
        <f t="shared" si="48"/>
        <v>0</v>
      </c>
      <c r="V342" s="100">
        <f t="shared" si="49"/>
        <v>0</v>
      </c>
      <c r="W342" s="101" t="b">
        <f t="shared" si="50"/>
        <v>1</v>
      </c>
      <c r="X342">
        <f t="shared" si="51"/>
        <v>0</v>
      </c>
    </row>
    <row r="343" spans="17:24" x14ac:dyDescent="0.25">
      <c r="Q343" s="49" t="str">
        <f t="shared" si="46"/>
        <v/>
      </c>
      <c r="R343" s="49" t="str">
        <f t="shared" si="47"/>
        <v/>
      </c>
      <c r="S343" s="63"/>
      <c r="T343" s="99">
        <f t="shared" si="48"/>
        <v>0</v>
      </c>
      <c r="V343" s="100">
        <f t="shared" si="49"/>
        <v>0</v>
      </c>
      <c r="W343" s="101" t="b">
        <f t="shared" si="50"/>
        <v>1</v>
      </c>
      <c r="X343">
        <f t="shared" si="51"/>
        <v>0</v>
      </c>
    </row>
    <row r="344" spans="17:24" x14ac:dyDescent="0.25">
      <c r="Q344" s="49" t="str">
        <f t="shared" si="46"/>
        <v/>
      </c>
      <c r="R344" s="49" t="str">
        <f t="shared" si="47"/>
        <v/>
      </c>
      <c r="S344" s="63"/>
      <c r="T344" s="99">
        <f t="shared" si="48"/>
        <v>0</v>
      </c>
      <c r="V344" s="100">
        <f t="shared" si="49"/>
        <v>0</v>
      </c>
      <c r="W344" s="101" t="b">
        <f t="shared" si="50"/>
        <v>1</v>
      </c>
      <c r="X344">
        <f t="shared" si="51"/>
        <v>0</v>
      </c>
    </row>
    <row r="345" spans="17:24" x14ac:dyDescent="0.25">
      <c r="Q345" s="49" t="str">
        <f t="shared" si="46"/>
        <v/>
      </c>
      <c r="R345" s="49" t="str">
        <f t="shared" si="47"/>
        <v/>
      </c>
      <c r="S345" s="63"/>
      <c r="T345" s="99">
        <f t="shared" si="48"/>
        <v>0</v>
      </c>
      <c r="V345" s="100">
        <f t="shared" si="49"/>
        <v>0</v>
      </c>
      <c r="W345" s="101" t="b">
        <f t="shared" si="50"/>
        <v>1</v>
      </c>
      <c r="X345">
        <f t="shared" si="51"/>
        <v>0</v>
      </c>
    </row>
    <row r="346" spans="17:24" x14ac:dyDescent="0.25">
      <c r="Q346" s="49" t="str">
        <f t="shared" si="46"/>
        <v/>
      </c>
      <c r="R346" s="49" t="str">
        <f t="shared" si="47"/>
        <v/>
      </c>
      <c r="S346" s="63"/>
      <c r="T346" s="99">
        <f t="shared" si="48"/>
        <v>0</v>
      </c>
      <c r="V346" s="100">
        <f t="shared" si="49"/>
        <v>0</v>
      </c>
      <c r="W346" s="101" t="b">
        <f t="shared" si="50"/>
        <v>1</v>
      </c>
      <c r="X346">
        <f t="shared" si="51"/>
        <v>0</v>
      </c>
    </row>
    <row r="347" spans="17:24" x14ac:dyDescent="0.25">
      <c r="Q347" s="49" t="str">
        <f t="shared" si="46"/>
        <v/>
      </c>
      <c r="R347" s="49" t="str">
        <f t="shared" si="47"/>
        <v/>
      </c>
      <c r="S347" s="63"/>
      <c r="T347" s="99">
        <f t="shared" si="48"/>
        <v>0</v>
      </c>
      <c r="V347" s="100">
        <f t="shared" si="49"/>
        <v>0</v>
      </c>
      <c r="W347" s="101" t="b">
        <f t="shared" si="50"/>
        <v>1</v>
      </c>
      <c r="X347">
        <f t="shared" si="51"/>
        <v>0</v>
      </c>
    </row>
    <row r="348" spans="17:24" x14ac:dyDescent="0.25">
      <c r="Q348" s="49" t="str">
        <f t="shared" si="46"/>
        <v/>
      </c>
      <c r="R348" s="49" t="str">
        <f t="shared" si="47"/>
        <v/>
      </c>
      <c r="S348" s="63"/>
      <c r="T348" s="99">
        <f t="shared" si="48"/>
        <v>0</v>
      </c>
      <c r="V348" s="100">
        <f t="shared" si="49"/>
        <v>0</v>
      </c>
      <c r="W348" s="101" t="b">
        <f t="shared" si="50"/>
        <v>1</v>
      </c>
      <c r="X348">
        <f t="shared" si="51"/>
        <v>0</v>
      </c>
    </row>
  </sheetData>
  <autoFilter ref="L2:P2" xr:uid="{5633200A-A6FA-41A5-B1D1-5A08FB72E83C}">
    <sortState xmlns:xlrd2="http://schemas.microsoft.com/office/spreadsheetml/2017/richdata2" ref="L3:P348">
      <sortCondition ref="M2"/>
    </sortState>
  </autoFilter>
  <sortState xmlns:xlrd2="http://schemas.microsoft.com/office/spreadsheetml/2017/richdata2" ref="B3:I7">
    <sortCondition descending="1" ref="F3:F7"/>
    <sortCondition descending="1" ref="G3:G7"/>
    <sortCondition ref="B3:B7"/>
  </sortState>
  <mergeCells count="6">
    <mergeCell ref="A1:C1"/>
    <mergeCell ref="L1:M1"/>
    <mergeCell ref="S1:U1"/>
    <mergeCell ref="N1:P1"/>
    <mergeCell ref="E1:G1"/>
    <mergeCell ref="H1:I1"/>
  </mergeCells>
  <conditionalFormatting sqref="M1 M21:M1048576 L2 M3">
    <cfRule type="duplicateValues" dxfId="272" priority="14"/>
  </conditionalFormatting>
  <conditionalFormatting sqref="U3:U150">
    <cfRule type="containsText" dxfId="271" priority="13" operator="containsText" text="TONG">
      <formula>NOT(ISERROR(SEARCH("TONG",U3)))</formula>
    </cfRule>
  </conditionalFormatting>
  <conditionalFormatting sqref="S3:S348">
    <cfRule type="cellIs" dxfId="270" priority="12" operator="greaterThan">
      <formula>0</formula>
    </cfRule>
  </conditionalFormatting>
  <conditionalFormatting sqref="W3:W348">
    <cfRule type="cellIs" dxfId="269" priority="11" operator="notEqual">
      <formula>TRUE</formula>
    </cfRule>
  </conditionalFormatting>
  <conditionalFormatting sqref="U1:U1048576">
    <cfRule type="duplicateValues" dxfId="268" priority="10"/>
  </conditionalFormatting>
  <conditionalFormatting sqref="M1 L2 M3:M1048576">
    <cfRule type="containsText" dxfId="267" priority="9" operator="containsText" text="Grand Total">
      <formula>NOT(ISERROR(SEARCH("Grand Total",L1)))</formula>
    </cfRule>
  </conditionalFormatting>
  <conditionalFormatting sqref="V1:V1048576">
    <cfRule type="cellIs" dxfId="266" priority="7" operator="equal">
      <formula>0</formula>
    </cfRule>
  </conditionalFormatting>
  <conditionalFormatting sqref="X1">
    <cfRule type="cellIs" dxfId="265" priority="6" operator="equal">
      <formula>0</formula>
    </cfRule>
  </conditionalFormatting>
  <conditionalFormatting sqref="S3:W1000">
    <cfRule type="expression" dxfId="264" priority="5">
      <formula>$W3=FALSE</formula>
    </cfRule>
  </conditionalFormatting>
  <conditionalFormatting sqref="F13">
    <cfRule type="expression" dxfId="263" priority="3">
      <formula>AND(ISNUMBER($G3), $G3&lt;&gt;INT($G3))</formula>
    </cfRule>
  </conditionalFormatting>
  <conditionalFormatting sqref="A3:C1000">
    <cfRule type="expression" dxfId="262" priority="4">
      <formula>COUNTIF($B$3:$B$1000, $B3)&gt;1</formula>
    </cfRule>
  </conditionalFormatting>
  <conditionalFormatting sqref="A3:B1000 G3:G1000">
    <cfRule type="expression" dxfId="261" priority="2">
      <formula>MOD($G3,1)&lt;&gt;0</formula>
    </cfRule>
    <cfRule type="expression" dxfId="260" priority="16">
      <formula>$G3=0</formula>
    </cfRule>
  </conditionalFormatting>
  <conditionalFormatting sqref="X4:X348">
    <cfRule type="duplicateValues" dxfId="259" priority="1"/>
  </conditionalFormatting>
  <pageMargins left="0.45" right="0.45" top="0.25" bottom="0.5" header="0.3" footer="0.3"/>
  <pageSetup paperSize="11" scale="1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IMPORTXLSXSTABLETRACKING">
                <anchor>
                  <from>
                    <xdr:col>9</xdr:col>
                    <xdr:colOff>457200</xdr:colOff>
                    <xdr:row>0</xdr:row>
                    <xdr:rowOff>47625</xdr:rowOff>
                  </from>
                  <to>
                    <xdr:col>10</xdr:col>
                    <xdr:colOff>723900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5" name="Button 14">
              <controlPr defaultSize="0" print="0" autoFill="0" autoPict="0" macro="[0]!ImportXLSXPack">
                <anchor>
                  <from>
                    <xdr:col>9</xdr:col>
                    <xdr:colOff>457200</xdr:colOff>
                    <xdr:row>0</xdr:row>
                    <xdr:rowOff>581025</xdr:rowOff>
                  </from>
                  <to>
                    <xdr:col>10</xdr:col>
                    <xdr:colOff>409575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9F9E-D6FF-4407-A44C-496FE5496FCE}">
  <sheetPr codeName="Sheet13"/>
  <dimension ref="A1:EG15"/>
  <sheetViews>
    <sheetView workbookViewId="0">
      <selection activeCell="C3" sqref="A3:XFD3"/>
    </sheetView>
  </sheetViews>
  <sheetFormatPr defaultRowHeight="15" x14ac:dyDescent="0.25"/>
  <cols>
    <col min="3" max="3" width="12.28515625" bestFit="1" customWidth="1"/>
  </cols>
  <sheetData>
    <row r="1" spans="1:137" ht="52.5" thickBot="1" x14ac:dyDescent="0.3">
      <c r="A1" s="146" t="s">
        <v>3656</v>
      </c>
      <c r="B1" s="147" t="s">
        <v>3657</v>
      </c>
      <c r="C1" s="148" t="s">
        <v>3514</v>
      </c>
      <c r="D1" s="148" t="s">
        <v>3658</v>
      </c>
      <c r="E1" s="148" t="s">
        <v>3659</v>
      </c>
      <c r="F1" s="148" t="s">
        <v>3660</v>
      </c>
      <c r="G1" s="148" t="s">
        <v>3661</v>
      </c>
      <c r="H1" s="148" t="s">
        <v>3662</v>
      </c>
      <c r="I1" s="148" t="s">
        <v>3663</v>
      </c>
      <c r="J1" s="148" t="s">
        <v>3664</v>
      </c>
      <c r="K1" s="148" t="s">
        <v>3665</v>
      </c>
      <c r="L1" s="148" t="s">
        <v>3666</v>
      </c>
      <c r="M1" s="148" t="s">
        <v>3266</v>
      </c>
      <c r="N1" s="148" t="s">
        <v>3667</v>
      </c>
      <c r="O1" s="148" t="s">
        <v>3668</v>
      </c>
      <c r="P1" s="148" t="s">
        <v>3669</v>
      </c>
      <c r="Q1" s="148" t="s">
        <v>3670</v>
      </c>
      <c r="R1" s="148" t="s">
        <v>3671</v>
      </c>
      <c r="S1" s="148" t="s">
        <v>3672</v>
      </c>
      <c r="T1" s="148" t="s">
        <v>3673</v>
      </c>
      <c r="U1" s="148" t="s">
        <v>3674</v>
      </c>
      <c r="V1" s="148" t="s">
        <v>3675</v>
      </c>
      <c r="W1" s="148" t="s">
        <v>3676</v>
      </c>
      <c r="X1" s="148" t="s">
        <v>3677</v>
      </c>
      <c r="Y1" s="148" t="s">
        <v>3678</v>
      </c>
      <c r="Z1" s="148" t="s">
        <v>3679</v>
      </c>
      <c r="AA1" s="148" t="s">
        <v>3680</v>
      </c>
      <c r="AB1" s="148" t="s">
        <v>3681</v>
      </c>
      <c r="AC1" s="148" t="s">
        <v>3682</v>
      </c>
      <c r="AD1" s="148" t="s">
        <v>3683</v>
      </c>
      <c r="AE1" s="148" t="s">
        <v>3684</v>
      </c>
      <c r="AF1" s="148" t="s">
        <v>3685</v>
      </c>
      <c r="AG1" s="148" t="s">
        <v>3686</v>
      </c>
      <c r="AH1" s="148" t="s">
        <v>3687</v>
      </c>
      <c r="AI1" s="148" t="s">
        <v>3515</v>
      </c>
      <c r="AJ1" s="148" t="s">
        <v>3688</v>
      </c>
      <c r="AK1" s="148" t="s">
        <v>3689</v>
      </c>
      <c r="AL1" s="148" t="s">
        <v>3516</v>
      </c>
      <c r="AM1" s="148" t="s">
        <v>3690</v>
      </c>
      <c r="AN1" s="148" t="s">
        <v>3691</v>
      </c>
      <c r="AO1" s="148" t="s">
        <v>3692</v>
      </c>
      <c r="AP1" s="148" t="s">
        <v>3693</v>
      </c>
      <c r="AQ1" s="148" t="s">
        <v>3694</v>
      </c>
      <c r="AR1" s="148" t="s">
        <v>3695</v>
      </c>
      <c r="AS1" s="148" t="s">
        <v>3696</v>
      </c>
      <c r="AT1" s="148" t="s">
        <v>3697</v>
      </c>
      <c r="AU1" s="148" t="s">
        <v>3698</v>
      </c>
      <c r="AV1" s="148" t="s">
        <v>3699</v>
      </c>
      <c r="AW1" s="148" t="s">
        <v>3700</v>
      </c>
      <c r="AX1" s="148" t="s">
        <v>3701</v>
      </c>
      <c r="AY1" s="148" t="s">
        <v>3702</v>
      </c>
      <c r="AZ1" s="148" t="s">
        <v>3703</v>
      </c>
      <c r="BA1" s="148" t="s">
        <v>3704</v>
      </c>
      <c r="BB1" s="148" t="s">
        <v>3705</v>
      </c>
      <c r="BC1" s="148" t="s">
        <v>3706</v>
      </c>
      <c r="BD1" s="148" t="s">
        <v>3707</v>
      </c>
      <c r="BE1" s="148" t="s">
        <v>3708</v>
      </c>
      <c r="BF1" s="148" t="s">
        <v>3709</v>
      </c>
      <c r="BG1" s="148" t="s">
        <v>3710</v>
      </c>
      <c r="BH1" s="148" t="s">
        <v>3711</v>
      </c>
      <c r="BI1" s="148" t="s">
        <v>3712</v>
      </c>
      <c r="BJ1" s="148" t="s">
        <v>3713</v>
      </c>
      <c r="BK1" s="148" t="s">
        <v>3714</v>
      </c>
      <c r="BL1" s="148" t="s">
        <v>3715</v>
      </c>
      <c r="BM1" s="148" t="s">
        <v>3716</v>
      </c>
      <c r="BN1" s="148" t="s">
        <v>3717</v>
      </c>
      <c r="BO1" s="148" t="s">
        <v>3718</v>
      </c>
      <c r="BP1" s="148" t="s">
        <v>3719</v>
      </c>
      <c r="BQ1" s="148" t="s">
        <v>3720</v>
      </c>
      <c r="BR1" s="148" t="s">
        <v>3721</v>
      </c>
      <c r="BS1" s="148" t="s">
        <v>3722</v>
      </c>
      <c r="BT1" s="148" t="s">
        <v>3723</v>
      </c>
      <c r="BU1" s="148" t="s">
        <v>3724</v>
      </c>
      <c r="BV1" s="148" t="s">
        <v>3725</v>
      </c>
      <c r="BW1" s="148" t="s">
        <v>3726</v>
      </c>
      <c r="BX1" s="148" t="s">
        <v>3727</v>
      </c>
      <c r="BY1" s="148" t="s">
        <v>3728</v>
      </c>
      <c r="BZ1" s="148" t="s">
        <v>3729</v>
      </c>
      <c r="CA1" s="148" t="s">
        <v>3269</v>
      </c>
      <c r="CB1" s="148" t="s">
        <v>3730</v>
      </c>
      <c r="CC1" s="148" t="s">
        <v>3731</v>
      </c>
      <c r="CD1" s="148" t="s">
        <v>3732</v>
      </c>
      <c r="CE1" s="148" t="s">
        <v>3733</v>
      </c>
      <c r="CF1" s="148" t="s">
        <v>3734</v>
      </c>
      <c r="CG1" s="148" t="s">
        <v>3735</v>
      </c>
      <c r="CH1" s="148" t="s">
        <v>3736</v>
      </c>
      <c r="CI1" s="148" t="s">
        <v>3737</v>
      </c>
      <c r="CJ1" s="148" t="s">
        <v>3738</v>
      </c>
      <c r="CK1" s="148" t="s">
        <v>3739</v>
      </c>
      <c r="CL1" s="148" t="s">
        <v>3740</v>
      </c>
      <c r="CM1" s="148" t="s">
        <v>3741</v>
      </c>
      <c r="CN1" s="148" t="s">
        <v>3742</v>
      </c>
      <c r="CO1" s="148" t="s">
        <v>3743</v>
      </c>
      <c r="CP1" s="148" t="s">
        <v>3744</v>
      </c>
      <c r="CQ1" s="148" t="s">
        <v>3745</v>
      </c>
      <c r="CR1" s="148" t="s">
        <v>3746</v>
      </c>
      <c r="CS1" s="148" t="s">
        <v>3747</v>
      </c>
      <c r="CT1" s="148" t="s">
        <v>3748</v>
      </c>
      <c r="CU1" s="148" t="s">
        <v>3749</v>
      </c>
      <c r="CV1" s="148" t="s">
        <v>3750</v>
      </c>
      <c r="CW1" s="148" t="s">
        <v>3751</v>
      </c>
      <c r="CX1" s="149" t="s">
        <v>3752</v>
      </c>
      <c r="CY1" s="149" t="s">
        <v>3753</v>
      </c>
      <c r="CZ1" s="149" t="s">
        <v>3754</v>
      </c>
      <c r="DA1" s="149" t="s">
        <v>3755</v>
      </c>
      <c r="DB1" s="149" t="s">
        <v>3756</v>
      </c>
      <c r="DC1" s="149" t="s">
        <v>3757</v>
      </c>
      <c r="DD1" s="149" t="s">
        <v>3758</v>
      </c>
      <c r="DE1" s="149" t="s">
        <v>3759</v>
      </c>
      <c r="DF1" s="149" t="s">
        <v>3760</v>
      </c>
      <c r="DG1" s="149" t="s">
        <v>3761</v>
      </c>
      <c r="DH1" s="149" t="s">
        <v>3762</v>
      </c>
      <c r="DI1" s="149" t="s">
        <v>3763</v>
      </c>
      <c r="DJ1" s="149" t="s">
        <v>3764</v>
      </c>
      <c r="DK1" s="149" t="s">
        <v>3765</v>
      </c>
      <c r="DL1" s="149" t="s">
        <v>3766</v>
      </c>
      <c r="DM1" s="149" t="s">
        <v>3767</v>
      </c>
      <c r="DN1" s="149" t="s">
        <v>3768</v>
      </c>
      <c r="DO1" s="149" t="s">
        <v>3769</v>
      </c>
      <c r="DP1" s="149" t="s">
        <v>3770</v>
      </c>
      <c r="DQ1" s="149" t="s">
        <v>3771</v>
      </c>
      <c r="DR1" s="149" t="s">
        <v>3772</v>
      </c>
      <c r="DS1" s="149" t="s">
        <v>3773</v>
      </c>
      <c r="DT1" s="149" t="s">
        <v>3774</v>
      </c>
      <c r="DU1" s="149" t="s">
        <v>3775</v>
      </c>
      <c r="DV1" s="149" t="s">
        <v>3776</v>
      </c>
      <c r="DW1" s="149" t="s">
        <v>3777</v>
      </c>
      <c r="DX1" t="s">
        <v>3778</v>
      </c>
      <c r="DY1" t="s">
        <v>3779</v>
      </c>
      <c r="DZ1" t="s">
        <v>3780</v>
      </c>
      <c r="EA1" t="s">
        <v>3781</v>
      </c>
      <c r="EB1" t="s">
        <v>3782</v>
      </c>
      <c r="EC1" t="s">
        <v>3783</v>
      </c>
      <c r="ED1" t="s">
        <v>3784</v>
      </c>
      <c r="EE1" t="s">
        <v>3785</v>
      </c>
      <c r="EF1" t="s">
        <v>3786</v>
      </c>
      <c r="EG1" t="s">
        <v>3787</v>
      </c>
    </row>
    <row r="2" spans="1:137" x14ac:dyDescent="0.25">
      <c r="A2" t="s">
        <v>3788</v>
      </c>
      <c r="B2" t="s">
        <v>3657</v>
      </c>
      <c r="C2" t="s">
        <v>0</v>
      </c>
      <c r="D2" t="s">
        <v>3789</v>
      </c>
      <c r="E2" t="s">
        <v>3790</v>
      </c>
      <c r="F2" t="s">
        <v>3791</v>
      </c>
      <c r="G2" t="s">
        <v>3792</v>
      </c>
      <c r="H2" t="s">
        <v>3793</v>
      </c>
      <c r="I2" t="s">
        <v>3794</v>
      </c>
      <c r="J2" t="s">
        <v>3795</v>
      </c>
      <c r="K2" t="s">
        <v>3796</v>
      </c>
      <c r="L2" t="s">
        <v>3797</v>
      </c>
      <c r="M2" t="s">
        <v>3798</v>
      </c>
      <c r="N2" t="s">
        <v>3799</v>
      </c>
      <c r="O2" t="s">
        <v>3800</v>
      </c>
      <c r="P2" t="s">
        <v>3801</v>
      </c>
      <c r="Q2" t="s">
        <v>3802</v>
      </c>
      <c r="R2" t="s">
        <v>3803</v>
      </c>
      <c r="S2" t="s">
        <v>3804</v>
      </c>
      <c r="T2" t="s">
        <v>3805</v>
      </c>
      <c r="U2" t="s">
        <v>3806</v>
      </c>
      <c r="V2" t="s">
        <v>3807</v>
      </c>
      <c r="W2" t="s">
        <v>3808</v>
      </c>
      <c r="X2" t="s">
        <v>3809</v>
      </c>
      <c r="Y2" t="s">
        <v>3810</v>
      </c>
      <c r="Z2" t="s">
        <v>3811</v>
      </c>
      <c r="AA2" t="s">
        <v>3812</v>
      </c>
      <c r="AB2" t="s">
        <v>3813</v>
      </c>
      <c r="AC2" t="s">
        <v>14</v>
      </c>
      <c r="AD2" t="s">
        <v>3814</v>
      </c>
      <c r="AE2" t="s">
        <v>3815</v>
      </c>
      <c r="AF2" t="s">
        <v>3816</v>
      </c>
      <c r="AG2" t="s">
        <v>3817</v>
      </c>
      <c r="AH2" t="s">
        <v>3818</v>
      </c>
      <c r="AI2" t="s">
        <v>3819</v>
      </c>
      <c r="AJ2" t="s">
        <v>3688</v>
      </c>
      <c r="AK2" t="s">
        <v>3820</v>
      </c>
      <c r="AL2" t="s">
        <v>3821</v>
      </c>
      <c r="AM2" t="s">
        <v>3822</v>
      </c>
      <c r="AN2" t="s">
        <v>3823</v>
      </c>
      <c r="AO2" t="s">
        <v>3824</v>
      </c>
      <c r="AP2" t="s">
        <v>3825</v>
      </c>
      <c r="AQ2" t="s">
        <v>3826</v>
      </c>
      <c r="AR2" t="s">
        <v>3827</v>
      </c>
      <c r="AS2" t="s">
        <v>3828</v>
      </c>
      <c r="AT2" t="s">
        <v>3829</v>
      </c>
      <c r="AU2" t="s">
        <v>3830</v>
      </c>
      <c r="AV2" t="s">
        <v>3831</v>
      </c>
      <c r="AW2" t="s">
        <v>3832</v>
      </c>
      <c r="AX2" t="s">
        <v>3833</v>
      </c>
      <c r="AY2" t="s">
        <v>3834</v>
      </c>
      <c r="AZ2" t="s">
        <v>3835</v>
      </c>
      <c r="BA2" t="s">
        <v>3836</v>
      </c>
      <c r="BB2" t="s">
        <v>3837</v>
      </c>
      <c r="BC2" t="s">
        <v>3838</v>
      </c>
      <c r="BD2" t="s">
        <v>3839</v>
      </c>
      <c r="BE2" t="s">
        <v>3840</v>
      </c>
      <c r="BF2" t="s">
        <v>3841</v>
      </c>
      <c r="BG2" t="s">
        <v>3842</v>
      </c>
      <c r="BH2" t="s">
        <v>3843</v>
      </c>
      <c r="BI2" t="s">
        <v>3844</v>
      </c>
      <c r="BJ2" t="s">
        <v>3845</v>
      </c>
      <c r="BK2" t="s">
        <v>3836</v>
      </c>
      <c r="BL2" t="s">
        <v>3846</v>
      </c>
      <c r="BM2" t="s">
        <v>3847</v>
      </c>
      <c r="BN2" t="s">
        <v>3848</v>
      </c>
      <c r="BO2" t="s">
        <v>3849</v>
      </c>
      <c r="BP2" t="s">
        <v>3850</v>
      </c>
      <c r="BQ2" t="s">
        <v>3851</v>
      </c>
      <c r="BR2" t="s">
        <v>3852</v>
      </c>
      <c r="BS2" t="s">
        <v>3853</v>
      </c>
      <c r="BT2" t="s">
        <v>3854</v>
      </c>
      <c r="BU2" t="s">
        <v>3855</v>
      </c>
      <c r="BV2" t="s">
        <v>3856</v>
      </c>
      <c r="BW2" t="s">
        <v>3857</v>
      </c>
      <c r="BX2" t="s">
        <v>3858</v>
      </c>
      <c r="BY2" t="s">
        <v>3859</v>
      </c>
      <c r="BZ2" t="s">
        <v>3860</v>
      </c>
      <c r="CA2" t="s">
        <v>3861</v>
      </c>
      <c r="CB2" t="s">
        <v>3862</v>
      </c>
      <c r="CC2" t="s">
        <v>3863</v>
      </c>
      <c r="CD2" t="s">
        <v>3864</v>
      </c>
      <c r="CE2" t="s">
        <v>3865</v>
      </c>
      <c r="CF2" t="s">
        <v>3866</v>
      </c>
      <c r="CG2" t="s">
        <v>3867</v>
      </c>
      <c r="CH2" t="s">
        <v>3868</v>
      </c>
      <c r="CI2" t="s">
        <v>3869</v>
      </c>
      <c r="CJ2" t="s">
        <v>3870</v>
      </c>
      <c r="CK2" t="s">
        <v>3871</v>
      </c>
      <c r="CL2" t="s">
        <v>3872</v>
      </c>
      <c r="CM2" t="s">
        <v>3873</v>
      </c>
      <c r="CN2" t="s">
        <v>3171</v>
      </c>
      <c r="CO2" t="s">
        <v>3874</v>
      </c>
      <c r="CP2" t="s">
        <v>18</v>
      </c>
      <c r="CQ2" t="s">
        <v>3165</v>
      </c>
      <c r="CR2" t="s">
        <v>3875</v>
      </c>
      <c r="CS2" t="s">
        <v>3876</v>
      </c>
      <c r="CT2" t="s">
        <v>3877</v>
      </c>
      <c r="CU2" t="s">
        <v>3878</v>
      </c>
      <c r="CV2" t="s">
        <v>3879</v>
      </c>
      <c r="CW2" t="s">
        <v>3880</v>
      </c>
      <c r="CX2" t="s">
        <v>3881</v>
      </c>
      <c r="CY2" t="s">
        <v>3882</v>
      </c>
      <c r="CZ2" t="s">
        <v>3883</v>
      </c>
      <c r="DA2" t="s">
        <v>3884</v>
      </c>
      <c r="DB2" t="s">
        <v>3885</v>
      </c>
      <c r="DC2" t="s">
        <v>3886</v>
      </c>
      <c r="DD2" t="s">
        <v>3887</v>
      </c>
      <c r="DE2" t="s">
        <v>3888</v>
      </c>
      <c r="DF2" t="s">
        <v>3889</v>
      </c>
      <c r="DG2" t="s">
        <v>3890</v>
      </c>
      <c r="DH2" t="s">
        <v>3891</v>
      </c>
      <c r="DI2" t="s">
        <v>3892</v>
      </c>
      <c r="DJ2" t="s">
        <v>3893</v>
      </c>
      <c r="DK2" t="s">
        <v>3894</v>
      </c>
      <c r="DL2" t="s">
        <v>3895</v>
      </c>
      <c r="DM2" t="s">
        <v>3896</v>
      </c>
      <c r="DN2" t="s">
        <v>3897</v>
      </c>
      <c r="DO2" t="s">
        <v>3898</v>
      </c>
      <c r="DP2" t="s">
        <v>3899</v>
      </c>
      <c r="DQ2" t="s">
        <v>3900</v>
      </c>
      <c r="DR2" t="s">
        <v>3901</v>
      </c>
      <c r="DS2" t="s">
        <v>3902</v>
      </c>
      <c r="DT2" t="s">
        <v>3903</v>
      </c>
      <c r="DU2" t="s">
        <v>3904</v>
      </c>
      <c r="DV2" t="s">
        <v>3905</v>
      </c>
      <c r="DW2" t="s">
        <v>3906</v>
      </c>
      <c r="DX2" t="s">
        <v>3907</v>
      </c>
      <c r="DY2" t="s">
        <v>3908</v>
      </c>
      <c r="DZ2" t="s">
        <v>3909</v>
      </c>
      <c r="EA2" t="s">
        <v>3910</v>
      </c>
      <c r="EB2" t="s">
        <v>3911</v>
      </c>
      <c r="EC2" t="s">
        <v>3912</v>
      </c>
      <c r="ED2" t="s">
        <v>3913</v>
      </c>
      <c r="EE2" t="s">
        <v>3914</v>
      </c>
      <c r="EF2" t="s">
        <v>3915</v>
      </c>
      <c r="EG2" t="s">
        <v>3916</v>
      </c>
    </row>
    <row r="3" spans="1:137" x14ac:dyDescent="0.25">
      <c r="A3" t="s">
        <v>24</v>
      </c>
      <c r="B3" t="s">
        <v>24</v>
      </c>
      <c r="C3" t="s">
        <v>4320</v>
      </c>
      <c r="D3" t="s">
        <v>3917</v>
      </c>
      <c r="E3" t="s">
        <v>3182</v>
      </c>
      <c r="F3" t="s">
        <v>24</v>
      </c>
      <c r="G3" t="s">
        <v>4325</v>
      </c>
      <c r="H3" t="s">
        <v>3182</v>
      </c>
      <c r="I3" t="s">
        <v>24</v>
      </c>
      <c r="J3" t="s">
        <v>24</v>
      </c>
      <c r="K3" t="s">
        <v>24</v>
      </c>
      <c r="L3" t="s">
        <v>4323</v>
      </c>
      <c r="M3" t="s">
        <v>26</v>
      </c>
      <c r="N3" t="s">
        <v>3918</v>
      </c>
      <c r="O3" t="s">
        <v>24</v>
      </c>
      <c r="P3" t="s">
        <v>24</v>
      </c>
      <c r="Q3" t="s">
        <v>24</v>
      </c>
      <c r="R3" t="s">
        <v>24</v>
      </c>
      <c r="S3" t="s">
        <v>24</v>
      </c>
      <c r="T3" t="s">
        <v>24</v>
      </c>
      <c r="U3" t="s">
        <v>24</v>
      </c>
      <c r="V3" t="s">
        <v>24</v>
      </c>
      <c r="W3" t="s">
        <v>24</v>
      </c>
      <c r="X3" t="s">
        <v>24</v>
      </c>
      <c r="Y3" t="s">
        <v>24</v>
      </c>
      <c r="Z3" t="s">
        <v>24</v>
      </c>
      <c r="AA3" t="s">
        <v>24</v>
      </c>
      <c r="AB3" t="s">
        <v>24</v>
      </c>
      <c r="AC3" t="s">
        <v>24</v>
      </c>
      <c r="AD3" t="s">
        <v>24</v>
      </c>
      <c r="AE3" t="s">
        <v>24</v>
      </c>
      <c r="AF3" t="s">
        <v>4323</v>
      </c>
      <c r="AG3" t="s">
        <v>24</v>
      </c>
      <c r="AH3" t="s">
        <v>26</v>
      </c>
      <c r="AI3" t="s">
        <v>4326</v>
      </c>
      <c r="AJ3" t="s">
        <v>24</v>
      </c>
      <c r="AK3" t="s">
        <v>24</v>
      </c>
      <c r="AL3" t="s">
        <v>4327</v>
      </c>
      <c r="AM3" t="s">
        <v>4328</v>
      </c>
      <c r="AN3" t="s">
        <v>24</v>
      </c>
      <c r="AO3" t="s">
        <v>3919</v>
      </c>
      <c r="AP3" t="s">
        <v>26</v>
      </c>
      <c r="AQ3" t="s">
        <v>24</v>
      </c>
      <c r="AR3" t="s">
        <v>24</v>
      </c>
      <c r="AS3" t="s">
        <v>24</v>
      </c>
      <c r="AT3" t="s">
        <v>24</v>
      </c>
      <c r="AU3" t="s">
        <v>24</v>
      </c>
      <c r="AV3" t="s">
        <v>24</v>
      </c>
      <c r="AW3" t="s">
        <v>24</v>
      </c>
      <c r="AX3" t="s">
        <v>24</v>
      </c>
      <c r="AY3" t="s">
        <v>24</v>
      </c>
      <c r="AZ3" t="s">
        <v>24</v>
      </c>
      <c r="BA3" t="s">
        <v>24</v>
      </c>
      <c r="BB3" t="s">
        <v>24</v>
      </c>
      <c r="BC3" t="s">
        <v>24</v>
      </c>
      <c r="BD3" t="s">
        <v>4165</v>
      </c>
      <c r="BE3" t="s">
        <v>4166</v>
      </c>
      <c r="BF3" t="s">
        <v>24</v>
      </c>
      <c r="BG3" t="s">
        <v>24</v>
      </c>
      <c r="BH3" t="s">
        <v>24</v>
      </c>
      <c r="BI3" t="s">
        <v>24</v>
      </c>
      <c r="BJ3" t="s">
        <v>24</v>
      </c>
      <c r="BK3" t="s">
        <v>24</v>
      </c>
      <c r="BL3" t="s">
        <v>24</v>
      </c>
      <c r="BM3" t="s">
        <v>24</v>
      </c>
      <c r="BN3" t="s">
        <v>24</v>
      </c>
      <c r="BO3" t="s">
        <v>24</v>
      </c>
      <c r="BP3" t="s">
        <v>24</v>
      </c>
      <c r="BQ3" t="s">
        <v>24</v>
      </c>
      <c r="BR3" t="s">
        <v>24</v>
      </c>
      <c r="BS3" t="s">
        <v>3182</v>
      </c>
      <c r="BT3" t="s">
        <v>24</v>
      </c>
      <c r="BU3" t="s">
        <v>24</v>
      </c>
      <c r="BV3" t="s">
        <v>24</v>
      </c>
      <c r="BW3" t="s">
        <v>24</v>
      </c>
      <c r="BX3" t="s">
        <v>24</v>
      </c>
      <c r="BY3" t="s">
        <v>24</v>
      </c>
      <c r="BZ3" t="s">
        <v>24</v>
      </c>
      <c r="CA3" t="s">
        <v>24</v>
      </c>
      <c r="CB3" t="s">
        <v>24</v>
      </c>
      <c r="CC3" t="s">
        <v>24</v>
      </c>
      <c r="CD3" t="s">
        <v>24</v>
      </c>
      <c r="CE3" t="s">
        <v>24</v>
      </c>
      <c r="CF3" t="s">
        <v>24</v>
      </c>
      <c r="CG3" t="s">
        <v>24</v>
      </c>
      <c r="CH3" t="s">
        <v>24</v>
      </c>
      <c r="CI3" t="s">
        <v>3920</v>
      </c>
      <c r="CJ3" t="s">
        <v>24</v>
      </c>
      <c r="CK3" t="s">
        <v>24</v>
      </c>
      <c r="CL3" t="s">
        <v>24</v>
      </c>
      <c r="CM3" t="s">
        <v>24</v>
      </c>
      <c r="CN3" t="s">
        <v>4323</v>
      </c>
      <c r="CO3" t="s">
        <v>3517</v>
      </c>
      <c r="CP3" t="s">
        <v>4323</v>
      </c>
      <c r="CQ3" t="s">
        <v>3517</v>
      </c>
      <c r="CR3" t="s">
        <v>24</v>
      </c>
      <c r="CS3" t="s">
        <v>24</v>
      </c>
      <c r="CT3" t="s">
        <v>24</v>
      </c>
      <c r="CU3" t="s">
        <v>24</v>
      </c>
      <c r="CV3" t="s">
        <v>24</v>
      </c>
      <c r="CW3" t="s">
        <v>24</v>
      </c>
      <c r="CX3" t="s">
        <v>26</v>
      </c>
      <c r="CY3" t="s">
        <v>24</v>
      </c>
      <c r="CZ3" t="s">
        <v>24</v>
      </c>
      <c r="DA3" t="s">
        <v>24</v>
      </c>
      <c r="DB3" t="s">
        <v>24</v>
      </c>
      <c r="DC3" t="s">
        <v>24</v>
      </c>
      <c r="DD3" t="s">
        <v>24</v>
      </c>
      <c r="DE3" t="s">
        <v>24</v>
      </c>
      <c r="DF3" t="s">
        <v>3921</v>
      </c>
      <c r="DG3" t="s">
        <v>24</v>
      </c>
      <c r="DH3" t="s">
        <v>24</v>
      </c>
      <c r="DI3" t="s">
        <v>24</v>
      </c>
      <c r="DJ3" t="s">
        <v>24</v>
      </c>
      <c r="DK3" t="s">
        <v>24</v>
      </c>
      <c r="DL3" t="s">
        <v>24</v>
      </c>
      <c r="DM3" t="s">
        <v>24</v>
      </c>
      <c r="DN3" t="s">
        <v>4323</v>
      </c>
      <c r="DO3" t="s">
        <v>4323</v>
      </c>
      <c r="DP3" t="s">
        <v>24</v>
      </c>
      <c r="DQ3" t="s">
        <v>24</v>
      </c>
      <c r="DR3" t="s">
        <v>24</v>
      </c>
      <c r="DS3" t="s">
        <v>24</v>
      </c>
      <c r="DT3" t="s">
        <v>24</v>
      </c>
      <c r="DU3" t="s">
        <v>24</v>
      </c>
      <c r="DV3" t="s">
        <v>24</v>
      </c>
      <c r="DW3" t="s">
        <v>24</v>
      </c>
      <c r="DX3" t="s">
        <v>24</v>
      </c>
      <c r="DY3" t="s">
        <v>24</v>
      </c>
      <c r="DZ3" t="s">
        <v>24</v>
      </c>
      <c r="EA3" t="s">
        <v>24</v>
      </c>
      <c r="EB3" t="s">
        <v>24</v>
      </c>
      <c r="EC3" t="s">
        <v>24</v>
      </c>
      <c r="ED3" t="s">
        <v>24</v>
      </c>
      <c r="EE3" t="s">
        <v>24</v>
      </c>
      <c r="EF3" t="s">
        <v>24</v>
      </c>
      <c r="EG3" t="s">
        <v>24</v>
      </c>
    </row>
    <row r="4" spans="1:137" x14ac:dyDescent="0.25">
      <c r="A4" t="s">
        <v>24</v>
      </c>
      <c r="B4" t="s">
        <v>24</v>
      </c>
      <c r="C4" t="s">
        <v>4153</v>
      </c>
      <c r="D4" t="s">
        <v>3917</v>
      </c>
      <c r="E4" t="s">
        <v>3182</v>
      </c>
      <c r="F4" t="s">
        <v>24</v>
      </c>
      <c r="G4" t="s">
        <v>4161</v>
      </c>
      <c r="H4" t="s">
        <v>3182</v>
      </c>
      <c r="I4" t="s">
        <v>24</v>
      </c>
      <c r="J4" t="s">
        <v>24</v>
      </c>
      <c r="K4" t="s">
        <v>24</v>
      </c>
      <c r="L4" t="s">
        <v>4155</v>
      </c>
      <c r="M4" t="s">
        <v>26</v>
      </c>
      <c r="N4" t="s">
        <v>3918</v>
      </c>
      <c r="O4" t="s">
        <v>24</v>
      </c>
      <c r="P4" t="s">
        <v>24</v>
      </c>
      <c r="Q4" t="s">
        <v>24</v>
      </c>
      <c r="R4" t="s">
        <v>24</v>
      </c>
      <c r="S4" t="s">
        <v>24</v>
      </c>
      <c r="T4" t="s">
        <v>24</v>
      </c>
      <c r="U4" t="s">
        <v>24</v>
      </c>
      <c r="V4" t="s">
        <v>24</v>
      </c>
      <c r="W4" t="s">
        <v>24</v>
      </c>
      <c r="X4" t="s">
        <v>24</v>
      </c>
      <c r="Y4" t="s">
        <v>24</v>
      </c>
      <c r="Z4" t="s">
        <v>24</v>
      </c>
      <c r="AA4" t="s">
        <v>24</v>
      </c>
      <c r="AB4" t="s">
        <v>24</v>
      </c>
      <c r="AC4" t="s">
        <v>24</v>
      </c>
      <c r="AD4" t="s">
        <v>24</v>
      </c>
      <c r="AE4" t="s">
        <v>24</v>
      </c>
      <c r="AF4" t="s">
        <v>4155</v>
      </c>
      <c r="AG4" t="s">
        <v>24</v>
      </c>
      <c r="AH4" t="s">
        <v>26</v>
      </c>
      <c r="AI4" t="s">
        <v>4162</v>
      </c>
      <c r="AJ4" t="s">
        <v>24</v>
      </c>
      <c r="AK4" t="s">
        <v>24</v>
      </c>
      <c r="AL4" t="s">
        <v>4163</v>
      </c>
      <c r="AM4" t="s">
        <v>4164</v>
      </c>
      <c r="AN4" t="s">
        <v>24</v>
      </c>
      <c r="AO4" t="s">
        <v>3919</v>
      </c>
      <c r="AP4" t="s">
        <v>26</v>
      </c>
      <c r="AQ4" t="s">
        <v>24</v>
      </c>
      <c r="AR4" t="s">
        <v>24</v>
      </c>
      <c r="AS4" t="s">
        <v>24</v>
      </c>
      <c r="AT4" t="s">
        <v>24</v>
      </c>
      <c r="AU4" t="s">
        <v>24</v>
      </c>
      <c r="AV4" t="s">
        <v>24</v>
      </c>
      <c r="AW4" t="s">
        <v>24</v>
      </c>
      <c r="AX4" t="s">
        <v>24</v>
      </c>
      <c r="AY4" t="s">
        <v>24</v>
      </c>
      <c r="AZ4" t="s">
        <v>24</v>
      </c>
      <c r="BA4" t="s">
        <v>24</v>
      </c>
      <c r="BB4" t="s">
        <v>24</v>
      </c>
      <c r="BC4" t="s">
        <v>24</v>
      </c>
      <c r="BD4" t="s">
        <v>4165</v>
      </c>
      <c r="BE4" t="s">
        <v>4166</v>
      </c>
      <c r="BF4" t="s">
        <v>24</v>
      </c>
      <c r="BG4" t="s">
        <v>24</v>
      </c>
      <c r="BH4" t="s">
        <v>24</v>
      </c>
      <c r="BI4" t="s">
        <v>24</v>
      </c>
      <c r="BJ4" t="s">
        <v>24</v>
      </c>
      <c r="BK4" t="s">
        <v>24</v>
      </c>
      <c r="BL4" t="s">
        <v>24</v>
      </c>
      <c r="BM4" t="s">
        <v>24</v>
      </c>
      <c r="BN4" t="s">
        <v>24</v>
      </c>
      <c r="BO4" t="s">
        <v>24</v>
      </c>
      <c r="BP4" t="s">
        <v>24</v>
      </c>
      <c r="BQ4" t="s">
        <v>24</v>
      </c>
      <c r="BR4" t="s">
        <v>24</v>
      </c>
      <c r="BS4" t="s">
        <v>3182</v>
      </c>
      <c r="BT4" t="s">
        <v>24</v>
      </c>
      <c r="BU4" t="s">
        <v>24</v>
      </c>
      <c r="BV4" t="s">
        <v>24</v>
      </c>
      <c r="BW4" t="s">
        <v>24</v>
      </c>
      <c r="BX4" t="s">
        <v>24</v>
      </c>
      <c r="BY4" t="s">
        <v>24</v>
      </c>
      <c r="BZ4" t="s">
        <v>24</v>
      </c>
      <c r="CA4" t="s">
        <v>24</v>
      </c>
      <c r="CB4" t="s">
        <v>24</v>
      </c>
      <c r="CC4" t="s">
        <v>24</v>
      </c>
      <c r="CD4" t="s">
        <v>24</v>
      </c>
      <c r="CE4" t="s">
        <v>24</v>
      </c>
      <c r="CF4" t="s">
        <v>24</v>
      </c>
      <c r="CG4" t="s">
        <v>24</v>
      </c>
      <c r="CH4" t="s">
        <v>24</v>
      </c>
      <c r="CI4" t="s">
        <v>3920</v>
      </c>
      <c r="CJ4" t="s">
        <v>24</v>
      </c>
      <c r="CK4" t="s">
        <v>24</v>
      </c>
      <c r="CL4" t="s">
        <v>24</v>
      </c>
      <c r="CM4" t="s">
        <v>24</v>
      </c>
      <c r="CN4" t="s">
        <v>4155</v>
      </c>
      <c r="CO4" t="s">
        <v>3517</v>
      </c>
      <c r="CP4" t="s">
        <v>4155</v>
      </c>
      <c r="CQ4" t="s">
        <v>3517</v>
      </c>
      <c r="CR4" t="s">
        <v>24</v>
      </c>
      <c r="CS4" t="s">
        <v>24</v>
      </c>
      <c r="CT4" t="s">
        <v>24</v>
      </c>
      <c r="CU4" t="s">
        <v>24</v>
      </c>
      <c r="CV4" t="s">
        <v>24</v>
      </c>
      <c r="CW4" t="s">
        <v>24</v>
      </c>
      <c r="CX4" t="s">
        <v>26</v>
      </c>
      <c r="CY4" t="s">
        <v>24</v>
      </c>
      <c r="CZ4" t="s">
        <v>24</v>
      </c>
      <c r="DA4" t="s">
        <v>24</v>
      </c>
      <c r="DB4" t="s">
        <v>24</v>
      </c>
      <c r="DC4" t="s">
        <v>24</v>
      </c>
      <c r="DD4" t="s">
        <v>24</v>
      </c>
      <c r="DE4" t="s">
        <v>24</v>
      </c>
      <c r="DF4" t="s">
        <v>3921</v>
      </c>
      <c r="DG4" t="s">
        <v>24</v>
      </c>
      <c r="DH4" t="s">
        <v>24</v>
      </c>
      <c r="DI4" t="s">
        <v>24</v>
      </c>
      <c r="DJ4" t="s">
        <v>24</v>
      </c>
      <c r="DK4" t="s">
        <v>24</v>
      </c>
      <c r="DL4" t="s">
        <v>24</v>
      </c>
      <c r="DM4" t="s">
        <v>24</v>
      </c>
      <c r="DN4" t="s">
        <v>4155</v>
      </c>
      <c r="DO4" t="s">
        <v>4155</v>
      </c>
      <c r="DP4" t="s">
        <v>24</v>
      </c>
      <c r="DQ4" t="s">
        <v>24</v>
      </c>
      <c r="DR4" t="s">
        <v>24</v>
      </c>
      <c r="DS4" t="s">
        <v>24</v>
      </c>
      <c r="DT4" t="s">
        <v>24</v>
      </c>
      <c r="DU4" t="s">
        <v>24</v>
      </c>
      <c r="DV4" t="s">
        <v>24</v>
      </c>
      <c r="DW4" t="s">
        <v>24</v>
      </c>
      <c r="DX4" t="s">
        <v>24</v>
      </c>
      <c r="DY4" t="s">
        <v>24</v>
      </c>
      <c r="DZ4" t="s">
        <v>24</v>
      </c>
      <c r="EA4" t="s">
        <v>24</v>
      </c>
      <c r="EB4" t="s">
        <v>24</v>
      </c>
      <c r="EC4" t="s">
        <v>24</v>
      </c>
      <c r="ED4" t="s">
        <v>24</v>
      </c>
      <c r="EE4" t="s">
        <v>24</v>
      </c>
      <c r="EF4" t="s">
        <v>24</v>
      </c>
      <c r="EG4" t="s">
        <v>24</v>
      </c>
    </row>
    <row r="5" spans="1:137" x14ac:dyDescent="0.25">
      <c r="A5" t="s">
        <v>24</v>
      </c>
      <c r="B5" t="s">
        <v>24</v>
      </c>
      <c r="C5" t="s">
        <v>4167</v>
      </c>
      <c r="D5" t="s">
        <v>3917</v>
      </c>
      <c r="E5" t="s">
        <v>3182</v>
      </c>
      <c r="F5" t="s">
        <v>24</v>
      </c>
      <c r="G5" t="s">
        <v>4168</v>
      </c>
      <c r="H5" t="s">
        <v>3182</v>
      </c>
      <c r="I5" t="s">
        <v>24</v>
      </c>
      <c r="J5" t="s">
        <v>24</v>
      </c>
      <c r="K5" t="s">
        <v>24</v>
      </c>
      <c r="L5" t="s">
        <v>4169</v>
      </c>
      <c r="M5" t="s">
        <v>26</v>
      </c>
      <c r="N5" t="s">
        <v>3918</v>
      </c>
      <c r="O5" t="s">
        <v>24</v>
      </c>
      <c r="P5" t="s">
        <v>24</v>
      </c>
      <c r="Q5" t="s">
        <v>24</v>
      </c>
      <c r="R5" t="s">
        <v>24</v>
      </c>
      <c r="S5" t="s">
        <v>24</v>
      </c>
      <c r="T5" t="s">
        <v>24</v>
      </c>
      <c r="U5" t="s">
        <v>24</v>
      </c>
      <c r="V5" t="s">
        <v>24</v>
      </c>
      <c r="W5" t="s">
        <v>24</v>
      </c>
      <c r="X5" t="s">
        <v>24</v>
      </c>
      <c r="Y5" t="s">
        <v>24</v>
      </c>
      <c r="Z5" t="s">
        <v>24</v>
      </c>
      <c r="AA5" t="s">
        <v>24</v>
      </c>
      <c r="AB5" t="s">
        <v>24</v>
      </c>
      <c r="AC5" t="s">
        <v>24</v>
      </c>
      <c r="AD5" t="s">
        <v>24</v>
      </c>
      <c r="AE5" t="s">
        <v>24</v>
      </c>
      <c r="AF5" t="s">
        <v>4169</v>
      </c>
      <c r="AG5" t="s">
        <v>24</v>
      </c>
      <c r="AH5" t="s">
        <v>26</v>
      </c>
      <c r="AI5" t="s">
        <v>4170</v>
      </c>
      <c r="AJ5" t="s">
        <v>24</v>
      </c>
      <c r="AK5" t="s">
        <v>24</v>
      </c>
      <c r="AL5" t="s">
        <v>4171</v>
      </c>
      <c r="AM5" t="s">
        <v>4172</v>
      </c>
      <c r="AN5" t="s">
        <v>24</v>
      </c>
      <c r="AO5" t="s">
        <v>3919</v>
      </c>
      <c r="AP5" t="s">
        <v>26</v>
      </c>
      <c r="AQ5" t="s">
        <v>24</v>
      </c>
      <c r="AR5" t="s">
        <v>24</v>
      </c>
      <c r="AS5" t="s">
        <v>24</v>
      </c>
      <c r="AT5" t="s">
        <v>24</v>
      </c>
      <c r="AU5" t="s">
        <v>24</v>
      </c>
      <c r="AV5" t="s">
        <v>24</v>
      </c>
      <c r="AW5" t="s">
        <v>24</v>
      </c>
      <c r="AX5" t="s">
        <v>24</v>
      </c>
      <c r="AY5" t="s">
        <v>24</v>
      </c>
      <c r="AZ5" t="s">
        <v>24</v>
      </c>
      <c r="BA5" t="s">
        <v>24</v>
      </c>
      <c r="BB5" t="s">
        <v>24</v>
      </c>
      <c r="BC5" t="s">
        <v>24</v>
      </c>
      <c r="BD5" t="s">
        <v>4173</v>
      </c>
      <c r="BE5" t="s">
        <v>4174</v>
      </c>
      <c r="BF5" t="s">
        <v>24</v>
      </c>
      <c r="BG5" t="s">
        <v>24</v>
      </c>
      <c r="BH5" t="s">
        <v>24</v>
      </c>
      <c r="BI5" t="s">
        <v>24</v>
      </c>
      <c r="BJ5" t="s">
        <v>24</v>
      </c>
      <c r="BK5" t="s">
        <v>24</v>
      </c>
      <c r="BL5" t="s">
        <v>24</v>
      </c>
      <c r="BM5" t="s">
        <v>24</v>
      </c>
      <c r="BN5" t="s">
        <v>24</v>
      </c>
      <c r="BO5" t="s">
        <v>24</v>
      </c>
      <c r="BP5" t="s">
        <v>24</v>
      </c>
      <c r="BQ5" t="s">
        <v>24</v>
      </c>
      <c r="BR5" t="s">
        <v>24</v>
      </c>
      <c r="BS5" t="s">
        <v>3182</v>
      </c>
      <c r="BT5" t="s">
        <v>24</v>
      </c>
      <c r="BU5" t="s">
        <v>24</v>
      </c>
      <c r="BV5" t="s">
        <v>24</v>
      </c>
      <c r="BW5" t="s">
        <v>24</v>
      </c>
      <c r="BX5" t="s">
        <v>24</v>
      </c>
      <c r="BY5" t="s">
        <v>24</v>
      </c>
      <c r="BZ5" t="s">
        <v>24</v>
      </c>
      <c r="CA5" t="s">
        <v>4175</v>
      </c>
      <c r="CB5" t="s">
        <v>24</v>
      </c>
      <c r="CC5" t="s">
        <v>24</v>
      </c>
      <c r="CD5" t="s">
        <v>24</v>
      </c>
      <c r="CE5" t="s">
        <v>24</v>
      </c>
      <c r="CF5" t="s">
        <v>24</v>
      </c>
      <c r="CG5" t="s">
        <v>24</v>
      </c>
      <c r="CH5" t="s">
        <v>24</v>
      </c>
      <c r="CI5" t="s">
        <v>3920</v>
      </c>
      <c r="CJ5" t="s">
        <v>24</v>
      </c>
      <c r="CK5" t="s">
        <v>24</v>
      </c>
      <c r="CL5" t="s">
        <v>24</v>
      </c>
      <c r="CM5" t="s">
        <v>24</v>
      </c>
      <c r="CN5" t="s">
        <v>4169</v>
      </c>
      <c r="CO5" t="s">
        <v>3517</v>
      </c>
      <c r="CP5" t="s">
        <v>4169</v>
      </c>
      <c r="CQ5" t="s">
        <v>3517</v>
      </c>
      <c r="CR5" t="s">
        <v>24</v>
      </c>
      <c r="CS5" t="s">
        <v>24</v>
      </c>
      <c r="CT5" t="s">
        <v>24</v>
      </c>
      <c r="CU5" t="s">
        <v>24</v>
      </c>
      <c r="CV5" t="s">
        <v>24</v>
      </c>
      <c r="CW5" t="s">
        <v>24</v>
      </c>
      <c r="CX5" t="s">
        <v>26</v>
      </c>
      <c r="CY5" t="s">
        <v>24</v>
      </c>
      <c r="CZ5" t="s">
        <v>24</v>
      </c>
      <c r="DA5" t="s">
        <v>24</v>
      </c>
      <c r="DB5" t="s">
        <v>4175</v>
      </c>
      <c r="DC5" t="s">
        <v>24</v>
      </c>
      <c r="DD5" t="s">
        <v>24</v>
      </c>
      <c r="DE5" t="s">
        <v>24</v>
      </c>
      <c r="DF5" t="s">
        <v>3921</v>
      </c>
      <c r="DG5" t="s">
        <v>24</v>
      </c>
      <c r="DH5" t="s">
        <v>24</v>
      </c>
      <c r="DI5" t="s">
        <v>24</v>
      </c>
      <c r="DJ5" t="s">
        <v>24</v>
      </c>
      <c r="DK5" t="s">
        <v>24</v>
      </c>
      <c r="DL5" t="s">
        <v>24</v>
      </c>
      <c r="DM5" t="s">
        <v>24</v>
      </c>
      <c r="DN5" t="s">
        <v>4169</v>
      </c>
      <c r="DO5" t="s">
        <v>4169</v>
      </c>
      <c r="DP5" t="s">
        <v>24</v>
      </c>
      <c r="DQ5" t="s">
        <v>24</v>
      </c>
      <c r="DR5" t="s">
        <v>24</v>
      </c>
      <c r="DS5" t="s">
        <v>24</v>
      </c>
      <c r="DT5" t="s">
        <v>24</v>
      </c>
      <c r="DU5" t="s">
        <v>24</v>
      </c>
      <c r="DV5" t="s">
        <v>24</v>
      </c>
      <c r="DW5" t="s">
        <v>24</v>
      </c>
      <c r="DX5" t="s">
        <v>24</v>
      </c>
      <c r="DY5" t="s">
        <v>24</v>
      </c>
      <c r="DZ5" t="s">
        <v>24</v>
      </c>
      <c r="EA5" t="s">
        <v>24</v>
      </c>
      <c r="EB5" t="s">
        <v>24</v>
      </c>
      <c r="EC5" t="s">
        <v>24</v>
      </c>
      <c r="ED5" t="s">
        <v>24</v>
      </c>
      <c r="EE5" t="s">
        <v>24</v>
      </c>
      <c r="EF5" t="s">
        <v>24</v>
      </c>
      <c r="EG5" t="s">
        <v>24</v>
      </c>
    </row>
    <row r="6" spans="1:137" x14ac:dyDescent="0.25">
      <c r="A6" t="s">
        <v>24</v>
      </c>
      <c r="B6" t="s">
        <v>24</v>
      </c>
      <c r="C6" t="s">
        <v>4176</v>
      </c>
      <c r="D6" t="s">
        <v>3917</v>
      </c>
      <c r="E6" t="s">
        <v>3182</v>
      </c>
      <c r="F6" t="s">
        <v>24</v>
      </c>
      <c r="G6" t="s">
        <v>4177</v>
      </c>
      <c r="H6" t="s">
        <v>3182</v>
      </c>
      <c r="I6" t="s">
        <v>24</v>
      </c>
      <c r="J6" t="s">
        <v>24</v>
      </c>
      <c r="K6" t="s">
        <v>24</v>
      </c>
      <c r="L6" t="s">
        <v>4178</v>
      </c>
      <c r="M6" t="s">
        <v>26</v>
      </c>
      <c r="N6" t="s">
        <v>3918</v>
      </c>
      <c r="O6" t="s">
        <v>24</v>
      </c>
      <c r="P6" t="s">
        <v>24</v>
      </c>
      <c r="Q6" t="s">
        <v>24</v>
      </c>
      <c r="R6" t="s">
        <v>24</v>
      </c>
      <c r="S6" t="s">
        <v>24</v>
      </c>
      <c r="T6" t="s">
        <v>24</v>
      </c>
      <c r="U6" t="s">
        <v>24</v>
      </c>
      <c r="V6" t="s">
        <v>24</v>
      </c>
      <c r="W6" t="s">
        <v>24</v>
      </c>
      <c r="X6" t="s">
        <v>24</v>
      </c>
      <c r="Y6" t="s">
        <v>24</v>
      </c>
      <c r="Z6" t="s">
        <v>24</v>
      </c>
      <c r="AA6" t="s">
        <v>24</v>
      </c>
      <c r="AB6" t="s">
        <v>24</v>
      </c>
      <c r="AC6" t="s">
        <v>24</v>
      </c>
      <c r="AD6" t="s">
        <v>24</v>
      </c>
      <c r="AE6" t="s">
        <v>24</v>
      </c>
      <c r="AF6" t="s">
        <v>4178</v>
      </c>
      <c r="AG6" t="s">
        <v>24</v>
      </c>
      <c r="AH6" t="s">
        <v>26</v>
      </c>
      <c r="AI6" t="s">
        <v>4179</v>
      </c>
      <c r="AJ6" t="s">
        <v>24</v>
      </c>
      <c r="AK6" t="s">
        <v>24</v>
      </c>
      <c r="AL6" t="s">
        <v>4180</v>
      </c>
      <c r="AM6" t="s">
        <v>4181</v>
      </c>
      <c r="AN6" t="s">
        <v>24</v>
      </c>
      <c r="AO6" t="s">
        <v>3919</v>
      </c>
      <c r="AP6" t="s">
        <v>26</v>
      </c>
      <c r="AQ6" t="s">
        <v>24</v>
      </c>
      <c r="AR6" t="s">
        <v>24</v>
      </c>
      <c r="AS6" t="s">
        <v>24</v>
      </c>
      <c r="AT6" t="s">
        <v>24</v>
      </c>
      <c r="AU6" t="s">
        <v>24</v>
      </c>
      <c r="AV6" t="s">
        <v>24</v>
      </c>
      <c r="AW6" t="s">
        <v>24</v>
      </c>
      <c r="AX6" t="s">
        <v>24</v>
      </c>
      <c r="AY6" t="s">
        <v>24</v>
      </c>
      <c r="AZ6" t="s">
        <v>24</v>
      </c>
      <c r="BA6" t="s">
        <v>24</v>
      </c>
      <c r="BB6" t="s">
        <v>24</v>
      </c>
      <c r="BC6" t="s">
        <v>24</v>
      </c>
      <c r="BD6" t="s">
        <v>4173</v>
      </c>
      <c r="BE6" t="s">
        <v>4174</v>
      </c>
      <c r="BF6" t="s">
        <v>24</v>
      </c>
      <c r="BG6" t="s">
        <v>24</v>
      </c>
      <c r="BH6" t="s">
        <v>24</v>
      </c>
      <c r="BI6" t="s">
        <v>24</v>
      </c>
      <c r="BJ6" t="s">
        <v>24</v>
      </c>
      <c r="BK6" t="s">
        <v>24</v>
      </c>
      <c r="BL6" t="s">
        <v>24</v>
      </c>
      <c r="BM6" t="s">
        <v>24</v>
      </c>
      <c r="BN6" t="s">
        <v>24</v>
      </c>
      <c r="BO6" t="s">
        <v>24</v>
      </c>
      <c r="BP6" t="s">
        <v>24</v>
      </c>
      <c r="BQ6" t="s">
        <v>24</v>
      </c>
      <c r="BR6" t="s">
        <v>24</v>
      </c>
      <c r="BS6" t="s">
        <v>3182</v>
      </c>
      <c r="BT6" t="s">
        <v>24</v>
      </c>
      <c r="BU6" t="s">
        <v>24</v>
      </c>
      <c r="BV6" t="s">
        <v>24</v>
      </c>
      <c r="BW6" t="s">
        <v>24</v>
      </c>
      <c r="BX6" t="s">
        <v>24</v>
      </c>
      <c r="BY6" t="s">
        <v>24</v>
      </c>
      <c r="BZ6" t="s">
        <v>24</v>
      </c>
      <c r="CA6" t="s">
        <v>24</v>
      </c>
      <c r="CB6" t="s">
        <v>24</v>
      </c>
      <c r="CC6" t="s">
        <v>24</v>
      </c>
      <c r="CD6" t="s">
        <v>24</v>
      </c>
      <c r="CE6" t="s">
        <v>24</v>
      </c>
      <c r="CF6" t="s">
        <v>24</v>
      </c>
      <c r="CG6" t="s">
        <v>24</v>
      </c>
      <c r="CH6" t="s">
        <v>24</v>
      </c>
      <c r="CI6" t="s">
        <v>3920</v>
      </c>
      <c r="CJ6" t="s">
        <v>24</v>
      </c>
      <c r="CK6" t="s">
        <v>24</v>
      </c>
      <c r="CL6" t="s">
        <v>24</v>
      </c>
      <c r="CM6" t="s">
        <v>24</v>
      </c>
      <c r="CN6" t="s">
        <v>4178</v>
      </c>
      <c r="CO6" t="s">
        <v>3517</v>
      </c>
      <c r="CP6" t="s">
        <v>4178</v>
      </c>
      <c r="CQ6" t="s">
        <v>3517</v>
      </c>
      <c r="CR6" t="s">
        <v>24</v>
      </c>
      <c r="CS6" t="s">
        <v>24</v>
      </c>
      <c r="CT6" t="s">
        <v>24</v>
      </c>
      <c r="CU6" t="s">
        <v>24</v>
      </c>
      <c r="CV6" t="s">
        <v>24</v>
      </c>
      <c r="CW6" t="s">
        <v>24</v>
      </c>
      <c r="CX6" t="s">
        <v>26</v>
      </c>
      <c r="CY6" t="s">
        <v>24</v>
      </c>
      <c r="CZ6" t="s">
        <v>24</v>
      </c>
      <c r="DA6" t="s">
        <v>24</v>
      </c>
      <c r="DB6" t="s">
        <v>24</v>
      </c>
      <c r="DC6" t="s">
        <v>24</v>
      </c>
      <c r="DD6" t="s">
        <v>24</v>
      </c>
      <c r="DE6" t="s">
        <v>24</v>
      </c>
      <c r="DF6" t="s">
        <v>3921</v>
      </c>
      <c r="DG6" t="s">
        <v>24</v>
      </c>
      <c r="DH6" t="s">
        <v>24</v>
      </c>
      <c r="DI6" t="s">
        <v>24</v>
      </c>
      <c r="DJ6" t="s">
        <v>24</v>
      </c>
      <c r="DK6" t="s">
        <v>24</v>
      </c>
      <c r="DL6" t="s">
        <v>24</v>
      </c>
      <c r="DM6" t="s">
        <v>24</v>
      </c>
      <c r="DN6" t="s">
        <v>4178</v>
      </c>
      <c r="DO6" t="s">
        <v>4178</v>
      </c>
      <c r="DP6" t="s">
        <v>24</v>
      </c>
      <c r="DQ6" t="s">
        <v>24</v>
      </c>
      <c r="DR6" t="s">
        <v>24</v>
      </c>
      <c r="DS6" t="s">
        <v>24</v>
      </c>
      <c r="DT6" t="s">
        <v>24</v>
      </c>
      <c r="DU6" t="s">
        <v>24</v>
      </c>
      <c r="DV6" t="s">
        <v>24</v>
      </c>
      <c r="DW6" t="s">
        <v>24</v>
      </c>
      <c r="DX6" t="s">
        <v>24</v>
      </c>
      <c r="DY6" t="s">
        <v>24</v>
      </c>
      <c r="DZ6" t="s">
        <v>24</v>
      </c>
      <c r="EA6" t="s">
        <v>24</v>
      </c>
      <c r="EB6" t="s">
        <v>24</v>
      </c>
      <c r="EC6" t="s">
        <v>24</v>
      </c>
      <c r="ED6" t="s">
        <v>24</v>
      </c>
      <c r="EE6" t="s">
        <v>24</v>
      </c>
      <c r="EF6" t="s">
        <v>24</v>
      </c>
      <c r="EG6" t="s">
        <v>24</v>
      </c>
    </row>
    <row r="7" spans="1:137" x14ac:dyDescent="0.25">
      <c r="A7" t="s">
        <v>24</v>
      </c>
      <c r="B7" t="s">
        <v>24</v>
      </c>
      <c r="C7" t="s">
        <v>4182</v>
      </c>
      <c r="D7" t="s">
        <v>3917</v>
      </c>
      <c r="E7" t="s">
        <v>3182</v>
      </c>
      <c r="F7" t="s">
        <v>24</v>
      </c>
      <c r="G7" t="s">
        <v>4183</v>
      </c>
      <c r="H7" t="s">
        <v>3182</v>
      </c>
      <c r="I7" t="s">
        <v>24</v>
      </c>
      <c r="J7" t="s">
        <v>24</v>
      </c>
      <c r="K7" t="s">
        <v>24</v>
      </c>
      <c r="L7" t="s">
        <v>4184</v>
      </c>
      <c r="M7" t="s">
        <v>26</v>
      </c>
      <c r="N7" t="s">
        <v>3918</v>
      </c>
      <c r="O7" t="s">
        <v>24</v>
      </c>
      <c r="P7" t="s">
        <v>24</v>
      </c>
      <c r="Q7" t="s">
        <v>24</v>
      </c>
      <c r="R7" t="s">
        <v>24</v>
      </c>
      <c r="S7" t="s">
        <v>24</v>
      </c>
      <c r="T7" t="s">
        <v>24</v>
      </c>
      <c r="U7" t="s">
        <v>24</v>
      </c>
      <c r="V7" t="s">
        <v>24</v>
      </c>
      <c r="W7" t="s">
        <v>24</v>
      </c>
      <c r="X7" t="s">
        <v>24</v>
      </c>
      <c r="Y7" t="s">
        <v>24</v>
      </c>
      <c r="Z7" t="s">
        <v>24</v>
      </c>
      <c r="AA7" t="s">
        <v>24</v>
      </c>
      <c r="AB7" t="s">
        <v>24</v>
      </c>
      <c r="AC7" t="s">
        <v>24</v>
      </c>
      <c r="AD7" t="s">
        <v>24</v>
      </c>
      <c r="AE7" t="s">
        <v>24</v>
      </c>
      <c r="AF7" t="s">
        <v>4184</v>
      </c>
      <c r="AG7" t="s">
        <v>24</v>
      </c>
      <c r="AH7" t="s">
        <v>26</v>
      </c>
      <c r="AI7" t="s">
        <v>4185</v>
      </c>
      <c r="AJ7" t="s">
        <v>24</v>
      </c>
      <c r="AK7" t="s">
        <v>24</v>
      </c>
      <c r="AL7" t="s">
        <v>4186</v>
      </c>
      <c r="AM7" t="s">
        <v>4187</v>
      </c>
      <c r="AN7" t="s">
        <v>24</v>
      </c>
      <c r="AO7" t="s">
        <v>3919</v>
      </c>
      <c r="AP7" t="s">
        <v>26</v>
      </c>
      <c r="AQ7" t="s">
        <v>24</v>
      </c>
      <c r="AR7" t="s">
        <v>24</v>
      </c>
      <c r="AS7" t="s">
        <v>24</v>
      </c>
      <c r="AT7" t="s">
        <v>24</v>
      </c>
      <c r="AU7" t="s">
        <v>24</v>
      </c>
      <c r="AV7" t="s">
        <v>24</v>
      </c>
      <c r="AW7" t="s">
        <v>24</v>
      </c>
      <c r="AX7" t="s">
        <v>24</v>
      </c>
      <c r="AY7" t="s">
        <v>24</v>
      </c>
      <c r="AZ7" t="s">
        <v>24</v>
      </c>
      <c r="BA7" t="s">
        <v>24</v>
      </c>
      <c r="BB7" t="s">
        <v>24</v>
      </c>
      <c r="BC7" t="s">
        <v>24</v>
      </c>
      <c r="BD7" t="s">
        <v>4188</v>
      </c>
      <c r="BE7" t="s">
        <v>4189</v>
      </c>
      <c r="BF7" t="s">
        <v>24</v>
      </c>
      <c r="BG7" t="s">
        <v>24</v>
      </c>
      <c r="BH7" t="s">
        <v>24</v>
      </c>
      <c r="BI7" t="s">
        <v>24</v>
      </c>
      <c r="BJ7" t="s">
        <v>24</v>
      </c>
      <c r="BK7" t="s">
        <v>24</v>
      </c>
      <c r="BL7" t="s">
        <v>24</v>
      </c>
      <c r="BM7" t="s">
        <v>24</v>
      </c>
      <c r="BN7" t="s">
        <v>24</v>
      </c>
      <c r="BO7" t="s">
        <v>24</v>
      </c>
      <c r="BP7" t="s">
        <v>24</v>
      </c>
      <c r="BQ7" t="s">
        <v>24</v>
      </c>
      <c r="BR7" t="s">
        <v>24</v>
      </c>
      <c r="BS7" t="s">
        <v>3182</v>
      </c>
      <c r="BT7" t="s">
        <v>24</v>
      </c>
      <c r="BU7" t="s">
        <v>24</v>
      </c>
      <c r="BV7" t="s">
        <v>24</v>
      </c>
      <c r="BW7" t="s">
        <v>24</v>
      </c>
      <c r="BX7" t="s">
        <v>24</v>
      </c>
      <c r="BY7" t="s">
        <v>24</v>
      </c>
      <c r="BZ7" t="s">
        <v>24</v>
      </c>
      <c r="CA7" t="s">
        <v>4190</v>
      </c>
      <c r="CB7" t="s">
        <v>24</v>
      </c>
      <c r="CC7" t="s">
        <v>24</v>
      </c>
      <c r="CD7" t="s">
        <v>24</v>
      </c>
      <c r="CE7" t="s">
        <v>24</v>
      </c>
      <c r="CF7" t="s">
        <v>24</v>
      </c>
      <c r="CG7" t="s">
        <v>24</v>
      </c>
      <c r="CH7" t="s">
        <v>24</v>
      </c>
      <c r="CI7" t="s">
        <v>3920</v>
      </c>
      <c r="CJ7" t="s">
        <v>24</v>
      </c>
      <c r="CK7" t="s">
        <v>24</v>
      </c>
      <c r="CL7" t="s">
        <v>24</v>
      </c>
      <c r="CM7" t="s">
        <v>24</v>
      </c>
      <c r="CN7" t="s">
        <v>4184</v>
      </c>
      <c r="CO7" t="s">
        <v>3517</v>
      </c>
      <c r="CP7" t="s">
        <v>4184</v>
      </c>
      <c r="CQ7" t="s">
        <v>3517</v>
      </c>
      <c r="CR7" t="s">
        <v>24</v>
      </c>
      <c r="CS7" t="s">
        <v>24</v>
      </c>
      <c r="CT7" t="s">
        <v>24</v>
      </c>
      <c r="CU7" t="s">
        <v>24</v>
      </c>
      <c r="CV7" t="s">
        <v>24</v>
      </c>
      <c r="CW7" t="s">
        <v>24</v>
      </c>
      <c r="CX7" t="s">
        <v>26</v>
      </c>
      <c r="CY7" t="s">
        <v>24</v>
      </c>
      <c r="CZ7" t="s">
        <v>24</v>
      </c>
      <c r="DA7" t="s">
        <v>24</v>
      </c>
      <c r="DB7" t="s">
        <v>4190</v>
      </c>
      <c r="DC7" t="s">
        <v>24</v>
      </c>
      <c r="DD7" t="s">
        <v>24</v>
      </c>
      <c r="DE7" t="s">
        <v>24</v>
      </c>
      <c r="DF7" t="s">
        <v>3921</v>
      </c>
      <c r="DG7" t="s">
        <v>24</v>
      </c>
      <c r="DH7" t="s">
        <v>24</v>
      </c>
      <c r="DI7" t="s">
        <v>24</v>
      </c>
      <c r="DJ7" t="s">
        <v>24</v>
      </c>
      <c r="DK7" t="s">
        <v>24</v>
      </c>
      <c r="DL7" t="s">
        <v>24</v>
      </c>
      <c r="DM7" t="s">
        <v>24</v>
      </c>
      <c r="DN7" t="s">
        <v>4184</v>
      </c>
      <c r="DO7" t="s">
        <v>4184</v>
      </c>
      <c r="DP7" t="s">
        <v>24</v>
      </c>
      <c r="DQ7" t="s">
        <v>24</v>
      </c>
      <c r="DR7" t="s">
        <v>24</v>
      </c>
      <c r="DS7" t="s">
        <v>24</v>
      </c>
      <c r="DT7" t="s">
        <v>24</v>
      </c>
      <c r="DU7" t="s">
        <v>24</v>
      </c>
      <c r="DV7" t="s">
        <v>24</v>
      </c>
      <c r="DW7" t="s">
        <v>24</v>
      </c>
      <c r="DX7" t="s">
        <v>24</v>
      </c>
      <c r="DY7" t="s">
        <v>24</v>
      </c>
      <c r="DZ7" t="s">
        <v>24</v>
      </c>
      <c r="EA7" t="s">
        <v>24</v>
      </c>
      <c r="EB7" t="s">
        <v>24</v>
      </c>
      <c r="EC7" t="s">
        <v>24</v>
      </c>
      <c r="ED7" t="s">
        <v>24</v>
      </c>
      <c r="EE7" t="s">
        <v>24</v>
      </c>
      <c r="EF7" t="s">
        <v>24</v>
      </c>
      <c r="EG7" t="s">
        <v>24</v>
      </c>
    </row>
    <row r="8" spans="1:137" x14ac:dyDescent="0.25">
      <c r="A8" t="s">
        <v>24</v>
      </c>
      <c r="B8" t="s">
        <v>24</v>
      </c>
      <c r="C8" t="s">
        <v>4191</v>
      </c>
      <c r="D8" t="s">
        <v>3917</v>
      </c>
      <c r="E8" t="s">
        <v>3182</v>
      </c>
      <c r="F8" t="s">
        <v>24</v>
      </c>
      <c r="G8" t="s">
        <v>4192</v>
      </c>
      <c r="H8" t="s">
        <v>3182</v>
      </c>
      <c r="I8" t="s">
        <v>24</v>
      </c>
      <c r="J8" t="s">
        <v>24</v>
      </c>
      <c r="K8" t="s">
        <v>24</v>
      </c>
      <c r="L8" t="s">
        <v>4193</v>
      </c>
      <c r="M8" t="s">
        <v>26</v>
      </c>
      <c r="N8" t="s">
        <v>3918</v>
      </c>
      <c r="O8" t="s">
        <v>24</v>
      </c>
      <c r="P8" t="s">
        <v>24</v>
      </c>
      <c r="Q8" t="s">
        <v>24</v>
      </c>
      <c r="R8" t="s">
        <v>24</v>
      </c>
      <c r="S8" t="s">
        <v>24</v>
      </c>
      <c r="T8" t="s">
        <v>24</v>
      </c>
      <c r="U8" t="s">
        <v>24</v>
      </c>
      <c r="V8" t="s">
        <v>24</v>
      </c>
      <c r="W8" t="s">
        <v>24</v>
      </c>
      <c r="X8" t="s">
        <v>24</v>
      </c>
      <c r="Y8" t="s">
        <v>24</v>
      </c>
      <c r="Z8" t="s">
        <v>24</v>
      </c>
      <c r="AA8" t="s">
        <v>24</v>
      </c>
      <c r="AB8" t="s">
        <v>24</v>
      </c>
      <c r="AC8" t="s">
        <v>24</v>
      </c>
      <c r="AD8" t="s">
        <v>24</v>
      </c>
      <c r="AE8" t="s">
        <v>24</v>
      </c>
      <c r="AF8" t="s">
        <v>4193</v>
      </c>
      <c r="AG8" t="s">
        <v>24</v>
      </c>
      <c r="AH8" t="s">
        <v>26</v>
      </c>
      <c r="AI8" t="s">
        <v>4194</v>
      </c>
      <c r="AJ8" t="s">
        <v>24</v>
      </c>
      <c r="AK8" t="s">
        <v>24</v>
      </c>
      <c r="AL8" t="s">
        <v>24</v>
      </c>
      <c r="AM8" t="s">
        <v>24</v>
      </c>
      <c r="AN8" t="s">
        <v>24</v>
      </c>
      <c r="AO8" t="s">
        <v>3919</v>
      </c>
      <c r="AP8" t="s">
        <v>26</v>
      </c>
      <c r="AQ8" t="s">
        <v>24</v>
      </c>
      <c r="AR8" t="s">
        <v>24</v>
      </c>
      <c r="AS8" t="s">
        <v>24</v>
      </c>
      <c r="AT8" t="s">
        <v>24</v>
      </c>
      <c r="AU8" t="s">
        <v>24</v>
      </c>
      <c r="AV8" t="s">
        <v>24</v>
      </c>
      <c r="AW8" t="s">
        <v>24</v>
      </c>
      <c r="AX8" t="s">
        <v>24</v>
      </c>
      <c r="AY8" t="s">
        <v>24</v>
      </c>
      <c r="AZ8" t="s">
        <v>24</v>
      </c>
      <c r="BA8" t="s">
        <v>24</v>
      </c>
      <c r="BB8" t="s">
        <v>24</v>
      </c>
      <c r="BC8" t="s">
        <v>24</v>
      </c>
      <c r="BD8" t="s">
        <v>4195</v>
      </c>
      <c r="BE8" t="s">
        <v>4196</v>
      </c>
      <c r="BF8" t="s">
        <v>24</v>
      </c>
      <c r="BG8" t="s">
        <v>24</v>
      </c>
      <c r="BH8" t="s">
        <v>24</v>
      </c>
      <c r="BI8" t="s">
        <v>24</v>
      </c>
      <c r="BJ8" t="s">
        <v>24</v>
      </c>
      <c r="BK8" t="s">
        <v>24</v>
      </c>
      <c r="BL8" t="s">
        <v>24</v>
      </c>
      <c r="BM8" t="s">
        <v>24</v>
      </c>
      <c r="BN8" t="s">
        <v>24</v>
      </c>
      <c r="BO8" t="s">
        <v>24</v>
      </c>
      <c r="BP8" t="s">
        <v>24</v>
      </c>
      <c r="BQ8" t="s">
        <v>24</v>
      </c>
      <c r="BR8" t="s">
        <v>24</v>
      </c>
      <c r="BS8" t="s">
        <v>3182</v>
      </c>
      <c r="BT8" t="s">
        <v>24</v>
      </c>
      <c r="BU8" t="s">
        <v>24</v>
      </c>
      <c r="BV8" t="s">
        <v>24</v>
      </c>
      <c r="BW8" t="s">
        <v>24</v>
      </c>
      <c r="BX8" t="s">
        <v>24</v>
      </c>
      <c r="BY8" t="s">
        <v>24</v>
      </c>
      <c r="BZ8" t="s">
        <v>24</v>
      </c>
      <c r="CA8" t="s">
        <v>4197</v>
      </c>
      <c r="CB8" t="s">
        <v>24</v>
      </c>
      <c r="CC8" t="s">
        <v>24</v>
      </c>
      <c r="CD8" t="s">
        <v>24</v>
      </c>
      <c r="CE8" t="s">
        <v>24</v>
      </c>
      <c r="CF8" t="s">
        <v>24</v>
      </c>
      <c r="CG8" t="s">
        <v>24</v>
      </c>
      <c r="CH8" t="s">
        <v>24</v>
      </c>
      <c r="CI8" t="s">
        <v>3920</v>
      </c>
      <c r="CJ8" t="s">
        <v>24</v>
      </c>
      <c r="CK8" t="s">
        <v>24</v>
      </c>
      <c r="CL8" t="s">
        <v>24</v>
      </c>
      <c r="CM8" t="s">
        <v>24</v>
      </c>
      <c r="CN8" t="s">
        <v>4193</v>
      </c>
      <c r="CO8" t="s">
        <v>3517</v>
      </c>
      <c r="CP8" t="s">
        <v>4193</v>
      </c>
      <c r="CQ8" t="s">
        <v>3517</v>
      </c>
      <c r="CR8" t="s">
        <v>24</v>
      </c>
      <c r="CS8" t="s">
        <v>24</v>
      </c>
      <c r="CT8" t="s">
        <v>24</v>
      </c>
      <c r="CU8" t="s">
        <v>24</v>
      </c>
      <c r="CV8" t="s">
        <v>24</v>
      </c>
      <c r="CW8" t="s">
        <v>24</v>
      </c>
      <c r="CX8" t="s">
        <v>26</v>
      </c>
      <c r="CY8" t="s">
        <v>24</v>
      </c>
      <c r="CZ8" t="s">
        <v>24</v>
      </c>
      <c r="DA8" t="s">
        <v>24</v>
      </c>
      <c r="DB8" t="s">
        <v>4197</v>
      </c>
      <c r="DC8" t="s">
        <v>24</v>
      </c>
      <c r="DD8" t="s">
        <v>24</v>
      </c>
      <c r="DE8" t="s">
        <v>24</v>
      </c>
      <c r="DF8" t="s">
        <v>3921</v>
      </c>
      <c r="DG8" t="s">
        <v>24</v>
      </c>
      <c r="DH8" t="s">
        <v>24</v>
      </c>
      <c r="DI8" t="s">
        <v>24</v>
      </c>
      <c r="DJ8" t="s">
        <v>24</v>
      </c>
      <c r="DK8" t="s">
        <v>24</v>
      </c>
      <c r="DL8" t="s">
        <v>24</v>
      </c>
      <c r="DM8" t="s">
        <v>24</v>
      </c>
      <c r="DN8" t="s">
        <v>4193</v>
      </c>
      <c r="DO8" t="s">
        <v>4193</v>
      </c>
      <c r="DP8" t="s">
        <v>24</v>
      </c>
      <c r="DQ8" t="s">
        <v>24</v>
      </c>
      <c r="DR8" t="s">
        <v>24</v>
      </c>
      <c r="DS8" t="s">
        <v>24</v>
      </c>
      <c r="DT8" t="s">
        <v>24</v>
      </c>
      <c r="DU8" t="s">
        <v>24</v>
      </c>
      <c r="DV8" t="s">
        <v>24</v>
      </c>
      <c r="DW8" t="s">
        <v>24</v>
      </c>
      <c r="DX8" t="s">
        <v>24</v>
      </c>
      <c r="DY8" t="s">
        <v>24</v>
      </c>
      <c r="DZ8" t="s">
        <v>24</v>
      </c>
      <c r="EA8" t="s">
        <v>24</v>
      </c>
      <c r="EB8" t="s">
        <v>24</v>
      </c>
      <c r="EC8" t="s">
        <v>24</v>
      </c>
      <c r="ED8" t="s">
        <v>24</v>
      </c>
      <c r="EE8" t="s">
        <v>24</v>
      </c>
      <c r="EF8" t="s">
        <v>24</v>
      </c>
      <c r="EG8" t="s">
        <v>24</v>
      </c>
    </row>
    <row r="9" spans="1:137" x14ac:dyDescent="0.25">
      <c r="A9" t="s">
        <v>24</v>
      </c>
      <c r="B9" t="s">
        <v>24</v>
      </c>
      <c r="C9" t="s">
        <v>4066</v>
      </c>
      <c r="D9" t="s">
        <v>3917</v>
      </c>
      <c r="E9" t="s">
        <v>3182</v>
      </c>
      <c r="F9" t="s">
        <v>24</v>
      </c>
      <c r="G9" t="s">
        <v>4068</v>
      </c>
      <c r="H9" t="s">
        <v>3182</v>
      </c>
      <c r="I9" t="s">
        <v>24</v>
      </c>
      <c r="J9" t="s">
        <v>24</v>
      </c>
      <c r="K9" t="s">
        <v>24</v>
      </c>
      <c r="L9" t="s">
        <v>4067</v>
      </c>
      <c r="M9" t="s">
        <v>26</v>
      </c>
      <c r="N9" t="s">
        <v>3918</v>
      </c>
      <c r="O9" t="s">
        <v>24</v>
      </c>
      <c r="P9" t="s">
        <v>24</v>
      </c>
      <c r="Q9" t="s">
        <v>24</v>
      </c>
      <c r="R9" t="s">
        <v>24</v>
      </c>
      <c r="S9" t="s">
        <v>24</v>
      </c>
      <c r="T9" t="s">
        <v>24</v>
      </c>
      <c r="U9" t="s">
        <v>24</v>
      </c>
      <c r="V9" t="s">
        <v>24</v>
      </c>
      <c r="W9" t="s">
        <v>24</v>
      </c>
      <c r="X9" t="s">
        <v>24</v>
      </c>
      <c r="Y9" t="s">
        <v>24</v>
      </c>
      <c r="Z9" t="s">
        <v>24</v>
      </c>
      <c r="AA9" t="s">
        <v>24</v>
      </c>
      <c r="AB9" t="s">
        <v>24</v>
      </c>
      <c r="AC9" t="s">
        <v>24</v>
      </c>
      <c r="AD9" t="s">
        <v>24</v>
      </c>
      <c r="AE9" t="s">
        <v>24</v>
      </c>
      <c r="AF9" t="s">
        <v>4067</v>
      </c>
      <c r="AG9" t="s">
        <v>24</v>
      </c>
      <c r="AH9" t="s">
        <v>26</v>
      </c>
      <c r="AI9" t="s">
        <v>4088</v>
      </c>
      <c r="AJ9" t="s">
        <v>24</v>
      </c>
      <c r="AK9" t="s">
        <v>24</v>
      </c>
      <c r="AL9" t="s">
        <v>4069</v>
      </c>
      <c r="AM9" t="s">
        <v>4070</v>
      </c>
      <c r="AN9" t="s">
        <v>24</v>
      </c>
      <c r="AO9" t="s">
        <v>3919</v>
      </c>
      <c r="AP9" t="s">
        <v>26</v>
      </c>
      <c r="AQ9" t="s">
        <v>24</v>
      </c>
      <c r="AR9" t="s">
        <v>24</v>
      </c>
      <c r="AS9" t="s">
        <v>24</v>
      </c>
      <c r="AT9" t="s">
        <v>24</v>
      </c>
      <c r="AU9" t="s">
        <v>24</v>
      </c>
      <c r="AV9" t="s">
        <v>24</v>
      </c>
      <c r="AW9" t="s">
        <v>24</v>
      </c>
      <c r="AX9" t="s">
        <v>24</v>
      </c>
      <c r="AY9" t="s">
        <v>24</v>
      </c>
      <c r="AZ9" t="s">
        <v>24</v>
      </c>
      <c r="BA9" t="s">
        <v>24</v>
      </c>
      <c r="BB9" t="s">
        <v>24</v>
      </c>
      <c r="BC9" t="s">
        <v>24</v>
      </c>
      <c r="BD9" t="s">
        <v>4071</v>
      </c>
      <c r="BE9" t="s">
        <v>4072</v>
      </c>
      <c r="BF9" t="s">
        <v>24</v>
      </c>
      <c r="BG9" t="s">
        <v>24</v>
      </c>
      <c r="BH9" t="s">
        <v>24</v>
      </c>
      <c r="BI9" t="s">
        <v>24</v>
      </c>
      <c r="BJ9" t="s">
        <v>24</v>
      </c>
      <c r="BK9" t="s">
        <v>24</v>
      </c>
      <c r="BL9" t="s">
        <v>24</v>
      </c>
      <c r="BM9" t="s">
        <v>24</v>
      </c>
      <c r="BN9" t="s">
        <v>24</v>
      </c>
      <c r="BO9" t="s">
        <v>24</v>
      </c>
      <c r="BP9" t="s">
        <v>24</v>
      </c>
      <c r="BQ9" t="s">
        <v>24</v>
      </c>
      <c r="BR9" t="s">
        <v>24</v>
      </c>
      <c r="BS9" t="s">
        <v>3182</v>
      </c>
      <c r="BT9" t="s">
        <v>24</v>
      </c>
      <c r="BU9" t="s">
        <v>24</v>
      </c>
      <c r="BV9" t="s">
        <v>24</v>
      </c>
      <c r="BW9" t="s">
        <v>24</v>
      </c>
      <c r="BX9" t="s">
        <v>24</v>
      </c>
      <c r="BY9" t="s">
        <v>24</v>
      </c>
      <c r="BZ9" t="s">
        <v>24</v>
      </c>
      <c r="CA9" t="s">
        <v>4089</v>
      </c>
      <c r="CB9" t="s">
        <v>24</v>
      </c>
      <c r="CC9" t="s">
        <v>24</v>
      </c>
      <c r="CD9" t="s">
        <v>24</v>
      </c>
      <c r="CE9" t="s">
        <v>24</v>
      </c>
      <c r="CF9" t="s">
        <v>24</v>
      </c>
      <c r="CG9" t="s">
        <v>24</v>
      </c>
      <c r="CH9" t="s">
        <v>24</v>
      </c>
      <c r="CI9" t="s">
        <v>3920</v>
      </c>
      <c r="CJ9" t="s">
        <v>24</v>
      </c>
      <c r="CK9" t="s">
        <v>24</v>
      </c>
      <c r="CL9" t="s">
        <v>24</v>
      </c>
      <c r="CM9" t="s">
        <v>24</v>
      </c>
      <c r="CN9" t="s">
        <v>4067</v>
      </c>
      <c r="CO9" t="s">
        <v>3517</v>
      </c>
      <c r="CP9" t="s">
        <v>4090</v>
      </c>
      <c r="CQ9" t="s">
        <v>3517</v>
      </c>
      <c r="CR9" t="s">
        <v>24</v>
      </c>
      <c r="CS9" t="s">
        <v>24</v>
      </c>
      <c r="CT9" t="s">
        <v>24</v>
      </c>
      <c r="CU9" t="s">
        <v>24</v>
      </c>
      <c r="CV9" t="s">
        <v>24</v>
      </c>
      <c r="CW9" t="s">
        <v>24</v>
      </c>
      <c r="CX9" t="s">
        <v>26</v>
      </c>
      <c r="CY9" t="s">
        <v>24</v>
      </c>
      <c r="CZ9" t="s">
        <v>24</v>
      </c>
      <c r="DA9" t="s">
        <v>24</v>
      </c>
      <c r="DB9" t="s">
        <v>4089</v>
      </c>
      <c r="DC9" t="s">
        <v>24</v>
      </c>
      <c r="DD9" t="s">
        <v>24</v>
      </c>
      <c r="DE9" t="s">
        <v>24</v>
      </c>
      <c r="DF9" t="s">
        <v>3921</v>
      </c>
      <c r="DG9" t="s">
        <v>24</v>
      </c>
      <c r="DH9" t="s">
        <v>24</v>
      </c>
      <c r="DI9" t="s">
        <v>24</v>
      </c>
      <c r="DJ9" t="s">
        <v>24</v>
      </c>
      <c r="DK9" t="s">
        <v>24</v>
      </c>
      <c r="DL9" t="s">
        <v>24</v>
      </c>
      <c r="DM9" t="s">
        <v>24</v>
      </c>
      <c r="DN9" t="s">
        <v>4091</v>
      </c>
      <c r="DO9" t="s">
        <v>4091</v>
      </c>
      <c r="DP9" t="s">
        <v>24</v>
      </c>
      <c r="DQ9" t="s">
        <v>24</v>
      </c>
      <c r="DR9" t="s">
        <v>24</v>
      </c>
      <c r="DS9" t="s">
        <v>24</v>
      </c>
      <c r="DT9" t="s">
        <v>24</v>
      </c>
      <c r="DU9" t="s">
        <v>24</v>
      </c>
      <c r="DV9" t="s">
        <v>24</v>
      </c>
      <c r="DW9" t="s">
        <v>24</v>
      </c>
      <c r="DX9" t="s">
        <v>24</v>
      </c>
      <c r="DY9" t="s">
        <v>24</v>
      </c>
      <c r="DZ9" t="s">
        <v>24</v>
      </c>
      <c r="EA9" t="s">
        <v>24</v>
      </c>
      <c r="EB9" t="s">
        <v>24</v>
      </c>
      <c r="EC9" t="s">
        <v>24</v>
      </c>
      <c r="ED9" t="s">
        <v>24</v>
      </c>
      <c r="EE9" t="s">
        <v>24</v>
      </c>
      <c r="EF9" t="s">
        <v>24</v>
      </c>
      <c r="EG9" t="s">
        <v>24</v>
      </c>
    </row>
    <row r="10" spans="1:137" x14ac:dyDescent="0.25">
      <c r="A10" t="s">
        <v>24</v>
      </c>
      <c r="B10" t="s">
        <v>24</v>
      </c>
      <c r="C10" t="s">
        <v>4064</v>
      </c>
      <c r="D10" t="s">
        <v>3917</v>
      </c>
      <c r="E10" t="s">
        <v>3182</v>
      </c>
      <c r="F10" t="s">
        <v>24</v>
      </c>
      <c r="G10" t="s">
        <v>4073</v>
      </c>
      <c r="H10" t="s">
        <v>3182</v>
      </c>
      <c r="I10" t="s">
        <v>24</v>
      </c>
      <c r="J10" t="s">
        <v>24</v>
      </c>
      <c r="K10" t="s">
        <v>24</v>
      </c>
      <c r="L10" t="s">
        <v>4065</v>
      </c>
      <c r="M10" t="s">
        <v>26</v>
      </c>
      <c r="N10" t="s">
        <v>3918</v>
      </c>
      <c r="O10" t="s">
        <v>24</v>
      </c>
      <c r="P10" t="s">
        <v>24</v>
      </c>
      <c r="Q10" t="s">
        <v>24</v>
      </c>
      <c r="R10" t="s">
        <v>24</v>
      </c>
      <c r="S10" t="s">
        <v>24</v>
      </c>
      <c r="T10" t="s">
        <v>24</v>
      </c>
      <c r="U10" t="s">
        <v>24</v>
      </c>
      <c r="V10" t="s">
        <v>24</v>
      </c>
      <c r="W10" t="s">
        <v>24</v>
      </c>
      <c r="X10" t="s">
        <v>24</v>
      </c>
      <c r="Y10" t="s">
        <v>24</v>
      </c>
      <c r="Z10" t="s">
        <v>24</v>
      </c>
      <c r="AA10" t="s">
        <v>24</v>
      </c>
      <c r="AB10" t="s">
        <v>24</v>
      </c>
      <c r="AC10" t="s">
        <v>24</v>
      </c>
      <c r="AD10" t="s">
        <v>24</v>
      </c>
      <c r="AE10" t="s">
        <v>24</v>
      </c>
      <c r="AF10" t="s">
        <v>4065</v>
      </c>
      <c r="AG10" t="s">
        <v>24</v>
      </c>
      <c r="AH10" t="s">
        <v>26</v>
      </c>
      <c r="AI10" t="s">
        <v>4092</v>
      </c>
      <c r="AJ10" t="s">
        <v>24</v>
      </c>
      <c r="AK10" t="s">
        <v>24</v>
      </c>
      <c r="AL10" t="s">
        <v>4074</v>
      </c>
      <c r="AM10" t="s">
        <v>4075</v>
      </c>
      <c r="AN10" t="s">
        <v>24</v>
      </c>
      <c r="AO10" t="s">
        <v>3919</v>
      </c>
      <c r="AP10" t="s">
        <v>26</v>
      </c>
      <c r="AQ10" t="s">
        <v>24</v>
      </c>
      <c r="AR10" t="s">
        <v>24</v>
      </c>
      <c r="AS10" t="s">
        <v>24</v>
      </c>
      <c r="AT10" t="s">
        <v>24</v>
      </c>
      <c r="AU10" t="s">
        <v>24</v>
      </c>
      <c r="AV10" t="s">
        <v>24</v>
      </c>
      <c r="AW10" t="s">
        <v>24</v>
      </c>
      <c r="AX10" t="s">
        <v>24</v>
      </c>
      <c r="AY10" t="s">
        <v>24</v>
      </c>
      <c r="AZ10" t="s">
        <v>24</v>
      </c>
      <c r="BA10" t="s">
        <v>24</v>
      </c>
      <c r="BB10" t="s">
        <v>24</v>
      </c>
      <c r="BC10" t="s">
        <v>24</v>
      </c>
      <c r="BD10" t="s">
        <v>4076</v>
      </c>
      <c r="BE10" t="s">
        <v>4077</v>
      </c>
      <c r="BF10" t="s">
        <v>24</v>
      </c>
      <c r="BG10" t="s">
        <v>24</v>
      </c>
      <c r="BH10" t="s">
        <v>24</v>
      </c>
      <c r="BI10" t="s">
        <v>24</v>
      </c>
      <c r="BJ10" t="s">
        <v>24</v>
      </c>
      <c r="BK10" t="s">
        <v>24</v>
      </c>
      <c r="BL10" t="s">
        <v>24</v>
      </c>
      <c r="BM10" t="s">
        <v>24</v>
      </c>
      <c r="BN10" t="s">
        <v>24</v>
      </c>
      <c r="BO10" t="s">
        <v>24</v>
      </c>
      <c r="BP10" t="s">
        <v>24</v>
      </c>
      <c r="BQ10" t="s">
        <v>24</v>
      </c>
      <c r="BR10" t="s">
        <v>24</v>
      </c>
      <c r="BS10" t="s">
        <v>3182</v>
      </c>
      <c r="BT10" t="s">
        <v>24</v>
      </c>
      <c r="BU10" t="s">
        <v>24</v>
      </c>
      <c r="BV10" t="s">
        <v>24</v>
      </c>
      <c r="BW10" t="s">
        <v>24</v>
      </c>
      <c r="BX10" t="s">
        <v>24</v>
      </c>
      <c r="BY10" t="s">
        <v>24</v>
      </c>
      <c r="BZ10" t="s">
        <v>24</v>
      </c>
      <c r="CA10" t="s">
        <v>4078</v>
      </c>
      <c r="CB10" t="s">
        <v>24</v>
      </c>
      <c r="CC10" t="s">
        <v>24</v>
      </c>
      <c r="CD10" t="s">
        <v>24</v>
      </c>
      <c r="CE10" t="s">
        <v>24</v>
      </c>
      <c r="CF10" t="s">
        <v>24</v>
      </c>
      <c r="CG10" t="s">
        <v>24</v>
      </c>
      <c r="CH10" t="s">
        <v>24</v>
      </c>
      <c r="CI10" t="s">
        <v>3920</v>
      </c>
      <c r="CJ10" t="s">
        <v>24</v>
      </c>
      <c r="CK10" t="s">
        <v>24</v>
      </c>
      <c r="CL10" t="s">
        <v>24</v>
      </c>
      <c r="CM10" t="s">
        <v>24</v>
      </c>
      <c r="CN10" t="s">
        <v>4065</v>
      </c>
      <c r="CO10" t="s">
        <v>3517</v>
      </c>
      <c r="CP10" t="s">
        <v>4093</v>
      </c>
      <c r="CQ10" t="s">
        <v>3517</v>
      </c>
      <c r="CR10" t="s">
        <v>24</v>
      </c>
      <c r="CS10" t="s">
        <v>24</v>
      </c>
      <c r="CT10" t="s">
        <v>24</v>
      </c>
      <c r="CU10" t="s">
        <v>24</v>
      </c>
      <c r="CV10" t="s">
        <v>24</v>
      </c>
      <c r="CW10" t="s">
        <v>24</v>
      </c>
      <c r="CX10" t="s">
        <v>26</v>
      </c>
      <c r="CY10" t="s">
        <v>24</v>
      </c>
      <c r="CZ10" t="s">
        <v>24</v>
      </c>
      <c r="DA10" t="s">
        <v>24</v>
      </c>
      <c r="DB10" t="s">
        <v>4078</v>
      </c>
      <c r="DC10" t="s">
        <v>24</v>
      </c>
      <c r="DD10" t="s">
        <v>24</v>
      </c>
      <c r="DE10" t="s">
        <v>24</v>
      </c>
      <c r="DF10" t="s">
        <v>3921</v>
      </c>
      <c r="DG10" t="s">
        <v>24</v>
      </c>
      <c r="DH10" t="s">
        <v>24</v>
      </c>
      <c r="DI10" t="s">
        <v>24</v>
      </c>
      <c r="DJ10" t="s">
        <v>24</v>
      </c>
      <c r="DK10" t="s">
        <v>24</v>
      </c>
      <c r="DL10" t="s">
        <v>24</v>
      </c>
      <c r="DM10" t="s">
        <v>24</v>
      </c>
      <c r="DN10" t="s">
        <v>4094</v>
      </c>
      <c r="DO10" t="s">
        <v>4094</v>
      </c>
      <c r="DP10" t="s">
        <v>24</v>
      </c>
      <c r="DQ10" t="s">
        <v>24</v>
      </c>
      <c r="DR10" t="s">
        <v>24</v>
      </c>
      <c r="DS10" t="s">
        <v>24</v>
      </c>
      <c r="DT10" t="s">
        <v>24</v>
      </c>
      <c r="DU10" t="s">
        <v>24</v>
      </c>
      <c r="DV10" t="s">
        <v>24</v>
      </c>
      <c r="DW10" t="s">
        <v>24</v>
      </c>
      <c r="DX10" t="s">
        <v>24</v>
      </c>
      <c r="DY10" t="s">
        <v>24</v>
      </c>
      <c r="DZ10" t="s">
        <v>24</v>
      </c>
      <c r="EA10" t="s">
        <v>24</v>
      </c>
      <c r="EB10" t="s">
        <v>24</v>
      </c>
      <c r="EC10" t="s">
        <v>24</v>
      </c>
      <c r="ED10" t="s">
        <v>24</v>
      </c>
      <c r="EE10" t="s">
        <v>24</v>
      </c>
      <c r="EF10" t="s">
        <v>24</v>
      </c>
      <c r="EG10" t="s">
        <v>24</v>
      </c>
    </row>
    <row r="11" spans="1:137" x14ac:dyDescent="0.25">
      <c r="A11" t="s">
        <v>24</v>
      </c>
      <c r="B11" t="s">
        <v>24</v>
      </c>
      <c r="C11" t="s">
        <v>4042</v>
      </c>
      <c r="D11" t="s">
        <v>3917</v>
      </c>
      <c r="E11" t="s">
        <v>3182</v>
      </c>
      <c r="F11" t="s">
        <v>24</v>
      </c>
      <c r="G11" t="s">
        <v>4050</v>
      </c>
      <c r="H11" t="s">
        <v>3182</v>
      </c>
      <c r="I11" t="s">
        <v>24</v>
      </c>
      <c r="J11" t="s">
        <v>24</v>
      </c>
      <c r="K11" t="s">
        <v>24</v>
      </c>
      <c r="L11" t="s">
        <v>4043</v>
      </c>
      <c r="M11" t="s">
        <v>26</v>
      </c>
      <c r="N11" t="s">
        <v>3918</v>
      </c>
      <c r="O11" t="s">
        <v>24</v>
      </c>
      <c r="P11" t="s">
        <v>24</v>
      </c>
      <c r="Q11" t="s">
        <v>24</v>
      </c>
      <c r="R11" t="s">
        <v>24</v>
      </c>
      <c r="S11" t="s">
        <v>24</v>
      </c>
      <c r="T11" t="s">
        <v>24</v>
      </c>
      <c r="U11" t="s">
        <v>24</v>
      </c>
      <c r="V11" t="s">
        <v>24</v>
      </c>
      <c r="W11" t="s">
        <v>24</v>
      </c>
      <c r="X11" t="s">
        <v>24</v>
      </c>
      <c r="Y11" t="s">
        <v>24</v>
      </c>
      <c r="Z11" t="s">
        <v>24</v>
      </c>
      <c r="AA11" t="s">
        <v>24</v>
      </c>
      <c r="AB11" t="s">
        <v>24</v>
      </c>
      <c r="AC11" t="s">
        <v>24</v>
      </c>
      <c r="AD11" t="s">
        <v>24</v>
      </c>
      <c r="AE11" t="s">
        <v>24</v>
      </c>
      <c r="AF11" t="s">
        <v>4043</v>
      </c>
      <c r="AG11" t="s">
        <v>24</v>
      </c>
      <c r="AH11" t="s">
        <v>26</v>
      </c>
      <c r="AI11" t="s">
        <v>4198</v>
      </c>
      <c r="AJ11" t="s">
        <v>24</v>
      </c>
      <c r="AK11" t="s">
        <v>24</v>
      </c>
      <c r="AL11" t="s">
        <v>4051</v>
      </c>
      <c r="AM11" t="s">
        <v>4052</v>
      </c>
      <c r="AN11" t="s">
        <v>24</v>
      </c>
      <c r="AO11" t="s">
        <v>3919</v>
      </c>
      <c r="AP11" t="s">
        <v>26</v>
      </c>
      <c r="AQ11" t="s">
        <v>24</v>
      </c>
      <c r="AR11" t="s">
        <v>24</v>
      </c>
      <c r="AS11" t="s">
        <v>24</v>
      </c>
      <c r="AT11" t="s">
        <v>24</v>
      </c>
      <c r="AU11" t="s">
        <v>24</v>
      </c>
      <c r="AV11" t="s">
        <v>24</v>
      </c>
      <c r="AW11" t="s">
        <v>24</v>
      </c>
      <c r="AX11" t="s">
        <v>24</v>
      </c>
      <c r="AY11" t="s">
        <v>24</v>
      </c>
      <c r="AZ11" t="s">
        <v>24</v>
      </c>
      <c r="BA11" t="s">
        <v>24</v>
      </c>
      <c r="BB11" t="s">
        <v>24</v>
      </c>
      <c r="BC11" t="s">
        <v>24</v>
      </c>
      <c r="BD11" t="s">
        <v>4048</v>
      </c>
      <c r="BE11" t="s">
        <v>4049</v>
      </c>
      <c r="BF11" t="s">
        <v>24</v>
      </c>
      <c r="BG11" t="s">
        <v>24</v>
      </c>
      <c r="BH11" t="s">
        <v>24</v>
      </c>
      <c r="BI11" t="s">
        <v>24</v>
      </c>
      <c r="BJ11" t="s">
        <v>24</v>
      </c>
      <c r="BK11" t="s">
        <v>24</v>
      </c>
      <c r="BL11" t="s">
        <v>24</v>
      </c>
      <c r="BM11" t="s">
        <v>24</v>
      </c>
      <c r="BN11" t="s">
        <v>24</v>
      </c>
      <c r="BO11" t="s">
        <v>24</v>
      </c>
      <c r="BP11" t="s">
        <v>24</v>
      </c>
      <c r="BQ11" t="s">
        <v>24</v>
      </c>
      <c r="BR11" t="s">
        <v>24</v>
      </c>
      <c r="BS11" t="s">
        <v>3182</v>
      </c>
      <c r="BT11" t="s">
        <v>24</v>
      </c>
      <c r="BU11" t="s">
        <v>24</v>
      </c>
      <c r="BV11" t="s">
        <v>24</v>
      </c>
      <c r="BW11" t="s">
        <v>24</v>
      </c>
      <c r="BX11" t="s">
        <v>24</v>
      </c>
      <c r="BY11" t="s">
        <v>24</v>
      </c>
      <c r="BZ11" t="s">
        <v>24</v>
      </c>
      <c r="CA11" t="s">
        <v>4199</v>
      </c>
      <c r="CB11" t="s">
        <v>24</v>
      </c>
      <c r="CC11" t="s">
        <v>24</v>
      </c>
      <c r="CD11" t="s">
        <v>24</v>
      </c>
      <c r="CE11" t="s">
        <v>24</v>
      </c>
      <c r="CF11" t="s">
        <v>24</v>
      </c>
      <c r="CG11" t="s">
        <v>24</v>
      </c>
      <c r="CH11" t="s">
        <v>24</v>
      </c>
      <c r="CI11" t="s">
        <v>3920</v>
      </c>
      <c r="CJ11" t="s">
        <v>24</v>
      </c>
      <c r="CK11" t="s">
        <v>24</v>
      </c>
      <c r="CL11" t="s">
        <v>24</v>
      </c>
      <c r="CM11" t="s">
        <v>24</v>
      </c>
      <c r="CN11" t="s">
        <v>4043</v>
      </c>
      <c r="CO11" t="s">
        <v>3517</v>
      </c>
      <c r="CP11" t="s">
        <v>4200</v>
      </c>
      <c r="CQ11" t="s">
        <v>3517</v>
      </c>
      <c r="CR11" t="s">
        <v>24</v>
      </c>
      <c r="CS11" t="s">
        <v>24</v>
      </c>
      <c r="CT11" t="s">
        <v>24</v>
      </c>
      <c r="CU11" t="s">
        <v>24</v>
      </c>
      <c r="CV11" t="s">
        <v>24</v>
      </c>
      <c r="CW11" t="s">
        <v>24</v>
      </c>
      <c r="CX11" t="s">
        <v>26</v>
      </c>
      <c r="CY11" t="s">
        <v>24</v>
      </c>
      <c r="CZ11" t="s">
        <v>24</v>
      </c>
      <c r="DA11" t="s">
        <v>24</v>
      </c>
      <c r="DB11" t="s">
        <v>4201</v>
      </c>
      <c r="DC11" t="s">
        <v>24</v>
      </c>
      <c r="DD11" t="s">
        <v>24</v>
      </c>
      <c r="DE11" t="s">
        <v>24</v>
      </c>
      <c r="DF11" t="s">
        <v>3921</v>
      </c>
      <c r="DG11" t="s">
        <v>24</v>
      </c>
      <c r="DH11" t="s">
        <v>24</v>
      </c>
      <c r="DI11" t="s">
        <v>24</v>
      </c>
      <c r="DJ11" t="s">
        <v>24</v>
      </c>
      <c r="DK11" t="s">
        <v>24</v>
      </c>
      <c r="DL11" t="s">
        <v>24</v>
      </c>
      <c r="DM11" t="s">
        <v>24</v>
      </c>
      <c r="DN11" t="s">
        <v>4202</v>
      </c>
      <c r="DO11" t="s">
        <v>4202</v>
      </c>
      <c r="DP11" t="s">
        <v>24</v>
      </c>
      <c r="DQ11" t="s">
        <v>24</v>
      </c>
      <c r="DR11" t="s">
        <v>24</v>
      </c>
      <c r="DS11" t="s">
        <v>24</v>
      </c>
      <c r="DT11" t="s">
        <v>24</v>
      </c>
      <c r="DU11" t="s">
        <v>24</v>
      </c>
      <c r="DV11" t="s">
        <v>24</v>
      </c>
      <c r="DW11" t="s">
        <v>24</v>
      </c>
      <c r="DX11" t="s">
        <v>24</v>
      </c>
      <c r="DY11" t="s">
        <v>24</v>
      </c>
      <c r="DZ11" t="s">
        <v>24</v>
      </c>
      <c r="EA11" t="s">
        <v>24</v>
      </c>
      <c r="EB11" t="s">
        <v>24</v>
      </c>
      <c r="EC11" t="s">
        <v>24</v>
      </c>
      <c r="ED11" t="s">
        <v>24</v>
      </c>
      <c r="EE11" t="s">
        <v>24</v>
      </c>
      <c r="EF11" t="s">
        <v>24</v>
      </c>
      <c r="EG11" t="s">
        <v>24</v>
      </c>
    </row>
    <row r="12" spans="1:137" x14ac:dyDescent="0.25">
      <c r="A12" t="s">
        <v>24</v>
      </c>
      <c r="B12" t="s">
        <v>24</v>
      </c>
      <c r="C12" t="s">
        <v>4040</v>
      </c>
      <c r="D12" t="s">
        <v>3917</v>
      </c>
      <c r="E12" t="s">
        <v>3182</v>
      </c>
      <c r="F12" t="s">
        <v>24</v>
      </c>
      <c r="G12" t="s">
        <v>4053</v>
      </c>
      <c r="H12" t="s">
        <v>3182</v>
      </c>
      <c r="I12" t="s">
        <v>24</v>
      </c>
      <c r="J12" t="s">
        <v>24</v>
      </c>
      <c r="K12" t="s">
        <v>24</v>
      </c>
      <c r="L12" t="s">
        <v>4041</v>
      </c>
      <c r="M12" t="s">
        <v>26</v>
      </c>
      <c r="N12" t="s">
        <v>3918</v>
      </c>
      <c r="O12" t="s">
        <v>24</v>
      </c>
      <c r="P12" t="s">
        <v>24</v>
      </c>
      <c r="Q12" t="s">
        <v>24</v>
      </c>
      <c r="R12" t="s">
        <v>24</v>
      </c>
      <c r="S12" t="s">
        <v>24</v>
      </c>
      <c r="T12" t="s">
        <v>24</v>
      </c>
      <c r="U12" t="s">
        <v>24</v>
      </c>
      <c r="V12" t="s">
        <v>24</v>
      </c>
      <c r="W12" t="s">
        <v>24</v>
      </c>
      <c r="X12" t="s">
        <v>24</v>
      </c>
      <c r="Y12" t="s">
        <v>24</v>
      </c>
      <c r="Z12" t="s">
        <v>24</v>
      </c>
      <c r="AA12" t="s">
        <v>24</v>
      </c>
      <c r="AB12" t="s">
        <v>24</v>
      </c>
      <c r="AC12" t="s">
        <v>24</v>
      </c>
      <c r="AD12" t="s">
        <v>24</v>
      </c>
      <c r="AE12" t="s">
        <v>24</v>
      </c>
      <c r="AF12" t="s">
        <v>4041</v>
      </c>
      <c r="AG12" t="s">
        <v>24</v>
      </c>
      <c r="AH12" t="s">
        <v>26</v>
      </c>
      <c r="AI12" t="s">
        <v>4054</v>
      </c>
      <c r="AJ12" t="s">
        <v>24</v>
      </c>
      <c r="AK12" t="s">
        <v>24</v>
      </c>
      <c r="AL12" t="s">
        <v>4055</v>
      </c>
      <c r="AM12" t="s">
        <v>4056</v>
      </c>
      <c r="AN12" t="s">
        <v>24</v>
      </c>
      <c r="AO12" t="s">
        <v>3919</v>
      </c>
      <c r="AP12" t="s">
        <v>26</v>
      </c>
      <c r="AQ12" t="s">
        <v>24</v>
      </c>
      <c r="AR12" t="s">
        <v>24</v>
      </c>
      <c r="AS12" t="s">
        <v>24</v>
      </c>
      <c r="AT12" t="s">
        <v>24</v>
      </c>
      <c r="AU12" t="s">
        <v>24</v>
      </c>
      <c r="AV12" t="s">
        <v>24</v>
      </c>
      <c r="AW12" t="s">
        <v>24</v>
      </c>
      <c r="AX12" t="s">
        <v>24</v>
      </c>
      <c r="AY12" t="s">
        <v>24</v>
      </c>
      <c r="AZ12" t="s">
        <v>24</v>
      </c>
      <c r="BA12" t="s">
        <v>24</v>
      </c>
      <c r="BB12" t="s">
        <v>24</v>
      </c>
      <c r="BC12" t="s">
        <v>24</v>
      </c>
      <c r="BD12" t="s">
        <v>3922</v>
      </c>
      <c r="BE12" t="s">
        <v>3923</v>
      </c>
      <c r="BF12" t="s">
        <v>24</v>
      </c>
      <c r="BG12" t="s">
        <v>24</v>
      </c>
      <c r="BH12" t="s">
        <v>24</v>
      </c>
      <c r="BI12" t="s">
        <v>24</v>
      </c>
      <c r="BJ12" t="s">
        <v>24</v>
      </c>
      <c r="BK12" t="s">
        <v>24</v>
      </c>
      <c r="BL12" t="s">
        <v>24</v>
      </c>
      <c r="BM12" t="s">
        <v>24</v>
      </c>
      <c r="BN12" t="s">
        <v>24</v>
      </c>
      <c r="BO12" t="s">
        <v>24</v>
      </c>
      <c r="BP12" t="s">
        <v>24</v>
      </c>
      <c r="BQ12" t="s">
        <v>24</v>
      </c>
      <c r="BR12" t="s">
        <v>24</v>
      </c>
      <c r="BS12" t="s">
        <v>3182</v>
      </c>
      <c r="BT12" t="s">
        <v>24</v>
      </c>
      <c r="BU12" t="s">
        <v>24</v>
      </c>
      <c r="BV12" t="s">
        <v>24</v>
      </c>
      <c r="BW12" t="s">
        <v>24</v>
      </c>
      <c r="BX12" t="s">
        <v>24</v>
      </c>
      <c r="BY12" t="s">
        <v>24</v>
      </c>
      <c r="BZ12" t="s">
        <v>24</v>
      </c>
      <c r="CA12" t="s">
        <v>24</v>
      </c>
      <c r="CB12" t="s">
        <v>24</v>
      </c>
      <c r="CC12" t="s">
        <v>24</v>
      </c>
      <c r="CD12" t="s">
        <v>24</v>
      </c>
      <c r="CE12" t="s">
        <v>24</v>
      </c>
      <c r="CF12" t="s">
        <v>24</v>
      </c>
      <c r="CG12" t="s">
        <v>24</v>
      </c>
      <c r="CH12" t="s">
        <v>24</v>
      </c>
      <c r="CI12" t="s">
        <v>3920</v>
      </c>
      <c r="CJ12" t="s">
        <v>24</v>
      </c>
      <c r="CK12" t="s">
        <v>24</v>
      </c>
      <c r="CL12" t="s">
        <v>24</v>
      </c>
      <c r="CM12" t="s">
        <v>24</v>
      </c>
      <c r="CN12" t="s">
        <v>4041</v>
      </c>
      <c r="CO12" t="s">
        <v>3517</v>
      </c>
      <c r="CP12" t="s">
        <v>4041</v>
      </c>
      <c r="CQ12" t="s">
        <v>3517</v>
      </c>
      <c r="CR12" t="s">
        <v>24</v>
      </c>
      <c r="CS12" t="s">
        <v>24</v>
      </c>
      <c r="CT12" t="s">
        <v>24</v>
      </c>
      <c r="CU12" t="s">
        <v>24</v>
      </c>
      <c r="CV12" t="s">
        <v>24</v>
      </c>
      <c r="CW12" t="s">
        <v>24</v>
      </c>
      <c r="CX12" t="s">
        <v>26</v>
      </c>
      <c r="CY12" t="s">
        <v>24</v>
      </c>
      <c r="CZ12" t="s">
        <v>24</v>
      </c>
      <c r="DA12" t="s">
        <v>24</v>
      </c>
      <c r="DB12" t="s">
        <v>24</v>
      </c>
      <c r="DC12" t="s">
        <v>24</v>
      </c>
      <c r="DD12" t="s">
        <v>24</v>
      </c>
      <c r="DE12" t="s">
        <v>24</v>
      </c>
      <c r="DF12" t="s">
        <v>3921</v>
      </c>
      <c r="DG12" t="s">
        <v>24</v>
      </c>
      <c r="DH12" t="s">
        <v>24</v>
      </c>
      <c r="DI12" t="s">
        <v>24</v>
      </c>
      <c r="DJ12" t="s">
        <v>24</v>
      </c>
      <c r="DK12" t="s">
        <v>24</v>
      </c>
      <c r="DL12" t="s">
        <v>24</v>
      </c>
      <c r="DM12" t="s">
        <v>24</v>
      </c>
      <c r="DN12" t="s">
        <v>4041</v>
      </c>
      <c r="DO12" t="s">
        <v>4041</v>
      </c>
      <c r="DP12" t="s">
        <v>24</v>
      </c>
      <c r="DQ12" t="s">
        <v>24</v>
      </c>
      <c r="DR12" t="s">
        <v>24</v>
      </c>
      <c r="DS12" t="s">
        <v>24</v>
      </c>
      <c r="DT12" t="s">
        <v>24</v>
      </c>
      <c r="DU12" t="s">
        <v>24</v>
      </c>
      <c r="DV12" t="s">
        <v>24</v>
      </c>
      <c r="DW12" t="s">
        <v>24</v>
      </c>
      <c r="DX12" t="s">
        <v>24</v>
      </c>
      <c r="DY12" t="s">
        <v>24</v>
      </c>
      <c r="DZ12" t="s">
        <v>24</v>
      </c>
      <c r="EA12" t="s">
        <v>24</v>
      </c>
      <c r="EB12" t="s">
        <v>24</v>
      </c>
      <c r="EC12" t="s">
        <v>24</v>
      </c>
      <c r="ED12" t="s">
        <v>24</v>
      </c>
      <c r="EE12" t="s">
        <v>24</v>
      </c>
      <c r="EF12" t="s">
        <v>24</v>
      </c>
      <c r="EG12" t="s">
        <v>24</v>
      </c>
    </row>
    <row r="13" spans="1:137" x14ac:dyDescent="0.25">
      <c r="A13" t="s">
        <v>24</v>
      </c>
      <c r="B13" t="s">
        <v>24</v>
      </c>
      <c r="C13" t="s">
        <v>4023</v>
      </c>
      <c r="D13" t="s">
        <v>3917</v>
      </c>
      <c r="E13" t="s">
        <v>3182</v>
      </c>
      <c r="F13" t="s">
        <v>24</v>
      </c>
      <c r="G13" t="s">
        <v>4057</v>
      </c>
      <c r="H13" t="s">
        <v>3182</v>
      </c>
      <c r="I13" t="s">
        <v>24</v>
      </c>
      <c r="J13" t="s">
        <v>24</v>
      </c>
      <c r="K13" t="s">
        <v>24</v>
      </c>
      <c r="L13" t="s">
        <v>4025</v>
      </c>
      <c r="M13" t="s">
        <v>26</v>
      </c>
      <c r="N13" t="s">
        <v>3918</v>
      </c>
      <c r="O13" t="s">
        <v>24</v>
      </c>
      <c r="P13" t="s">
        <v>24</v>
      </c>
      <c r="Q13" t="s">
        <v>24</v>
      </c>
      <c r="R13" t="s">
        <v>24</v>
      </c>
      <c r="S13" t="s">
        <v>24</v>
      </c>
      <c r="T13" t="s">
        <v>24</v>
      </c>
      <c r="U13" t="s">
        <v>24</v>
      </c>
      <c r="V13" t="s">
        <v>24</v>
      </c>
      <c r="W13" t="s">
        <v>24</v>
      </c>
      <c r="X13" t="s">
        <v>24</v>
      </c>
      <c r="Y13" t="s">
        <v>24</v>
      </c>
      <c r="Z13" t="s">
        <v>24</v>
      </c>
      <c r="AA13" t="s">
        <v>24</v>
      </c>
      <c r="AB13" t="s">
        <v>24</v>
      </c>
      <c r="AC13" t="s">
        <v>24</v>
      </c>
      <c r="AD13" t="s">
        <v>24</v>
      </c>
      <c r="AE13" t="s">
        <v>24</v>
      </c>
      <c r="AF13" t="s">
        <v>4025</v>
      </c>
      <c r="AG13" t="s">
        <v>24</v>
      </c>
      <c r="AH13" t="s">
        <v>26</v>
      </c>
      <c r="AI13" t="s">
        <v>4058</v>
      </c>
      <c r="AJ13" t="s">
        <v>24</v>
      </c>
      <c r="AK13" t="s">
        <v>24</v>
      </c>
      <c r="AL13" t="s">
        <v>4059</v>
      </c>
      <c r="AM13" t="s">
        <v>4060</v>
      </c>
      <c r="AN13" t="s">
        <v>24</v>
      </c>
      <c r="AO13" t="s">
        <v>3919</v>
      </c>
      <c r="AP13" t="s">
        <v>26</v>
      </c>
      <c r="AQ13" t="s">
        <v>24</v>
      </c>
      <c r="AR13" t="s">
        <v>24</v>
      </c>
      <c r="AS13" t="s">
        <v>24</v>
      </c>
      <c r="AT13" t="s">
        <v>24</v>
      </c>
      <c r="AU13" t="s">
        <v>24</v>
      </c>
      <c r="AV13" t="s">
        <v>24</v>
      </c>
      <c r="AW13" t="s">
        <v>24</v>
      </c>
      <c r="AX13" t="s">
        <v>24</v>
      </c>
      <c r="AY13" t="s">
        <v>24</v>
      </c>
      <c r="AZ13" t="s">
        <v>24</v>
      </c>
      <c r="BA13" t="s">
        <v>24</v>
      </c>
      <c r="BB13" t="s">
        <v>24</v>
      </c>
      <c r="BC13" t="s">
        <v>24</v>
      </c>
      <c r="BD13" t="s">
        <v>3922</v>
      </c>
      <c r="BE13" t="s">
        <v>3923</v>
      </c>
      <c r="BF13" t="s">
        <v>24</v>
      </c>
      <c r="BG13" t="s">
        <v>24</v>
      </c>
      <c r="BH13" t="s">
        <v>24</v>
      </c>
      <c r="BI13" t="s">
        <v>24</v>
      </c>
      <c r="BJ13" t="s">
        <v>24</v>
      </c>
      <c r="BK13" t="s">
        <v>24</v>
      </c>
      <c r="BL13" t="s">
        <v>24</v>
      </c>
      <c r="BM13" t="s">
        <v>24</v>
      </c>
      <c r="BN13" t="s">
        <v>24</v>
      </c>
      <c r="BO13" t="s">
        <v>24</v>
      </c>
      <c r="BP13" t="s">
        <v>24</v>
      </c>
      <c r="BQ13" t="s">
        <v>24</v>
      </c>
      <c r="BR13" t="s">
        <v>24</v>
      </c>
      <c r="BS13" t="s">
        <v>3182</v>
      </c>
      <c r="BT13" t="s">
        <v>24</v>
      </c>
      <c r="BU13" t="s">
        <v>24</v>
      </c>
      <c r="BV13" t="s">
        <v>24</v>
      </c>
      <c r="BW13" t="s">
        <v>24</v>
      </c>
      <c r="BX13" t="s">
        <v>24</v>
      </c>
      <c r="BY13" t="s">
        <v>24</v>
      </c>
      <c r="BZ13" t="s">
        <v>24</v>
      </c>
      <c r="CA13" t="s">
        <v>24</v>
      </c>
      <c r="CB13" t="s">
        <v>24</v>
      </c>
      <c r="CC13" t="s">
        <v>24</v>
      </c>
      <c r="CD13" t="s">
        <v>24</v>
      </c>
      <c r="CE13" t="s">
        <v>24</v>
      </c>
      <c r="CF13" t="s">
        <v>24</v>
      </c>
      <c r="CG13" t="s">
        <v>24</v>
      </c>
      <c r="CH13" t="s">
        <v>24</v>
      </c>
      <c r="CI13" t="s">
        <v>3920</v>
      </c>
      <c r="CJ13" t="s">
        <v>24</v>
      </c>
      <c r="CK13" t="s">
        <v>24</v>
      </c>
      <c r="CL13" t="s">
        <v>24</v>
      </c>
      <c r="CM13" t="s">
        <v>24</v>
      </c>
      <c r="CN13" t="s">
        <v>4025</v>
      </c>
      <c r="CO13" t="s">
        <v>3517</v>
      </c>
      <c r="CP13" t="s">
        <v>4025</v>
      </c>
      <c r="CQ13" t="s">
        <v>3517</v>
      </c>
      <c r="CR13" t="s">
        <v>24</v>
      </c>
      <c r="CS13" t="s">
        <v>24</v>
      </c>
      <c r="CT13" t="s">
        <v>24</v>
      </c>
      <c r="CU13" t="s">
        <v>24</v>
      </c>
      <c r="CV13" t="s">
        <v>24</v>
      </c>
      <c r="CW13" t="s">
        <v>24</v>
      </c>
      <c r="CX13" t="s">
        <v>26</v>
      </c>
      <c r="CY13" t="s">
        <v>24</v>
      </c>
      <c r="CZ13" t="s">
        <v>24</v>
      </c>
      <c r="DA13" t="s">
        <v>24</v>
      </c>
      <c r="DB13" t="s">
        <v>24</v>
      </c>
      <c r="DC13" t="s">
        <v>24</v>
      </c>
      <c r="DD13" t="s">
        <v>24</v>
      </c>
      <c r="DE13" t="s">
        <v>24</v>
      </c>
      <c r="DF13" t="s">
        <v>3921</v>
      </c>
      <c r="DG13" t="s">
        <v>24</v>
      </c>
      <c r="DH13" t="s">
        <v>24</v>
      </c>
      <c r="DI13" t="s">
        <v>24</v>
      </c>
      <c r="DJ13" t="s">
        <v>24</v>
      </c>
      <c r="DK13" t="s">
        <v>24</v>
      </c>
      <c r="DL13" t="s">
        <v>24</v>
      </c>
      <c r="DM13" t="s">
        <v>24</v>
      </c>
      <c r="DN13" t="s">
        <v>4025</v>
      </c>
      <c r="DO13" t="s">
        <v>4025</v>
      </c>
      <c r="DP13" t="s">
        <v>24</v>
      </c>
      <c r="DQ13" t="s">
        <v>24</v>
      </c>
      <c r="DR13" t="s">
        <v>24</v>
      </c>
      <c r="DS13" t="s">
        <v>24</v>
      </c>
      <c r="DT13" t="s">
        <v>24</v>
      </c>
      <c r="DU13" t="s">
        <v>24</v>
      </c>
      <c r="DV13" t="s">
        <v>24</v>
      </c>
      <c r="DW13" t="s">
        <v>24</v>
      </c>
      <c r="DX13" t="s">
        <v>24</v>
      </c>
      <c r="DY13" t="s">
        <v>24</v>
      </c>
      <c r="DZ13" t="s">
        <v>24</v>
      </c>
      <c r="EA13" t="s">
        <v>24</v>
      </c>
      <c r="EB13" t="s">
        <v>24</v>
      </c>
      <c r="EC13" t="s">
        <v>24</v>
      </c>
      <c r="ED13" t="s">
        <v>24</v>
      </c>
      <c r="EE13" t="s">
        <v>24</v>
      </c>
      <c r="EF13" t="s">
        <v>24</v>
      </c>
      <c r="EG13" t="s">
        <v>24</v>
      </c>
    </row>
    <row r="14" spans="1:137" x14ac:dyDescent="0.25">
      <c r="A14" t="s">
        <v>24</v>
      </c>
      <c r="B14" t="s">
        <v>24</v>
      </c>
      <c r="C14" t="s">
        <v>4008</v>
      </c>
      <c r="D14" t="s">
        <v>3917</v>
      </c>
      <c r="E14" t="s">
        <v>3182</v>
      </c>
      <c r="F14" t="s">
        <v>24</v>
      </c>
      <c r="G14" t="s">
        <v>4009</v>
      </c>
      <c r="H14" t="s">
        <v>3182</v>
      </c>
      <c r="I14" t="s">
        <v>24</v>
      </c>
      <c r="J14" t="s">
        <v>24</v>
      </c>
      <c r="K14" t="s">
        <v>24</v>
      </c>
      <c r="L14" t="s">
        <v>4010</v>
      </c>
      <c r="M14" t="s">
        <v>26</v>
      </c>
      <c r="N14" t="s">
        <v>3918</v>
      </c>
      <c r="O14" t="s">
        <v>24</v>
      </c>
      <c r="P14" t="s">
        <v>24</v>
      </c>
      <c r="Q14" t="s">
        <v>24</v>
      </c>
      <c r="R14" t="s">
        <v>24</v>
      </c>
      <c r="S14" t="s">
        <v>24</v>
      </c>
      <c r="T14" t="s">
        <v>24</v>
      </c>
      <c r="U14" t="s">
        <v>24</v>
      </c>
      <c r="V14" t="s">
        <v>24</v>
      </c>
      <c r="W14" t="s">
        <v>24</v>
      </c>
      <c r="X14" t="s">
        <v>24</v>
      </c>
      <c r="Y14" t="s">
        <v>24</v>
      </c>
      <c r="Z14" t="s">
        <v>24</v>
      </c>
      <c r="AA14" t="s">
        <v>24</v>
      </c>
      <c r="AB14" t="s">
        <v>24</v>
      </c>
      <c r="AC14" t="s">
        <v>24</v>
      </c>
      <c r="AD14" t="s">
        <v>24</v>
      </c>
      <c r="AE14" t="s">
        <v>24</v>
      </c>
      <c r="AF14" t="s">
        <v>4010</v>
      </c>
      <c r="AG14" t="s">
        <v>24</v>
      </c>
      <c r="AH14" t="s">
        <v>26</v>
      </c>
      <c r="AI14" t="s">
        <v>4011</v>
      </c>
      <c r="AJ14" t="s">
        <v>24</v>
      </c>
      <c r="AK14" t="s">
        <v>24</v>
      </c>
      <c r="AL14" t="s">
        <v>4012</v>
      </c>
      <c r="AM14" t="s">
        <v>4013</v>
      </c>
      <c r="AN14" t="s">
        <v>24</v>
      </c>
      <c r="AO14" t="s">
        <v>3919</v>
      </c>
      <c r="AP14" t="s">
        <v>26</v>
      </c>
      <c r="AQ14" t="s">
        <v>24</v>
      </c>
      <c r="AR14" t="s">
        <v>24</v>
      </c>
      <c r="AS14" t="s">
        <v>24</v>
      </c>
      <c r="AT14" t="s">
        <v>24</v>
      </c>
      <c r="AU14" t="s">
        <v>24</v>
      </c>
      <c r="AV14" t="s">
        <v>24</v>
      </c>
      <c r="AW14" t="s">
        <v>24</v>
      </c>
      <c r="AX14" t="s">
        <v>24</v>
      </c>
      <c r="AY14" t="s">
        <v>24</v>
      </c>
      <c r="AZ14" t="s">
        <v>24</v>
      </c>
      <c r="BA14" t="s">
        <v>24</v>
      </c>
      <c r="BB14" t="s">
        <v>24</v>
      </c>
      <c r="BC14" t="s">
        <v>24</v>
      </c>
      <c r="BD14" t="s">
        <v>4006</v>
      </c>
      <c r="BE14" t="s">
        <v>4007</v>
      </c>
      <c r="BF14" t="s">
        <v>24</v>
      </c>
      <c r="BG14" t="s">
        <v>24</v>
      </c>
      <c r="BH14" t="s">
        <v>24</v>
      </c>
      <c r="BI14" t="s">
        <v>24</v>
      </c>
      <c r="BJ14" t="s">
        <v>24</v>
      </c>
      <c r="BK14" t="s">
        <v>24</v>
      </c>
      <c r="BL14" t="s">
        <v>24</v>
      </c>
      <c r="BM14" t="s">
        <v>24</v>
      </c>
      <c r="BN14" t="s">
        <v>24</v>
      </c>
      <c r="BO14" t="s">
        <v>24</v>
      </c>
      <c r="BP14" t="s">
        <v>24</v>
      </c>
      <c r="BQ14" t="s">
        <v>24</v>
      </c>
      <c r="BR14" t="s">
        <v>24</v>
      </c>
      <c r="BS14" t="s">
        <v>3182</v>
      </c>
      <c r="BT14" t="s">
        <v>24</v>
      </c>
      <c r="BU14" t="s">
        <v>24</v>
      </c>
      <c r="BV14" t="s">
        <v>24</v>
      </c>
      <c r="BW14" t="s">
        <v>24</v>
      </c>
      <c r="BX14" t="s">
        <v>24</v>
      </c>
      <c r="BY14" t="s">
        <v>24</v>
      </c>
      <c r="BZ14" t="s">
        <v>24</v>
      </c>
      <c r="CA14" t="s">
        <v>24</v>
      </c>
      <c r="CB14" t="s">
        <v>24</v>
      </c>
      <c r="CC14" t="s">
        <v>24</v>
      </c>
      <c r="CD14" t="s">
        <v>24</v>
      </c>
      <c r="CE14" t="s">
        <v>24</v>
      </c>
      <c r="CF14" t="s">
        <v>24</v>
      </c>
      <c r="CG14" t="s">
        <v>24</v>
      </c>
      <c r="CH14" t="s">
        <v>24</v>
      </c>
      <c r="CI14" t="s">
        <v>3920</v>
      </c>
      <c r="CJ14" t="s">
        <v>24</v>
      </c>
      <c r="CK14" t="s">
        <v>24</v>
      </c>
      <c r="CL14" t="s">
        <v>24</v>
      </c>
      <c r="CM14" t="s">
        <v>24</v>
      </c>
      <c r="CN14" t="s">
        <v>4010</v>
      </c>
      <c r="CO14" t="s">
        <v>3517</v>
      </c>
      <c r="CP14" t="s">
        <v>4010</v>
      </c>
      <c r="CQ14" t="s">
        <v>3517</v>
      </c>
      <c r="CR14" t="s">
        <v>24</v>
      </c>
      <c r="CS14" t="s">
        <v>24</v>
      </c>
      <c r="CT14" t="s">
        <v>24</v>
      </c>
      <c r="CU14" t="s">
        <v>24</v>
      </c>
      <c r="CV14" t="s">
        <v>24</v>
      </c>
      <c r="CW14" t="s">
        <v>24</v>
      </c>
      <c r="CX14" t="s">
        <v>26</v>
      </c>
      <c r="CY14" t="s">
        <v>24</v>
      </c>
      <c r="CZ14" t="s">
        <v>24</v>
      </c>
      <c r="DA14" t="s">
        <v>24</v>
      </c>
      <c r="DB14" t="s">
        <v>24</v>
      </c>
      <c r="DC14" t="s">
        <v>24</v>
      </c>
      <c r="DD14" t="s">
        <v>24</v>
      </c>
      <c r="DE14" t="s">
        <v>24</v>
      </c>
      <c r="DF14" t="s">
        <v>3921</v>
      </c>
      <c r="DG14" t="s">
        <v>24</v>
      </c>
      <c r="DH14" t="s">
        <v>24</v>
      </c>
      <c r="DI14" t="s">
        <v>24</v>
      </c>
      <c r="DJ14" t="s">
        <v>24</v>
      </c>
      <c r="DK14" t="s">
        <v>24</v>
      </c>
      <c r="DL14" t="s">
        <v>24</v>
      </c>
      <c r="DM14" t="s">
        <v>24</v>
      </c>
      <c r="DN14" t="s">
        <v>4010</v>
      </c>
      <c r="DO14" t="s">
        <v>4010</v>
      </c>
      <c r="DP14" t="s">
        <v>24</v>
      </c>
      <c r="DQ14" t="s">
        <v>24</v>
      </c>
      <c r="DR14" t="s">
        <v>24</v>
      </c>
      <c r="DS14" t="s">
        <v>24</v>
      </c>
      <c r="DT14" t="s">
        <v>24</v>
      </c>
      <c r="DU14" t="s">
        <v>24</v>
      </c>
      <c r="DV14" t="s">
        <v>24</v>
      </c>
      <c r="DW14" t="s">
        <v>24</v>
      </c>
      <c r="DX14" t="s">
        <v>24</v>
      </c>
      <c r="DY14" t="s">
        <v>24</v>
      </c>
      <c r="DZ14" t="s">
        <v>24</v>
      </c>
      <c r="EA14" t="s">
        <v>24</v>
      </c>
      <c r="EB14" t="s">
        <v>24</v>
      </c>
      <c r="EC14" t="s">
        <v>24</v>
      </c>
      <c r="ED14" t="s">
        <v>24</v>
      </c>
      <c r="EE14" t="s">
        <v>24</v>
      </c>
      <c r="EF14" t="s">
        <v>24</v>
      </c>
      <c r="EG14" t="s">
        <v>24</v>
      </c>
    </row>
    <row r="15" spans="1:137" x14ac:dyDescent="0.25">
      <c r="A15" t="s">
        <v>24</v>
      </c>
      <c r="B15" t="s">
        <v>24</v>
      </c>
      <c r="C15" t="s">
        <v>3999</v>
      </c>
      <c r="D15" t="s">
        <v>3917</v>
      </c>
      <c r="E15" t="s">
        <v>3182</v>
      </c>
      <c r="F15" t="s">
        <v>24</v>
      </c>
      <c r="G15" t="s">
        <v>4000</v>
      </c>
      <c r="H15" t="s">
        <v>3182</v>
      </c>
      <c r="I15" t="s">
        <v>24</v>
      </c>
      <c r="J15" t="s">
        <v>24</v>
      </c>
      <c r="K15" t="s">
        <v>24</v>
      </c>
      <c r="L15" t="s">
        <v>4001</v>
      </c>
      <c r="M15" t="s">
        <v>26</v>
      </c>
      <c r="N15" t="s">
        <v>3918</v>
      </c>
      <c r="O15" t="s">
        <v>24</v>
      </c>
      <c r="P15" t="s">
        <v>24</v>
      </c>
      <c r="Q15" t="s">
        <v>24</v>
      </c>
      <c r="R15" t="s">
        <v>24</v>
      </c>
      <c r="S15" t="s">
        <v>24</v>
      </c>
      <c r="T15" t="s">
        <v>24</v>
      </c>
      <c r="U15" t="s">
        <v>24</v>
      </c>
      <c r="V15" t="s">
        <v>24</v>
      </c>
      <c r="W15" t="s">
        <v>24</v>
      </c>
      <c r="X15" t="s">
        <v>24</v>
      </c>
      <c r="Y15" t="s">
        <v>24</v>
      </c>
      <c r="Z15" t="s">
        <v>24</v>
      </c>
      <c r="AA15" t="s">
        <v>24</v>
      </c>
      <c r="AB15" t="s">
        <v>24</v>
      </c>
      <c r="AC15" t="s">
        <v>24</v>
      </c>
      <c r="AD15" t="s">
        <v>24</v>
      </c>
      <c r="AE15" t="s">
        <v>24</v>
      </c>
      <c r="AF15" t="s">
        <v>4001</v>
      </c>
      <c r="AG15" t="s">
        <v>24</v>
      </c>
      <c r="AH15" t="s">
        <v>26</v>
      </c>
      <c r="AI15" t="s">
        <v>4002</v>
      </c>
      <c r="AJ15" t="s">
        <v>24</v>
      </c>
      <c r="AK15" t="s">
        <v>24</v>
      </c>
      <c r="AL15" t="s">
        <v>4003</v>
      </c>
      <c r="AM15" t="s">
        <v>4004</v>
      </c>
      <c r="AN15" t="s">
        <v>24</v>
      </c>
      <c r="AO15" t="s">
        <v>3919</v>
      </c>
      <c r="AP15" t="s">
        <v>26</v>
      </c>
      <c r="AQ15" t="s">
        <v>24</v>
      </c>
      <c r="AR15" t="s">
        <v>24</v>
      </c>
      <c r="AS15" t="s">
        <v>24</v>
      </c>
      <c r="AT15" t="s">
        <v>24</v>
      </c>
      <c r="AU15" t="s">
        <v>24</v>
      </c>
      <c r="AV15" t="s">
        <v>24</v>
      </c>
      <c r="AW15" t="s">
        <v>24</v>
      </c>
      <c r="AX15" t="s">
        <v>24</v>
      </c>
      <c r="AY15" t="s">
        <v>24</v>
      </c>
      <c r="AZ15" t="s">
        <v>24</v>
      </c>
      <c r="BA15" t="s">
        <v>24</v>
      </c>
      <c r="BB15" t="s">
        <v>24</v>
      </c>
      <c r="BC15" t="s">
        <v>24</v>
      </c>
      <c r="BD15" t="s">
        <v>3997</v>
      </c>
      <c r="BE15" t="s">
        <v>3998</v>
      </c>
      <c r="BF15" t="s">
        <v>24</v>
      </c>
      <c r="BG15" t="s">
        <v>24</v>
      </c>
      <c r="BH15" t="s">
        <v>24</v>
      </c>
      <c r="BI15" t="s">
        <v>24</v>
      </c>
      <c r="BJ15" t="s">
        <v>24</v>
      </c>
      <c r="BK15" t="s">
        <v>24</v>
      </c>
      <c r="BL15" t="s">
        <v>24</v>
      </c>
      <c r="BM15" t="s">
        <v>24</v>
      </c>
      <c r="BN15" t="s">
        <v>24</v>
      </c>
      <c r="BO15" t="s">
        <v>24</v>
      </c>
      <c r="BP15" t="s">
        <v>24</v>
      </c>
      <c r="BQ15" t="s">
        <v>24</v>
      </c>
      <c r="BR15" t="s">
        <v>24</v>
      </c>
      <c r="BS15" t="s">
        <v>3182</v>
      </c>
      <c r="BT15" t="s">
        <v>24</v>
      </c>
      <c r="BU15" t="s">
        <v>24</v>
      </c>
      <c r="BV15" t="s">
        <v>24</v>
      </c>
      <c r="BW15" t="s">
        <v>24</v>
      </c>
      <c r="BX15" t="s">
        <v>24</v>
      </c>
      <c r="BY15" t="s">
        <v>24</v>
      </c>
      <c r="BZ15" t="s">
        <v>24</v>
      </c>
      <c r="CA15" t="s">
        <v>4005</v>
      </c>
      <c r="CB15" t="s">
        <v>24</v>
      </c>
      <c r="CC15" t="s">
        <v>24</v>
      </c>
      <c r="CD15" t="s">
        <v>24</v>
      </c>
      <c r="CE15" t="s">
        <v>24</v>
      </c>
      <c r="CF15" t="s">
        <v>24</v>
      </c>
      <c r="CG15" t="s">
        <v>24</v>
      </c>
      <c r="CH15" t="s">
        <v>24</v>
      </c>
      <c r="CI15" t="s">
        <v>3920</v>
      </c>
      <c r="CJ15" t="s">
        <v>24</v>
      </c>
      <c r="CK15" t="s">
        <v>24</v>
      </c>
      <c r="CL15" t="s">
        <v>24</v>
      </c>
      <c r="CM15" t="s">
        <v>24</v>
      </c>
      <c r="CN15" t="s">
        <v>4001</v>
      </c>
      <c r="CO15" t="s">
        <v>3517</v>
      </c>
      <c r="CP15" t="s">
        <v>4001</v>
      </c>
      <c r="CQ15" t="s">
        <v>3517</v>
      </c>
      <c r="CR15" t="s">
        <v>24</v>
      </c>
      <c r="CS15" t="s">
        <v>24</v>
      </c>
      <c r="CT15" t="s">
        <v>24</v>
      </c>
      <c r="CU15" t="s">
        <v>24</v>
      </c>
      <c r="CV15" t="s">
        <v>24</v>
      </c>
      <c r="CW15" t="s">
        <v>24</v>
      </c>
      <c r="CX15" t="s">
        <v>26</v>
      </c>
      <c r="CY15" t="s">
        <v>24</v>
      </c>
      <c r="CZ15" t="s">
        <v>24</v>
      </c>
      <c r="DA15" t="s">
        <v>24</v>
      </c>
      <c r="DB15" t="s">
        <v>4005</v>
      </c>
      <c r="DC15" t="s">
        <v>24</v>
      </c>
      <c r="DD15" t="s">
        <v>24</v>
      </c>
      <c r="DE15" t="s">
        <v>24</v>
      </c>
      <c r="DF15" t="s">
        <v>3921</v>
      </c>
      <c r="DG15" t="s">
        <v>24</v>
      </c>
      <c r="DH15" t="s">
        <v>24</v>
      </c>
      <c r="DI15" t="s">
        <v>24</v>
      </c>
      <c r="DJ15" t="s">
        <v>24</v>
      </c>
      <c r="DK15" t="s">
        <v>24</v>
      </c>
      <c r="DL15" t="s">
        <v>24</v>
      </c>
      <c r="DM15" t="s">
        <v>24</v>
      </c>
      <c r="DN15" t="s">
        <v>4001</v>
      </c>
      <c r="DO15" t="s">
        <v>4001</v>
      </c>
      <c r="DP15" t="s">
        <v>24</v>
      </c>
      <c r="DQ15" t="s">
        <v>24</v>
      </c>
      <c r="DR15" t="s">
        <v>24</v>
      </c>
      <c r="DS15" t="s">
        <v>24</v>
      </c>
      <c r="DT15" t="s">
        <v>24</v>
      </c>
      <c r="DU15" t="s">
        <v>24</v>
      </c>
      <c r="DV15" t="s">
        <v>24</v>
      </c>
      <c r="DW15" t="s">
        <v>24</v>
      </c>
      <c r="DX15" t="s">
        <v>24</v>
      </c>
      <c r="DY15" t="s">
        <v>24</v>
      </c>
      <c r="DZ15" t="s">
        <v>24</v>
      </c>
      <c r="EA15" t="s">
        <v>24</v>
      </c>
      <c r="EB15" t="s">
        <v>24</v>
      </c>
      <c r="EC15" t="s">
        <v>24</v>
      </c>
      <c r="ED15" t="s">
        <v>24</v>
      </c>
      <c r="EE15" t="s">
        <v>24</v>
      </c>
      <c r="EF15" t="s">
        <v>24</v>
      </c>
      <c r="EG15" t="s">
        <v>24</v>
      </c>
    </row>
  </sheetData>
  <conditionalFormatting sqref="AL2:AQ2 AW2:BG2 CA2:CB2 BX2 D2:Q2 BN2:BQ2 BS2:BV2 CD2:CU2 S2:AI2 CW2:CX2">
    <cfRule type="expression" dxfId="8" priority="9" stopIfTrue="1">
      <formula>#REF!="x"</formula>
    </cfRule>
  </conditionalFormatting>
  <conditionalFormatting sqref="BJ2">
    <cfRule type="expression" dxfId="7" priority="8" stopIfTrue="1">
      <formula>#REF!="x"</formula>
    </cfRule>
  </conditionalFormatting>
  <conditionalFormatting sqref="AJ2:AK2">
    <cfRule type="expression" dxfId="6" priority="7" stopIfTrue="1">
      <formula>#REF!="x"</formula>
    </cfRule>
  </conditionalFormatting>
  <conditionalFormatting sqref="AS2:AV2">
    <cfRule type="expression" dxfId="5" priority="6" stopIfTrue="1">
      <formula>#REF!="x"</formula>
    </cfRule>
  </conditionalFormatting>
  <conditionalFormatting sqref="BH2:BI2">
    <cfRule type="expression" dxfId="4" priority="5" stopIfTrue="1">
      <formula>#REF!="x"</formula>
    </cfRule>
  </conditionalFormatting>
  <conditionalFormatting sqref="BK2:BM2">
    <cfRule type="expression" dxfId="3" priority="4" stopIfTrue="1">
      <formula>#REF!="x"</formula>
    </cfRule>
  </conditionalFormatting>
  <conditionalFormatting sqref="BR2">
    <cfRule type="expression" dxfId="2" priority="3" stopIfTrue="1">
      <formula>#REF!="x"</formula>
    </cfRule>
  </conditionalFormatting>
  <conditionalFormatting sqref="BW2 BY2:BZ2">
    <cfRule type="expression" dxfId="1" priority="2" stopIfTrue="1">
      <formula>#REF!="x"</formula>
    </cfRule>
  </conditionalFormatting>
  <conditionalFormatting sqref="R2">
    <cfRule type="expression" dxfId="0" priority="1" stopIfTrue="1">
      <formula>#REF!="x"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63A3F-3F70-4093-926B-1CCF1443B13B}">
  <sheetPr codeName="Sheet9">
    <tabColor rgb="FF7030A0"/>
  </sheetPr>
  <dimension ref="A1:K300"/>
  <sheetViews>
    <sheetView zoomScaleNormal="100" workbookViewId="0">
      <pane xSplit="2" ySplit="3" topLeftCell="C4" activePane="bottomRight" state="frozen"/>
      <selection pane="topRight" activeCell="B1" sqref="B1"/>
      <selection pane="bottomLeft" activeCell="A4" sqref="A4"/>
      <selection pane="bottomRight" activeCell="H4" sqref="H4:I9"/>
    </sheetView>
  </sheetViews>
  <sheetFormatPr defaultRowHeight="15" x14ac:dyDescent="0.25"/>
  <cols>
    <col min="1" max="1" width="4" style="73" customWidth="1"/>
    <col min="2" max="2" width="16.42578125" style="74" bestFit="1" customWidth="1"/>
    <col min="3" max="3" width="25.140625" style="74" customWidth="1"/>
    <col min="4" max="4" width="14.42578125" style="73" customWidth="1"/>
    <col min="8" max="8" width="20.5703125" style="137" bestFit="1" customWidth="1"/>
    <col min="9" max="9" width="13.5703125" style="138" customWidth="1"/>
    <col min="10" max="10" width="22.5703125" style="10" customWidth="1"/>
    <col min="11" max="11" width="14.7109375" customWidth="1"/>
  </cols>
  <sheetData>
    <row r="1" spans="1:11" ht="33.75" customHeight="1" x14ac:dyDescent="0.25">
      <c r="B1" s="72"/>
      <c r="H1" s="150">
        <f>COUNTIF(H4:H1000,"SM_*")</f>
        <v>6</v>
      </c>
      <c r="I1" s="151">
        <f>+SUM(J4:J1000)+COUNTIFS(I4:I1000,"&gt;0",K4:K1000,"OK")</f>
        <v>6</v>
      </c>
      <c r="J1" s="166" t="str">
        <f>IF(SUM(J4:J1000)&lt;&gt;0,"NO","YES")</f>
        <v>YES</v>
      </c>
    </row>
    <row r="2" spans="1:11" ht="30" customHeight="1" x14ac:dyDescent="0.25">
      <c r="A2" s="165" t="s">
        <v>3183</v>
      </c>
      <c r="B2" s="165"/>
      <c r="C2" s="165"/>
      <c r="D2" s="165"/>
      <c r="J2" s="166"/>
    </row>
    <row r="3" spans="1:11" ht="37.5" customHeight="1" x14ac:dyDescent="0.25">
      <c r="A3" s="67" t="s">
        <v>3199</v>
      </c>
      <c r="B3" s="67" t="s">
        <v>4</v>
      </c>
      <c r="C3" s="67" t="s">
        <v>2</v>
      </c>
      <c r="D3" s="67" t="s">
        <v>3546</v>
      </c>
      <c r="H3" s="139"/>
      <c r="I3" s="140" t="s">
        <v>3652</v>
      </c>
      <c r="J3" s="141" t="s">
        <v>3651</v>
      </c>
      <c r="K3" s="145" t="s">
        <v>3655</v>
      </c>
    </row>
    <row r="4" spans="1:11" x14ac:dyDescent="0.25">
      <c r="A4" s="70">
        <f t="shared" ref="A4:A67" si="0">IF(ISBLANK(B4),"",ROW()-3)</f>
        <v>1</v>
      </c>
      <c r="B4" s="71" t="s">
        <v>4250</v>
      </c>
      <c r="C4" s="71" t="s">
        <v>370</v>
      </c>
      <c r="D4" s="70">
        <v>96</v>
      </c>
      <c r="H4" s="142" t="str" cm="1">
        <f t="array" ref="H4:H10">_xlfn._xlws.SORT(_xlfn.UNIQUE(C4:C6500))</f>
        <v>SM_AFC2-130_001</v>
      </c>
      <c r="I4" s="143">
        <f>IF(ISBLANK(H4),"",
IF(K4="NOT",
(J4)*_xlfn.XLOOKUP(H4,PACK!A:A,PACK!C:C,""),
(1+J4)*_xlfn.XLOOKUP(H4,PACK!A:A,PACK!C:C,"")))</f>
        <v>6</v>
      </c>
      <c r="J4" s="144"/>
      <c r="K4" t="str">
        <f>IF(ISBLANK($H4),"",
IF(_xlfn.XLOOKUP($H4,PACK!A:A,PACK!C:C,"")*5&lt;=SUMIFS($D$4:$D$1000,$C$4:$C$1000,H4),"OK","NOT"))</f>
        <v>OK</v>
      </c>
    </row>
    <row r="5" spans="1:11" x14ac:dyDescent="0.25">
      <c r="A5" s="70">
        <f t="shared" si="0"/>
        <v>2</v>
      </c>
      <c r="B5" s="71" t="s">
        <v>4252</v>
      </c>
      <c r="C5" s="71" t="s">
        <v>370</v>
      </c>
      <c r="D5" s="70">
        <v>96</v>
      </c>
      <c r="H5" s="142" t="str">
        <v>SM_AFC2-250_001</v>
      </c>
      <c r="I5" s="143">
        <f>IF(ISBLANK(H5),"",
IF(K5="NOT",
(J5)*_xlfn.XLOOKUP(H5,PACK!A:A,PACK!C:C,""),
(1+J5)*_xlfn.XLOOKUP(H5,PACK!A:A,PACK!C:C,"")))</f>
        <v>4</v>
      </c>
      <c r="J5" s="144"/>
      <c r="K5" t="str">
        <f>IF(ISBLANK($H5),"",
IF(_xlfn.XLOOKUP($H5,PACK!A:A,PACK!C:C,"")*5&lt;=SUMIFS($D$4:$D$1000,$C$4:$C$1000,H5),"OK","NOT"))</f>
        <v>OK</v>
      </c>
    </row>
    <row r="6" spans="1:11" x14ac:dyDescent="0.25">
      <c r="A6" s="70">
        <f t="shared" si="0"/>
        <v>3</v>
      </c>
      <c r="B6" s="71" t="s">
        <v>4253</v>
      </c>
      <c r="C6" s="71" t="s">
        <v>370</v>
      </c>
      <c r="D6" s="70">
        <v>96</v>
      </c>
      <c r="H6" s="142" t="str">
        <v>SM_MAF2-150_001</v>
      </c>
      <c r="I6" s="143">
        <f>IF(ISBLANK(H6),"",
IF(K6="NOT",
(J6)*_xlfn.XLOOKUP(H6,PACK!A:A,PACK!C:C,""),
(1+J6)*_xlfn.XLOOKUP(H6,PACK!A:A,PACK!C:C,"")))</f>
        <v>20</v>
      </c>
      <c r="J6" s="144"/>
      <c r="K6" t="str">
        <f>IF(ISBLANK($H6),"",
IF(_xlfn.XLOOKUP($H6,PACK!A:A,PACK!C:C,"")*5&lt;=SUMIFS($D$4:$D$1000,$C$4:$C$1000,H6),"OK","NOT"))</f>
        <v>OK</v>
      </c>
    </row>
    <row r="7" spans="1:11" x14ac:dyDescent="0.25">
      <c r="A7" s="70">
        <f t="shared" si="0"/>
        <v>4</v>
      </c>
      <c r="B7" s="71" t="s">
        <v>4254</v>
      </c>
      <c r="C7" s="71" t="s">
        <v>370</v>
      </c>
      <c r="D7" s="70">
        <v>96</v>
      </c>
      <c r="H7" s="142" t="str">
        <v>SM_MAF2-200_001</v>
      </c>
      <c r="I7" s="143">
        <f>IF(ISBLANK(H7),"",
IF(K7="NOT",
(J7)*_xlfn.XLOOKUP(H7,PACK!A:A,PACK!C:C,""),
(1+J7)*_xlfn.XLOOKUP(H7,PACK!A:A,PACK!C:C,"")))</f>
        <v>20</v>
      </c>
      <c r="J7" s="144"/>
      <c r="K7" t="str">
        <f>IF(ISBLANK($H7),"",
IF(_xlfn.XLOOKUP($H7,PACK!A:A,PACK!C:C,"")*5&lt;=SUMIFS($D$4:$D$1000,$C$4:$C$1000,H7),"OK","NOT"))</f>
        <v>OK</v>
      </c>
    </row>
    <row r="8" spans="1:11" x14ac:dyDescent="0.25">
      <c r="A8" s="70">
        <f t="shared" si="0"/>
        <v>5</v>
      </c>
      <c r="B8" s="71" t="s">
        <v>4255</v>
      </c>
      <c r="C8" s="71" t="s">
        <v>370</v>
      </c>
      <c r="D8" s="70">
        <v>80</v>
      </c>
      <c r="H8" s="142" t="str">
        <v>SM_MAFC2-130_001</v>
      </c>
      <c r="I8" s="143">
        <f>IF(ISBLANK(H8),"",
IF(K8="NOT",
(J8)*_xlfn.XLOOKUP(H8,PACK!A:A,PACK!C:C,""),
(1+J8)*_xlfn.XLOOKUP(H8,PACK!A:A,PACK!C:C,"")))</f>
        <v>20</v>
      </c>
      <c r="J8" s="144"/>
      <c r="K8" t="str">
        <f>IF(ISBLANK($H8),"",
IF(_xlfn.XLOOKUP($H8,PACK!A:A,PACK!C:C,"")*5&lt;=SUMIFS($D$4:$D$1000,$C$4:$C$1000,H8),"OK","NOT"))</f>
        <v>OK</v>
      </c>
    </row>
    <row r="9" spans="1:11" x14ac:dyDescent="0.25">
      <c r="A9" s="70">
        <f t="shared" si="0"/>
        <v>6</v>
      </c>
      <c r="B9" s="71" t="s">
        <v>4256</v>
      </c>
      <c r="C9" s="71" t="s">
        <v>370</v>
      </c>
      <c r="D9" s="70">
        <v>4</v>
      </c>
      <c r="H9" s="142" t="str">
        <v>SM_MAFC2-250_001</v>
      </c>
      <c r="I9" s="143">
        <f>IF(ISBLANK(H9),"",
IF(K9="NOT",
(J9)*_xlfn.XLOOKUP(H9,PACK!A:A,PACK!C:C,""),
(1+J9)*_xlfn.XLOOKUP(H9,PACK!A:A,PACK!C:C,"")))</f>
        <v>20</v>
      </c>
      <c r="J9" s="144"/>
      <c r="K9" t="str">
        <f>IF(ISBLANK($H9),"",
IF(_xlfn.XLOOKUP($H9,PACK!A:A,PACK!C:C,"")*5&lt;=SUMIFS($D$4:$D$1000,$C$4:$C$1000,H9),"OK","NOT"))</f>
        <v>OK</v>
      </c>
    </row>
    <row r="10" spans="1:11" x14ac:dyDescent="0.25">
      <c r="A10" s="70">
        <f t="shared" si="0"/>
        <v>7</v>
      </c>
      <c r="B10" s="71" t="s">
        <v>4257</v>
      </c>
      <c r="C10" s="71" t="s">
        <v>4045</v>
      </c>
      <c r="D10" s="70">
        <v>600</v>
      </c>
      <c r="H10" s="142">
        <v>0</v>
      </c>
      <c r="I10" s="143" t="e">
        <f>IF(ISBLANK(H10),"",
IF(K10="NOT",
(J10)*_xlfn.XLOOKUP(H10,PACK!A:A,PACK!C:C,""),
(1+J10)*_xlfn.XLOOKUP(H10,PACK!A:A,PACK!C:C,"")))</f>
        <v>#VALUE!</v>
      </c>
      <c r="J10" s="144"/>
      <c r="K10" t="e">
        <f>IF(ISBLANK($H10),"",
IF(_xlfn.XLOOKUP($H10,PACK!A:A,PACK!C:C,"")*5&lt;=SUMIFS($D$4:$D$1000,$C$4:$C$1000,H10),"OK","NOT"))</f>
        <v>#VALUE!</v>
      </c>
    </row>
    <row r="11" spans="1:11" x14ac:dyDescent="0.25">
      <c r="A11" s="70">
        <f t="shared" si="0"/>
        <v>8</v>
      </c>
      <c r="B11" s="71" t="s">
        <v>4259</v>
      </c>
      <c r="C11" s="71" t="s">
        <v>4044</v>
      </c>
      <c r="D11" s="70">
        <v>600</v>
      </c>
      <c r="H11" s="142"/>
      <c r="I11" s="143" t="str">
        <f>IF(ISBLANK(H11),"",
IF(K11="NOT",
(J11)*_xlfn.XLOOKUP(H11,PACK!A:A,PACK!C:C,""),
(1+J11)*_xlfn.XLOOKUP(H11,PACK!A:A,PACK!C:C,"")))</f>
        <v/>
      </c>
      <c r="J11" s="144"/>
      <c r="K11" t="str">
        <f>IF(ISBLANK($H11),"",
IF(_xlfn.XLOOKUP($H11,PACK!A:A,PACK!C:C,"")*5&lt;=SUMIFS($D$4:$D$1000,$C$4:$C$1000,H11),"OK","NOT"))</f>
        <v/>
      </c>
    </row>
    <row r="12" spans="1:11" x14ac:dyDescent="0.25">
      <c r="A12" s="70">
        <f t="shared" si="0"/>
        <v>9</v>
      </c>
      <c r="B12" s="71" t="s">
        <v>4260</v>
      </c>
      <c r="C12" s="71" t="s">
        <v>4045</v>
      </c>
      <c r="D12" s="70">
        <v>400</v>
      </c>
      <c r="H12" s="142"/>
      <c r="I12" s="143" t="str">
        <f>IF(ISBLANK(H12),"",
IF(K12="NOT",
(J12)*_xlfn.XLOOKUP(H12,PACK!A:A,PACK!C:C,""),
(1+J12)*_xlfn.XLOOKUP(H12,PACK!A:A,PACK!C:C,"")))</f>
        <v/>
      </c>
      <c r="J12" s="144"/>
      <c r="K12" t="str">
        <f>IF(ISBLANK($H12),"",
IF(_xlfn.XLOOKUP($H12,PACK!A:A,PACK!C:C,"")*5&lt;=SUMIFS($D$4:$D$1000,$C$4:$C$1000,H12),"OK","NOT"))</f>
        <v/>
      </c>
    </row>
    <row r="13" spans="1:11" x14ac:dyDescent="0.25">
      <c r="A13" s="70">
        <f t="shared" si="0"/>
        <v>10</v>
      </c>
      <c r="B13" s="71" t="s">
        <v>4261</v>
      </c>
      <c r="C13" s="71" t="s">
        <v>4044</v>
      </c>
      <c r="D13" s="70">
        <v>600</v>
      </c>
      <c r="H13" s="142"/>
      <c r="I13" s="143" t="str">
        <f>IF(ISBLANK(H13),"",
IF(K13="NOT",
(J13)*_xlfn.XLOOKUP(H13,PACK!A:A,PACK!C:C,""),
(1+J13)*_xlfn.XLOOKUP(H13,PACK!A:A,PACK!C:C,"")))</f>
        <v/>
      </c>
      <c r="J13" s="144"/>
      <c r="K13" t="str">
        <f>IF(ISBLANK($H13),"",
IF(_xlfn.XLOOKUP($H13,PACK!A:A,PACK!C:C,"")*5&lt;=SUMIFS($D$4:$D$1000,$C$4:$C$1000,H13),"OK","NOT"))</f>
        <v/>
      </c>
    </row>
    <row r="14" spans="1:11" x14ac:dyDescent="0.25">
      <c r="A14" s="70">
        <f t="shared" si="0"/>
        <v>11</v>
      </c>
      <c r="B14" s="71" t="s">
        <v>4262</v>
      </c>
      <c r="C14" s="71" t="s">
        <v>4047</v>
      </c>
      <c r="D14" s="70">
        <v>600</v>
      </c>
      <c r="H14" s="142"/>
      <c r="I14" s="143" t="str">
        <f>IF(ISBLANK(H14),"",
IF(K14="NOT",
(J14)*_xlfn.XLOOKUP(H14,PACK!A:A,PACK!C:C,""),
(1+J14)*_xlfn.XLOOKUP(H14,PACK!A:A,PACK!C:C,"")))</f>
        <v/>
      </c>
      <c r="J14" s="144"/>
      <c r="K14" t="str">
        <f>IF(ISBLANK($H14),"",
IF(_xlfn.XLOOKUP($H14,PACK!A:A,PACK!C:C,"")*5&lt;=SUMIFS($D$4:$D$1000,$C$4:$C$1000,H14),"OK","NOT"))</f>
        <v/>
      </c>
    </row>
    <row r="15" spans="1:11" x14ac:dyDescent="0.25">
      <c r="A15" s="70">
        <f t="shared" si="0"/>
        <v>12</v>
      </c>
      <c r="B15" s="71" t="s">
        <v>4263</v>
      </c>
      <c r="C15" s="71" t="s">
        <v>4044</v>
      </c>
      <c r="D15" s="70">
        <v>200</v>
      </c>
      <c r="H15" s="142"/>
      <c r="I15" s="143" t="str">
        <f>IF(ISBLANK(H15),"",
IF(K15="NOT",
(J15)*_xlfn.XLOOKUP(H15,PACK!A:A,PACK!C:C,""),
(1+J15)*_xlfn.XLOOKUP(H15,PACK!A:A,PACK!C:C,"")))</f>
        <v/>
      </c>
      <c r="J15" s="144"/>
      <c r="K15" t="str">
        <f>IF(ISBLANK($H15),"",
IF(_xlfn.XLOOKUP($H15,PACK!A:A,PACK!C:C,"")*5&lt;=SUMIFS($D$4:$D$1000,$C$4:$C$1000,H15),"OK","NOT"))</f>
        <v/>
      </c>
    </row>
    <row r="16" spans="1:11" x14ac:dyDescent="0.25">
      <c r="A16" s="70">
        <f t="shared" si="0"/>
        <v>13</v>
      </c>
      <c r="B16" s="71" t="s">
        <v>4265</v>
      </c>
      <c r="C16" s="71" t="s">
        <v>4047</v>
      </c>
      <c r="D16" s="70">
        <v>400</v>
      </c>
      <c r="H16" s="142"/>
      <c r="I16" s="143" t="str">
        <f>IF(ISBLANK(H16),"",
IF(K16="NOT",
(J16)*_xlfn.XLOOKUP(H16,PACK!A:A,PACK!C:C,""),
(1+J16)*_xlfn.XLOOKUP(H16,PACK!A:A,PACK!C:C,"")))</f>
        <v/>
      </c>
      <c r="J16" s="144"/>
      <c r="K16" t="str">
        <f>IF(ISBLANK($H16),"",
IF(_xlfn.XLOOKUP($H16,PACK!A:A,PACK!C:C,"")*5&lt;=SUMIFS($D$4:$D$1000,$C$4:$C$1000,H16),"OK","NOT"))</f>
        <v/>
      </c>
    </row>
    <row r="17" spans="1:11" x14ac:dyDescent="0.25">
      <c r="A17" s="70">
        <f t="shared" si="0"/>
        <v>14</v>
      </c>
      <c r="B17" s="71" t="s">
        <v>4266</v>
      </c>
      <c r="C17" s="71" t="s">
        <v>4044</v>
      </c>
      <c r="D17" s="70">
        <v>600</v>
      </c>
      <c r="H17" s="142"/>
      <c r="I17" s="143" t="str">
        <f>IF(ISBLANK(H17),"",
IF(K17="NOT",
(J17)*_xlfn.XLOOKUP(H17,PACK!A:A,PACK!C:C,""),
(1+J17)*_xlfn.XLOOKUP(H17,PACK!A:A,PACK!C:C,"")))</f>
        <v/>
      </c>
      <c r="J17" s="144"/>
      <c r="K17" t="str">
        <f>IF(ISBLANK($H17),"",
IF(_xlfn.XLOOKUP($H17,PACK!A:A,PACK!C:C,"")*5&lt;=SUMIFS($D$4:$D$1000,$C$4:$C$1000,H17),"OK","NOT"))</f>
        <v/>
      </c>
    </row>
    <row r="18" spans="1:11" x14ac:dyDescent="0.25">
      <c r="A18" s="70">
        <f t="shared" si="0"/>
        <v>15</v>
      </c>
      <c r="B18" s="71" t="s">
        <v>4267</v>
      </c>
      <c r="C18" s="71" t="s">
        <v>4046</v>
      </c>
      <c r="D18" s="70">
        <v>600</v>
      </c>
      <c r="H18" s="142"/>
      <c r="I18" s="143" t="str">
        <f>IF(ISBLANK(H18),"",
IF(K18="NOT",
(J18)*_xlfn.XLOOKUP(H18,PACK!A:A,PACK!C:C,""),
(1+J18)*_xlfn.XLOOKUP(H18,PACK!A:A,PACK!C:C,"")))</f>
        <v/>
      </c>
      <c r="J18" s="144"/>
      <c r="K18" t="str">
        <f>IF(ISBLANK($H18),"",
IF(_xlfn.XLOOKUP($H18,PACK!A:A,PACK!C:C,"")*5&lt;=SUMIFS($D$4:$D$1000,$C$4:$C$1000,H18),"OK","NOT"))</f>
        <v/>
      </c>
    </row>
    <row r="19" spans="1:11" x14ac:dyDescent="0.25">
      <c r="A19" s="70">
        <f t="shared" si="0"/>
        <v>16</v>
      </c>
      <c r="B19" s="71" t="s">
        <v>4268</v>
      </c>
      <c r="C19" s="71" t="s">
        <v>4046</v>
      </c>
      <c r="D19" s="70">
        <v>398</v>
      </c>
      <c r="H19" s="142"/>
      <c r="I19" s="143" t="str">
        <f>IF(ISBLANK(H19),"",
IF(K19="NOT",
(J19)*_xlfn.XLOOKUP(H19,PACK!A:A,PACK!C:C,""),
(1+J19)*_xlfn.XLOOKUP(H19,PACK!A:A,PACK!C:C,"")))</f>
        <v/>
      </c>
      <c r="J19" s="144"/>
      <c r="K19" t="str">
        <f>IF(ISBLANK($H19),"",
IF(_xlfn.XLOOKUP($H19,PACK!A:A,PACK!C:C,"")*5&lt;=SUMIFS($D$4:$D$1000,$C$4:$C$1000,H19),"OK","NOT"))</f>
        <v/>
      </c>
    </row>
    <row r="20" spans="1:11" x14ac:dyDescent="0.25">
      <c r="A20" s="70">
        <f t="shared" si="0"/>
        <v>17</v>
      </c>
      <c r="B20" s="71" t="s">
        <v>4269</v>
      </c>
      <c r="C20" s="71" t="s">
        <v>369</v>
      </c>
      <c r="D20" s="70">
        <v>96</v>
      </c>
      <c r="H20" s="142"/>
      <c r="I20" s="143" t="str">
        <f>IF(ISBLANK(H20),"",
IF(K20="NOT",
(J20)*_xlfn.XLOOKUP(H20,PACK!A:A,PACK!C:C,""),
(1+J20)*_xlfn.XLOOKUP(H20,PACK!A:A,PACK!C:C,"")))</f>
        <v/>
      </c>
      <c r="J20" s="144"/>
      <c r="K20" t="str">
        <f>IF(ISBLANK($H20),"",
IF(_xlfn.XLOOKUP($H20,PACK!A:A,PACK!C:C,"")*5&lt;=SUMIFS($D$4:$D$1000,$C$4:$C$1000,H20),"OK","NOT"))</f>
        <v/>
      </c>
    </row>
    <row r="21" spans="1:11" x14ac:dyDescent="0.25">
      <c r="A21" s="70">
        <f t="shared" si="0"/>
        <v>18</v>
      </c>
      <c r="B21" s="71" t="s">
        <v>4271</v>
      </c>
      <c r="C21" s="71" t="s">
        <v>369</v>
      </c>
      <c r="D21" s="70">
        <v>96</v>
      </c>
      <c r="H21" s="142"/>
      <c r="I21" s="143" t="str">
        <f>IF(ISBLANK(H21),"",
IF(K21="NOT",
(J21)*_xlfn.XLOOKUP(H21,PACK!A:A,PACK!C:C,""),
(1+J21)*_xlfn.XLOOKUP(H21,PACK!A:A,PACK!C:C,"")))</f>
        <v/>
      </c>
      <c r="J21" s="144"/>
      <c r="K21" t="str">
        <f>IF(ISBLANK($H21),"",
IF(_xlfn.XLOOKUP($H21,PACK!A:A,PACK!C:C,"")*5&lt;=SUMIFS($D$4:$D$1000,$C$4:$C$1000,H21),"OK","NOT"))</f>
        <v/>
      </c>
    </row>
    <row r="22" spans="1:11" x14ac:dyDescent="0.25">
      <c r="A22" s="70">
        <f t="shared" si="0"/>
        <v>19</v>
      </c>
      <c r="B22" s="71" t="s">
        <v>4272</v>
      </c>
      <c r="C22" s="71" t="s">
        <v>369</v>
      </c>
      <c r="D22" s="70">
        <v>96</v>
      </c>
      <c r="H22" s="142"/>
      <c r="I22" s="143" t="str">
        <f>IF(ISBLANK(H22),"",
IF(K22="NOT",
(J22)*_xlfn.XLOOKUP(H22,PACK!A:A,PACK!C:C,""),
(1+J22)*_xlfn.XLOOKUP(H22,PACK!A:A,PACK!C:C,"")))</f>
        <v/>
      </c>
      <c r="J22" s="144"/>
      <c r="K22" t="str">
        <f>IF(ISBLANK($H22),"",
IF(_xlfn.XLOOKUP($H22,PACK!A:A,PACK!C:C,"")*5&lt;=SUMIFS($D$4:$D$1000,$C$4:$C$1000,H22),"OK","NOT"))</f>
        <v/>
      </c>
    </row>
    <row r="23" spans="1:11" x14ac:dyDescent="0.25">
      <c r="A23" s="70">
        <f t="shared" si="0"/>
        <v>20</v>
      </c>
      <c r="B23" s="71" t="s">
        <v>4273</v>
      </c>
      <c r="C23" s="71" t="s">
        <v>369</v>
      </c>
      <c r="D23" s="70">
        <v>96</v>
      </c>
      <c r="H23" s="142"/>
      <c r="I23" s="143" t="str">
        <f>IF(ISBLANK(H23),"",
IF(K23="NOT",
(J23)*_xlfn.XLOOKUP(H23,PACK!A:A,PACK!C:C,""),
(1+J23)*_xlfn.XLOOKUP(H23,PACK!A:A,PACK!C:C,"")))</f>
        <v/>
      </c>
      <c r="J23" s="144"/>
      <c r="K23" t="str">
        <f>IF(ISBLANK($H23),"",
IF(_xlfn.XLOOKUP($H23,PACK!A:A,PACK!C:C,"")*5&lt;=SUMIFS($D$4:$D$1000,$C$4:$C$1000,H23),"OK","NOT"))</f>
        <v/>
      </c>
    </row>
    <row r="24" spans="1:11" x14ac:dyDescent="0.25">
      <c r="A24" s="70">
        <f t="shared" si="0"/>
        <v>21</v>
      </c>
      <c r="B24" s="71" t="s">
        <v>4274</v>
      </c>
      <c r="C24" s="71" t="s">
        <v>369</v>
      </c>
      <c r="D24" s="70">
        <v>96</v>
      </c>
      <c r="H24" s="142"/>
      <c r="I24" s="143" t="str">
        <f>IF(ISBLANK(H24),"",
IF(K24="NOT",
(J24)*_xlfn.XLOOKUP(H24,PACK!A:A,PACK!C:C,""),
(1+J24)*_xlfn.XLOOKUP(H24,PACK!A:A,PACK!C:C,"")))</f>
        <v/>
      </c>
      <c r="J24" s="144"/>
      <c r="K24" t="str">
        <f>IF(ISBLANK($H24),"",
IF(_xlfn.XLOOKUP($H24,PACK!A:A,PACK!C:C,"")*5&lt;=SUMIFS($D$4:$D$1000,$C$4:$C$1000,H24),"OK","NOT"))</f>
        <v/>
      </c>
    </row>
    <row r="25" spans="1:11" x14ac:dyDescent="0.25">
      <c r="A25" s="70">
        <f t="shared" si="0"/>
        <v>22</v>
      </c>
      <c r="B25" s="71" t="s">
        <v>4275</v>
      </c>
      <c r="C25" s="71" t="s">
        <v>369</v>
      </c>
      <c r="D25" s="70">
        <v>96</v>
      </c>
      <c r="I25" s="143" t="str">
        <f>IF(ISBLANK(H25),"",
IF(K25="NOT",
(J25)*_xlfn.XLOOKUP(H25,PACK!A:A,PACK!C:C,""),
(1+J25)*_xlfn.XLOOKUP(H25,PACK!A:A,PACK!C:C,"")))</f>
        <v/>
      </c>
      <c r="K25" t="str">
        <f>IF(ISBLANK($H25),"",
IF(_xlfn.XLOOKUP($H25,PACK!A:A,PACK!C:C,"")*5&lt;=SUMIFS($D$4:$D$1000,$C$4:$C$1000,H25),"OK","NOT"))</f>
        <v/>
      </c>
    </row>
    <row r="26" spans="1:11" x14ac:dyDescent="0.25">
      <c r="A26" s="70">
        <f t="shared" si="0"/>
        <v>23</v>
      </c>
      <c r="B26" s="71" t="s">
        <v>4277</v>
      </c>
      <c r="C26" s="71" t="s">
        <v>369</v>
      </c>
      <c r="D26" s="70">
        <v>96</v>
      </c>
      <c r="I26" s="143" t="str">
        <f>IF(ISBLANK(H26),"",
IF(K26="NOT",
(J26)*_xlfn.XLOOKUP(H26,PACK!A:A,PACK!C:C,""),
(1+J26)*_xlfn.XLOOKUP(H26,PACK!A:A,PACK!C:C,"")))</f>
        <v/>
      </c>
      <c r="K26" t="str">
        <f>IF(ISBLANK($H26),"",
IF(_xlfn.XLOOKUP($H26,PACK!A:A,PACK!C:C,"")*5&lt;=SUMIFS($D$4:$D$1000,$C$4:$C$1000,H26),"OK","NOT"))</f>
        <v/>
      </c>
    </row>
    <row r="27" spans="1:11" x14ac:dyDescent="0.25">
      <c r="A27" s="70">
        <f t="shared" si="0"/>
        <v>24</v>
      </c>
      <c r="B27" s="71" t="s">
        <v>4278</v>
      </c>
      <c r="C27" s="71" t="s">
        <v>369</v>
      </c>
      <c r="D27" s="70">
        <v>96</v>
      </c>
      <c r="I27" s="143" t="str">
        <f>IF(ISBLANK(H27),"",
IF(K27="NOT",
(J27)*_xlfn.XLOOKUP(H27,PACK!A:A,PACK!C:C,""),
(1+J27)*_xlfn.XLOOKUP(H27,PACK!A:A,PACK!C:C,"")))</f>
        <v/>
      </c>
      <c r="K27" t="str">
        <f>IF(ISBLANK($H27),"",
IF(_xlfn.XLOOKUP($H27,PACK!A:A,PACK!C:C,"")*5&lt;=SUMIFS($D$4:$D$1000,$C$4:$C$1000,H27),"OK","NOT"))</f>
        <v/>
      </c>
    </row>
    <row r="28" spans="1:11" x14ac:dyDescent="0.25">
      <c r="A28" s="70">
        <f t="shared" si="0"/>
        <v>25</v>
      </c>
      <c r="B28" s="71" t="s">
        <v>4279</v>
      </c>
      <c r="C28" s="71" t="s">
        <v>369</v>
      </c>
      <c r="D28" s="70">
        <v>96</v>
      </c>
      <c r="I28" s="143" t="str">
        <f>IF(ISBLANK(H28),"",
IF(K28="NOT",
(J28)*_xlfn.XLOOKUP(H28,PACK!A:A,PACK!C:C,""),
(1+J28)*_xlfn.XLOOKUP(H28,PACK!A:A,PACK!C:C,"")))</f>
        <v/>
      </c>
      <c r="K28" t="str">
        <f>IF(ISBLANK($H28),"",
IF(_xlfn.XLOOKUP($H28,PACK!A:A,PACK!C:C,"")*5&lt;=SUMIFS($D$4:$D$1000,$C$4:$C$1000,H28),"OK","NOT"))</f>
        <v/>
      </c>
    </row>
    <row r="29" spans="1:11" x14ac:dyDescent="0.25">
      <c r="A29" s="70">
        <f t="shared" si="0"/>
        <v>26</v>
      </c>
      <c r="B29" s="71" t="s">
        <v>4280</v>
      </c>
      <c r="C29" s="71" t="s">
        <v>369</v>
      </c>
      <c r="D29" s="70">
        <v>96</v>
      </c>
      <c r="I29" s="143" t="str">
        <f>IF(ISBLANK(H29),"",
IF(K29="NOT",
(J29)*_xlfn.XLOOKUP(H29,PACK!A:A,PACK!C:C,""),
(1+J29)*_xlfn.XLOOKUP(H29,PACK!A:A,PACK!C:C,"")))</f>
        <v/>
      </c>
      <c r="J29" s="144"/>
      <c r="K29" t="str">
        <f>IF(ISBLANK($H29),"",
IF(_xlfn.XLOOKUP($H29,PACK!A:A,PACK!C:C,"")*5&lt;=SUMIFS($D$4:$D$1000,$C$4:$C$1000,H29),"OK","NOT"))</f>
        <v/>
      </c>
    </row>
    <row r="30" spans="1:11" x14ac:dyDescent="0.25">
      <c r="A30" s="70">
        <f t="shared" si="0"/>
        <v>27</v>
      </c>
      <c r="B30" s="71" t="s">
        <v>4281</v>
      </c>
      <c r="C30" s="71" t="s">
        <v>369</v>
      </c>
      <c r="D30" s="70">
        <v>96</v>
      </c>
      <c r="I30" s="143" t="str">
        <f>IF(ISBLANK(H30),"",
IF(K30="NOT",
(J30)*_xlfn.XLOOKUP(H30,PACK!A:A,PACK!C:C,""),
(1+J30)*_xlfn.XLOOKUP(H30,PACK!A:A,PACK!C:C,"")))</f>
        <v/>
      </c>
      <c r="K30" t="str">
        <f>IF(ISBLANK($H30),"",
IF(_xlfn.XLOOKUP($H30,PACK!A:A,PACK!C:C,"")*5&lt;=SUMIFS($D$4:$D$1000,$C$4:$C$1000,H30),"OK","NOT"))</f>
        <v/>
      </c>
    </row>
    <row r="31" spans="1:11" x14ac:dyDescent="0.25">
      <c r="A31" s="70">
        <f t="shared" si="0"/>
        <v>28</v>
      </c>
      <c r="B31" s="71" t="s">
        <v>4282</v>
      </c>
      <c r="C31" s="71" t="s">
        <v>369</v>
      </c>
      <c r="D31" s="70">
        <v>96</v>
      </c>
      <c r="I31" s="143" t="str">
        <f>IF(ISBLANK(H31),"",
IF(K31="NOT",
(J31)*_xlfn.XLOOKUP(H31,PACK!A:A,PACK!C:C,""),
(1+J31)*_xlfn.XLOOKUP(H31,PACK!A:A,PACK!C:C,"")))</f>
        <v/>
      </c>
      <c r="K31" t="str">
        <f>IF(ISBLANK($H31),"",
IF(_xlfn.XLOOKUP($H31,PACK!A:A,PACK!C:C,"")*5&lt;=SUMIFS($D$4:$D$1000,$C$4:$C$1000,H31),"OK","NOT"))</f>
        <v/>
      </c>
    </row>
    <row r="32" spans="1:11" x14ac:dyDescent="0.25">
      <c r="A32" s="70">
        <f t="shared" si="0"/>
        <v>29</v>
      </c>
      <c r="B32" s="71" t="s">
        <v>4283</v>
      </c>
      <c r="C32" s="71" t="s">
        <v>369</v>
      </c>
      <c r="D32" s="70">
        <v>96</v>
      </c>
      <c r="I32" s="143" t="str">
        <f>IF(ISBLANK(H32),"",
IF(K32="NOT",
(J32)*_xlfn.XLOOKUP(H32,PACK!A:A,PACK!C:C,""),
(1+J32)*_xlfn.XLOOKUP(H32,PACK!A:A,PACK!C:C,"")))</f>
        <v/>
      </c>
      <c r="K32" t="str">
        <f>IF(ISBLANK($H32),"",
IF(_xlfn.XLOOKUP($H32,PACK!A:A,PACK!C:C,"")*5&lt;=SUMIFS($D$4:$D$1000,$C$4:$C$1000,H32),"OK","NOT"))</f>
        <v/>
      </c>
    </row>
    <row r="33" spans="1:11" x14ac:dyDescent="0.25">
      <c r="A33" s="70">
        <f t="shared" si="0"/>
        <v>30</v>
      </c>
      <c r="B33" s="71" t="s">
        <v>4284</v>
      </c>
      <c r="C33" s="71" t="s">
        <v>369</v>
      </c>
      <c r="D33" s="70">
        <v>96</v>
      </c>
      <c r="I33" s="143" t="str">
        <f>IF(ISBLANK(H33),"",
IF(K33="NOT",
(J33)*_xlfn.XLOOKUP(H33,PACK!A:A,PACK!C:C,""),
(1+J33)*_xlfn.XLOOKUP(H33,PACK!A:A,PACK!C:C,"")))</f>
        <v/>
      </c>
      <c r="K33" t="str">
        <f>IF(ISBLANK($H33),"",
IF(_xlfn.XLOOKUP($H33,PACK!A:A,PACK!C:C,"")*5&lt;=SUMIFS($D$4:$D$1000,$C$4:$C$1000,H33),"OK","NOT"))</f>
        <v/>
      </c>
    </row>
    <row r="34" spans="1:11" x14ac:dyDescent="0.25">
      <c r="A34" s="70">
        <f t="shared" si="0"/>
        <v>31</v>
      </c>
      <c r="B34" s="71" t="s">
        <v>4285</v>
      </c>
      <c r="C34" s="71" t="s">
        <v>369</v>
      </c>
      <c r="D34" s="70">
        <v>96</v>
      </c>
      <c r="I34" s="143" t="str">
        <f>IF(ISBLANK(H34),"",
IF(K34="NOT",
(J34)*_xlfn.XLOOKUP(H34,PACK!A:A,PACK!C:C,""),
(1+J34)*_xlfn.XLOOKUP(H34,PACK!A:A,PACK!C:C,"")))</f>
        <v/>
      </c>
      <c r="K34" t="str">
        <f>IF(ISBLANK($H34),"",
IF(_xlfn.XLOOKUP($H34,PACK!A:A,PACK!C:C,"")*5&lt;=SUMIFS($D$4:$D$1000,$C$4:$C$1000,H34),"OK","NOT"))</f>
        <v/>
      </c>
    </row>
    <row r="35" spans="1:11" x14ac:dyDescent="0.25">
      <c r="A35" s="70">
        <f t="shared" si="0"/>
        <v>32</v>
      </c>
      <c r="B35" s="71" t="s">
        <v>4286</v>
      </c>
      <c r="C35" s="71" t="s">
        <v>369</v>
      </c>
      <c r="D35" s="70">
        <v>96</v>
      </c>
      <c r="I35" s="143" t="str">
        <f>IF(ISBLANK(H35),"",
IF(K35="NOT",
(J35)*_xlfn.XLOOKUP(H35,PACK!A:A,PACK!C:C,""),
(1+J35)*_xlfn.XLOOKUP(H35,PACK!A:A,PACK!C:C,"")))</f>
        <v/>
      </c>
      <c r="K35" t="str">
        <f>IF(ISBLANK($H35),"",
IF(_xlfn.XLOOKUP($H35,PACK!A:A,PACK!C:C,"")*5&lt;=SUMIFS($D$4:$D$1000,$C$4:$C$1000,H35),"OK","NOT"))</f>
        <v/>
      </c>
    </row>
    <row r="36" spans="1:11" x14ac:dyDescent="0.25">
      <c r="A36" s="70">
        <f t="shared" si="0"/>
        <v>33</v>
      </c>
      <c r="B36" s="71" t="s">
        <v>4287</v>
      </c>
      <c r="C36" s="71" t="s">
        <v>369</v>
      </c>
      <c r="D36" s="70">
        <v>96</v>
      </c>
      <c r="I36" s="143" t="str">
        <f>IF(ISBLANK(H36),"",
IF(K36="NOT",
(J36)*_xlfn.XLOOKUP(H36,PACK!A:A,PACK!C:C,""),
(1+J36)*_xlfn.XLOOKUP(H36,PACK!A:A,PACK!C:C,"")))</f>
        <v/>
      </c>
      <c r="K36" t="str">
        <f>IF(ISBLANK($H36),"",
IF(_xlfn.XLOOKUP($H36,PACK!A:A,PACK!C:C,"")*5&lt;=SUMIFS($D$4:$D$1000,$C$4:$C$1000,H36),"OK","NOT"))</f>
        <v/>
      </c>
    </row>
    <row r="37" spans="1:11" x14ac:dyDescent="0.25">
      <c r="A37" s="70">
        <f t="shared" si="0"/>
        <v>34</v>
      </c>
      <c r="B37" s="71" t="s">
        <v>4289</v>
      </c>
      <c r="C37" s="71" t="s">
        <v>369</v>
      </c>
      <c r="D37" s="70">
        <v>96</v>
      </c>
      <c r="I37" s="143" t="str">
        <f>IF(ISBLANK(H37),"",
IF(K37="NOT",
(J37)*_xlfn.XLOOKUP(H37,PACK!A:A,PACK!C:C,""),
(1+J37)*_xlfn.XLOOKUP(H37,PACK!A:A,PACK!C:C,"")))</f>
        <v/>
      </c>
      <c r="K37" t="str">
        <f>IF(ISBLANK($H37),"",
IF(_xlfn.XLOOKUP($H37,PACK!A:A,PACK!C:C,"")*5&lt;=SUMIFS($D$4:$D$1000,$C$4:$C$1000,H37),"OK","NOT"))</f>
        <v/>
      </c>
    </row>
    <row r="38" spans="1:11" x14ac:dyDescent="0.25">
      <c r="A38" s="70">
        <f t="shared" si="0"/>
        <v>35</v>
      </c>
      <c r="B38" s="71" t="s">
        <v>4290</v>
      </c>
      <c r="C38" s="71" t="s">
        <v>369</v>
      </c>
      <c r="D38" s="70">
        <v>96</v>
      </c>
      <c r="I38" s="143" t="str">
        <f>IF(ISBLANK(H38),"",
IF(K38="NOT",
(J38)*_xlfn.XLOOKUP(H38,PACK!A:A,PACK!C:C,""),
(1+J38)*_xlfn.XLOOKUP(H38,PACK!A:A,PACK!C:C,"")))</f>
        <v/>
      </c>
      <c r="K38" t="str">
        <f>IF(ISBLANK($H38),"",
IF(_xlfn.XLOOKUP($H38,PACK!A:A,PACK!C:C,"")*5&lt;=SUMIFS($D$4:$D$1000,$C$4:$C$1000,H38),"OK","NOT"))</f>
        <v/>
      </c>
    </row>
    <row r="39" spans="1:11" x14ac:dyDescent="0.25">
      <c r="A39" s="70">
        <f t="shared" si="0"/>
        <v>36</v>
      </c>
      <c r="B39" s="71" t="s">
        <v>4291</v>
      </c>
      <c r="C39" s="71" t="s">
        <v>369</v>
      </c>
      <c r="D39" s="70">
        <v>96</v>
      </c>
      <c r="I39" s="143" t="str">
        <f>IF(ISBLANK(H39),"",
IF(K39="NOT",
(J39)*_xlfn.XLOOKUP(H39,PACK!A:A,PACK!C:C,""),
(1+J39)*_xlfn.XLOOKUP(H39,PACK!A:A,PACK!C:C,"")))</f>
        <v/>
      </c>
      <c r="K39" t="str">
        <f>IF(ISBLANK($H39),"",
IF(_xlfn.XLOOKUP($H39,PACK!A:A,PACK!C:C,"")*5&lt;=SUMIFS($D$4:$D$1000,$C$4:$C$1000,H39),"OK","NOT"))</f>
        <v/>
      </c>
    </row>
    <row r="40" spans="1:11" x14ac:dyDescent="0.25">
      <c r="A40" s="70">
        <f t="shared" si="0"/>
        <v>37</v>
      </c>
      <c r="B40" s="71" t="s">
        <v>4292</v>
      </c>
      <c r="C40" s="71" t="s">
        <v>369</v>
      </c>
      <c r="D40" s="70">
        <v>96</v>
      </c>
      <c r="I40" s="143" t="str">
        <f>IF(ISBLANK(H40),"",
IF(K40="NOT",
(J40)*_xlfn.XLOOKUP(H40,PACK!A:A,PACK!C:C,""),
(1+J40)*_xlfn.XLOOKUP(H40,PACK!A:A,PACK!C:C,"")))</f>
        <v/>
      </c>
      <c r="K40" t="str">
        <f>IF(ISBLANK($H40),"",
IF(_xlfn.XLOOKUP($H40,PACK!A:A,PACK!C:C,"")*5&lt;=SUMIFS($D$4:$D$1000,$C$4:$C$1000,H40),"OK","NOT"))</f>
        <v/>
      </c>
    </row>
    <row r="41" spans="1:11" x14ac:dyDescent="0.25">
      <c r="A41" s="70">
        <f t="shared" si="0"/>
        <v>38</v>
      </c>
      <c r="B41" s="71" t="s">
        <v>4293</v>
      </c>
      <c r="C41" s="71" t="s">
        <v>369</v>
      </c>
      <c r="D41" s="70">
        <v>96</v>
      </c>
      <c r="I41" s="143" t="str">
        <f>IF(ISBLANK(H41),"",
IF(K41="NOT",
(J41)*_xlfn.XLOOKUP(H41,PACK!A:A,PACK!C:C,""),
(1+J41)*_xlfn.XLOOKUP(H41,PACK!A:A,PACK!C:C,"")))</f>
        <v/>
      </c>
      <c r="K41" t="str">
        <f>IF(ISBLANK($H41),"",
IF(_xlfn.XLOOKUP($H41,PACK!A:A,PACK!C:C,"")*5&lt;=SUMIFS($D$4:$D$1000,$C$4:$C$1000,H41),"OK","NOT"))</f>
        <v/>
      </c>
    </row>
    <row r="42" spans="1:11" x14ac:dyDescent="0.25">
      <c r="A42" s="70">
        <f t="shared" si="0"/>
        <v>39</v>
      </c>
      <c r="B42" s="71" t="s">
        <v>4294</v>
      </c>
      <c r="C42" s="71" t="s">
        <v>369</v>
      </c>
      <c r="D42" s="70">
        <v>96</v>
      </c>
      <c r="I42" s="143" t="str">
        <f>IF(ISBLANK(H42),"",
IF(K42="NOT",
(J42)*_xlfn.XLOOKUP(H42,PACK!A:A,PACK!C:C,""),
(1+J42)*_xlfn.XLOOKUP(H42,PACK!A:A,PACK!C:C,"")))</f>
        <v/>
      </c>
      <c r="K42" t="str">
        <f>IF(ISBLANK($H42),"",
IF(_xlfn.XLOOKUP($H42,PACK!A:A,PACK!C:C,"")*5&lt;=SUMIFS($D$4:$D$1000,$C$4:$C$1000,H42),"OK","NOT"))</f>
        <v/>
      </c>
    </row>
    <row r="43" spans="1:11" x14ac:dyDescent="0.25">
      <c r="A43" s="70">
        <f t="shared" si="0"/>
        <v>40</v>
      </c>
      <c r="B43" s="71" t="s">
        <v>4295</v>
      </c>
      <c r="C43" s="71" t="s">
        <v>369</v>
      </c>
      <c r="D43" s="70">
        <v>96</v>
      </c>
      <c r="I43" s="143" t="str">
        <f>IF(ISBLANK(H43),"",
IF(K43="NOT",
(J43)*_xlfn.XLOOKUP(H43,PACK!A:A,PACK!C:C,""),
(1+J43)*_xlfn.XLOOKUP(H43,PACK!A:A,PACK!C:C,"")))</f>
        <v/>
      </c>
      <c r="K43" t="str">
        <f>IF(ISBLANK($H43),"",
IF(_xlfn.XLOOKUP($H43,PACK!A:A,PACK!C:C,"")*5&lt;=SUMIFS($D$4:$D$1000,$C$4:$C$1000,H43),"OK","NOT"))</f>
        <v/>
      </c>
    </row>
    <row r="44" spans="1:11" x14ac:dyDescent="0.25">
      <c r="A44" s="70">
        <f t="shared" si="0"/>
        <v>41</v>
      </c>
      <c r="B44" s="71" t="s">
        <v>4296</v>
      </c>
      <c r="C44" s="71" t="s">
        <v>369</v>
      </c>
      <c r="D44" s="70">
        <v>96</v>
      </c>
      <c r="I44" s="143" t="str">
        <f>IF(ISBLANK(H44),"",
IF(K44="NOT",
(J44)*_xlfn.XLOOKUP(H44,PACK!A:A,PACK!C:C,""),
(1+J44)*_xlfn.XLOOKUP(H44,PACK!A:A,PACK!C:C,"")))</f>
        <v/>
      </c>
      <c r="K44" t="str">
        <f>IF(ISBLANK($H44),"",
IF(_xlfn.XLOOKUP($H44,PACK!A:A,PACK!C:C,"")*5&lt;=SUMIFS($D$4:$D$1000,$C$4:$C$1000,H44),"OK","NOT"))</f>
        <v/>
      </c>
    </row>
    <row r="45" spans="1:11" x14ac:dyDescent="0.25">
      <c r="A45" s="70">
        <f t="shared" si="0"/>
        <v>42</v>
      </c>
      <c r="B45" s="71" t="s">
        <v>4297</v>
      </c>
      <c r="C45" s="71" t="s">
        <v>369</v>
      </c>
      <c r="D45" s="70">
        <v>96</v>
      </c>
      <c r="I45" s="143" t="str">
        <f>IF(ISBLANK(H45),"",
IF(K45="NOT",
(J45)*_xlfn.XLOOKUP(H45,PACK!A:A,PACK!C:C,""),
(1+J45)*_xlfn.XLOOKUP(H45,PACK!A:A,PACK!C:C,"")))</f>
        <v/>
      </c>
      <c r="K45" t="str">
        <f>IF(ISBLANK($H45),"",
IF(_xlfn.XLOOKUP($H45,PACK!A:A,PACK!C:C,"")*5&lt;=SUMIFS($D$4:$D$1000,$C$4:$C$1000,H45),"OK","NOT"))</f>
        <v/>
      </c>
    </row>
    <row r="46" spans="1:11" x14ac:dyDescent="0.25">
      <c r="A46" s="70">
        <f t="shared" si="0"/>
        <v>43</v>
      </c>
      <c r="B46" s="71" t="s">
        <v>4298</v>
      </c>
      <c r="C46" s="71" t="s">
        <v>369</v>
      </c>
      <c r="D46" s="70">
        <v>96</v>
      </c>
      <c r="I46" s="143" t="str">
        <f>IF(ISBLANK(H46),"",
IF(K46="NOT",
(J46)*_xlfn.XLOOKUP(H46,PACK!A:A,PACK!C:C,""),
(1+J46)*_xlfn.XLOOKUP(H46,PACK!A:A,PACK!C:C,"")))</f>
        <v/>
      </c>
      <c r="K46" t="str">
        <f>IF(ISBLANK($H46),"",
IF(_xlfn.XLOOKUP($H46,PACK!A:A,PACK!C:C,"")*5&lt;=SUMIFS($D$4:$D$1000,$C$4:$C$1000,H46),"OK","NOT"))</f>
        <v/>
      </c>
    </row>
    <row r="47" spans="1:11" x14ac:dyDescent="0.25">
      <c r="A47" s="70">
        <f t="shared" si="0"/>
        <v>44</v>
      </c>
      <c r="B47" s="71" t="s">
        <v>4300</v>
      </c>
      <c r="C47" s="71" t="s">
        <v>369</v>
      </c>
      <c r="D47" s="70">
        <v>96</v>
      </c>
      <c r="I47" s="143" t="str">
        <f>IF(ISBLANK(H47),"",
IF(K47="NOT",
(J47)*_xlfn.XLOOKUP(H47,PACK!A:A,PACK!C:C,""),
(1+J47)*_xlfn.XLOOKUP(H47,PACK!A:A,PACK!C:C,"")))</f>
        <v/>
      </c>
      <c r="K47" t="str">
        <f>IF(ISBLANK($H47),"",
IF(_xlfn.XLOOKUP($H47,PACK!A:A,PACK!C:C,"")*5&lt;=SUMIFS($D$4:$D$1000,$C$4:$C$1000,H47),"OK","NOT"))</f>
        <v/>
      </c>
    </row>
    <row r="48" spans="1:11" x14ac:dyDescent="0.25">
      <c r="A48" s="70">
        <f t="shared" si="0"/>
        <v>45</v>
      </c>
      <c r="B48" s="71" t="s">
        <v>4301</v>
      </c>
      <c r="C48" s="71" t="s">
        <v>369</v>
      </c>
      <c r="D48" s="70">
        <v>96</v>
      </c>
      <c r="I48" s="143" t="str">
        <f>IF(ISBLANK(H48),"",
IF(K48="NOT",
(J48)*_xlfn.XLOOKUP(H48,PACK!A:A,PACK!C:C,""),
(1+J48)*_xlfn.XLOOKUP(H48,PACK!A:A,PACK!C:C,"")))</f>
        <v/>
      </c>
      <c r="K48" t="str">
        <f>IF(ISBLANK($H48),"",
IF(_xlfn.XLOOKUP($H48,PACK!A:A,PACK!C:C,"")*5&lt;=SUMIFS($D$4:$D$1000,$C$4:$C$1000,H48),"OK","NOT"))</f>
        <v/>
      </c>
    </row>
    <row r="49" spans="1:11" x14ac:dyDescent="0.25">
      <c r="A49" s="70">
        <f t="shared" si="0"/>
        <v>46</v>
      </c>
      <c r="B49" s="71" t="s">
        <v>4302</v>
      </c>
      <c r="C49" s="71" t="s">
        <v>369</v>
      </c>
      <c r="D49" s="70">
        <v>96</v>
      </c>
      <c r="I49" s="143" t="str">
        <f>IF(ISBLANK(H49),"",
IF(K49="NOT",
(J49)*_xlfn.XLOOKUP(H49,PACK!A:A,PACK!C:C,""),
(1+J49)*_xlfn.XLOOKUP(H49,PACK!A:A,PACK!C:C,"")))</f>
        <v/>
      </c>
      <c r="K49" t="str">
        <f>IF(ISBLANK($H49),"",
IF(_xlfn.XLOOKUP($H49,PACK!A:A,PACK!C:C,"")*5&lt;=SUMIFS($D$4:$D$1000,$C$4:$C$1000,H49),"OK","NOT"))</f>
        <v/>
      </c>
    </row>
    <row r="50" spans="1:11" x14ac:dyDescent="0.25">
      <c r="A50" s="70">
        <f t="shared" si="0"/>
        <v>47</v>
      </c>
      <c r="B50" s="71" t="s">
        <v>4303</v>
      </c>
      <c r="C50" s="71" t="s">
        <v>369</v>
      </c>
      <c r="D50" s="70">
        <v>96</v>
      </c>
      <c r="I50" s="143" t="str">
        <f>IF(ISBLANK(H50),"",
IF(K50="NOT",
(J50)*_xlfn.XLOOKUP(H50,PACK!A:A,PACK!C:C,""),
(1+J50)*_xlfn.XLOOKUP(H50,PACK!A:A,PACK!C:C,"")))</f>
        <v/>
      </c>
      <c r="K50" t="str">
        <f>IF(ISBLANK($H50),"",
IF(_xlfn.XLOOKUP($H50,PACK!A:A,PACK!C:C,"")*5&lt;=SUMIFS($D$4:$D$1000,$C$4:$C$1000,H50),"OK","NOT"))</f>
        <v/>
      </c>
    </row>
    <row r="51" spans="1:11" x14ac:dyDescent="0.25">
      <c r="A51" s="70">
        <f t="shared" si="0"/>
        <v>48</v>
      </c>
      <c r="B51" s="71" t="s">
        <v>4304</v>
      </c>
      <c r="C51" s="71" t="s">
        <v>369</v>
      </c>
      <c r="D51" s="70">
        <v>96</v>
      </c>
      <c r="I51" s="143" t="str">
        <f>IF(ISBLANK(H51),"",
IF(K51="NOT",
(J51)*_xlfn.XLOOKUP(H51,PACK!A:A,PACK!C:C,""),
(1+J51)*_xlfn.XLOOKUP(H51,PACK!A:A,PACK!C:C,"")))</f>
        <v/>
      </c>
      <c r="K51" t="str">
        <f>IF(ISBLANK($H51),"",
IF(_xlfn.XLOOKUP($H51,PACK!A:A,PACK!C:C,"")*5&lt;=SUMIFS($D$4:$D$1000,$C$4:$C$1000,H51),"OK","NOT"))</f>
        <v/>
      </c>
    </row>
    <row r="52" spans="1:11" x14ac:dyDescent="0.25">
      <c r="A52" s="70">
        <f t="shared" si="0"/>
        <v>49</v>
      </c>
      <c r="B52" s="71" t="s">
        <v>4305</v>
      </c>
      <c r="C52" s="71" t="s">
        <v>369</v>
      </c>
      <c r="D52" s="70">
        <v>96</v>
      </c>
      <c r="I52" s="143" t="str">
        <f>IF(ISBLANK(H52),"",
IF(K52="NOT",
(J52)*_xlfn.XLOOKUP(H52,PACK!A:A,PACK!C:C,""),
(1+J52)*_xlfn.XLOOKUP(H52,PACK!A:A,PACK!C:C,"")))</f>
        <v/>
      </c>
      <c r="K52" t="str">
        <f>IF(ISBLANK($H52),"",
IF(_xlfn.XLOOKUP($H52,PACK!A:A,PACK!C:C,"")*5&lt;=SUMIFS($D$4:$D$1000,$C$4:$C$1000,H52),"OK","NOT"))</f>
        <v/>
      </c>
    </row>
    <row r="53" spans="1:11" x14ac:dyDescent="0.25">
      <c r="A53" s="70">
        <f t="shared" si="0"/>
        <v>50</v>
      </c>
      <c r="B53" s="71" t="s">
        <v>4306</v>
      </c>
      <c r="C53" s="71" t="s">
        <v>369</v>
      </c>
      <c r="D53" s="70">
        <v>96</v>
      </c>
      <c r="K53" t="str">
        <f>IF(ISBLANK($H53),"",
IF(_xlfn.XLOOKUP($H53,PACK!A:A,PACK!C:C,"")*5&lt;=SUMIFS($D$4:$D$1000,$C$4:$C$1000,H53),"OK","NOT"))</f>
        <v/>
      </c>
    </row>
    <row r="54" spans="1:11" x14ac:dyDescent="0.25">
      <c r="A54" s="70">
        <f t="shared" si="0"/>
        <v>51</v>
      </c>
      <c r="B54" s="71" t="s">
        <v>4307</v>
      </c>
      <c r="C54" s="71" t="s">
        <v>369</v>
      </c>
      <c r="D54" s="70">
        <v>96</v>
      </c>
    </row>
    <row r="55" spans="1:11" x14ac:dyDescent="0.25">
      <c r="A55" s="70">
        <f t="shared" si="0"/>
        <v>52</v>
      </c>
      <c r="B55" s="71" t="s">
        <v>4308</v>
      </c>
      <c r="C55" s="71" t="s">
        <v>369</v>
      </c>
      <c r="D55" s="70">
        <v>96</v>
      </c>
    </row>
    <row r="56" spans="1:11" x14ac:dyDescent="0.25">
      <c r="A56" s="70">
        <f t="shared" si="0"/>
        <v>53</v>
      </c>
      <c r="B56" s="71" t="s">
        <v>4310</v>
      </c>
      <c r="C56" s="71" t="s">
        <v>369</v>
      </c>
      <c r="D56" s="70">
        <v>96</v>
      </c>
    </row>
    <row r="57" spans="1:11" x14ac:dyDescent="0.25">
      <c r="A57" s="70">
        <f t="shared" si="0"/>
        <v>54</v>
      </c>
      <c r="B57" s="71" t="s">
        <v>4311</v>
      </c>
      <c r="C57" s="71" t="s">
        <v>369</v>
      </c>
      <c r="D57" s="70">
        <v>96</v>
      </c>
      <c r="I57" s="138" t="str">
        <f>IF(ISBLANK(H57),"",(1+J57)*_xlfn.XLOOKUP(H57,PACK!A:A,PACK!C:C,""))</f>
        <v/>
      </c>
    </row>
    <row r="58" spans="1:11" x14ac:dyDescent="0.25">
      <c r="A58" s="70">
        <f t="shared" si="0"/>
        <v>55</v>
      </c>
      <c r="B58" s="71" t="s">
        <v>4312</v>
      </c>
      <c r="C58" s="71" t="s">
        <v>369</v>
      </c>
      <c r="D58" s="70">
        <v>96</v>
      </c>
      <c r="I58" s="138" t="str">
        <f>IF(ISBLANK(H58),"",(1+J58)*_xlfn.XLOOKUP(H58,PACK!A:A,PACK!C:C,""))</f>
        <v/>
      </c>
    </row>
    <row r="59" spans="1:11" x14ac:dyDescent="0.25">
      <c r="A59" s="70">
        <f t="shared" si="0"/>
        <v>56</v>
      </c>
      <c r="B59" s="71" t="s">
        <v>4313</v>
      </c>
      <c r="C59" s="71" t="s">
        <v>369</v>
      </c>
      <c r="D59" s="70">
        <v>96</v>
      </c>
      <c r="I59" s="138" t="str">
        <f>IF(ISBLANK(H59),"",(1+J59)*_xlfn.XLOOKUP(H59,PACK!A:A,PACK!C:C,""))</f>
        <v/>
      </c>
    </row>
    <row r="60" spans="1:11" x14ac:dyDescent="0.25">
      <c r="A60" s="70">
        <f t="shared" si="0"/>
        <v>57</v>
      </c>
      <c r="B60" s="71" t="s">
        <v>4314</v>
      </c>
      <c r="C60" s="71" t="s">
        <v>369</v>
      </c>
      <c r="D60" s="70">
        <v>96</v>
      </c>
      <c r="I60" s="138" t="str">
        <f>IF(ISBLANK(H60),"",(1+J60)*_xlfn.XLOOKUP(H60,PACK!A:A,PACK!C:C,""))</f>
        <v/>
      </c>
    </row>
    <row r="61" spans="1:11" x14ac:dyDescent="0.25">
      <c r="A61" s="70">
        <f t="shared" si="0"/>
        <v>58</v>
      </c>
      <c r="B61" s="71" t="s">
        <v>4316</v>
      </c>
      <c r="C61" s="71" t="s">
        <v>369</v>
      </c>
      <c r="D61" s="70">
        <v>96</v>
      </c>
      <c r="I61" s="138" t="str">
        <f>IF(ISBLANK(H61),"",(1+J61)*_xlfn.XLOOKUP(H61,PACK!A:A,PACK!C:C,""))</f>
        <v/>
      </c>
    </row>
    <row r="62" spans="1:11" x14ac:dyDescent="0.25">
      <c r="A62" s="70">
        <f t="shared" si="0"/>
        <v>59</v>
      </c>
      <c r="B62" s="71" t="s">
        <v>4317</v>
      </c>
      <c r="C62" s="71" t="s">
        <v>369</v>
      </c>
      <c r="D62" s="70">
        <v>96</v>
      </c>
      <c r="I62" s="138" t="str">
        <f>IF(ISBLANK(H62),"",(1+J62)*_xlfn.XLOOKUP(H62,PACK!A:A,PACK!C:C,""))</f>
        <v/>
      </c>
    </row>
    <row r="63" spans="1:11" x14ac:dyDescent="0.25">
      <c r="A63" s="70">
        <f t="shared" si="0"/>
        <v>60</v>
      </c>
      <c r="B63" s="71" t="s">
        <v>4318</v>
      </c>
      <c r="C63" s="71" t="s">
        <v>369</v>
      </c>
      <c r="D63" s="70">
        <v>96</v>
      </c>
      <c r="I63" s="138" t="str">
        <f>IF(ISBLANK(H63),"",(1+J63)*_xlfn.XLOOKUP(H63,PACK!A:A,PACK!C:C,""))</f>
        <v/>
      </c>
    </row>
    <row r="64" spans="1:11" x14ac:dyDescent="0.25">
      <c r="A64" s="70">
        <f t="shared" si="0"/>
        <v>61</v>
      </c>
      <c r="B64" s="71" t="s">
        <v>4319</v>
      </c>
      <c r="C64" s="71" t="s">
        <v>369</v>
      </c>
      <c r="D64" s="70">
        <v>24</v>
      </c>
      <c r="I64" s="138" t="str">
        <f>IF(ISBLANK(H64),"",(1+J64)*_xlfn.XLOOKUP(H64,PACK!A:A,PACK!C:C,""))</f>
        <v/>
      </c>
    </row>
    <row r="65" spans="1:9" x14ac:dyDescent="0.25">
      <c r="A65" s="70">
        <f t="shared" si="0"/>
        <v>62</v>
      </c>
      <c r="B65" s="71" t="s">
        <v>3172</v>
      </c>
      <c r="C65" s="71"/>
      <c r="D65" s="70">
        <v>9714</v>
      </c>
      <c r="I65" s="138" t="str">
        <f>IF(ISBLANK(H65),"",(1+J65)*_xlfn.XLOOKUP(H65,PACK!A:A,PACK!C:C,""))</f>
        <v/>
      </c>
    </row>
    <row r="66" spans="1:9" x14ac:dyDescent="0.25">
      <c r="A66" s="70" t="str">
        <f t="shared" si="0"/>
        <v/>
      </c>
      <c r="B66" s="71"/>
      <c r="C66" s="71"/>
      <c r="D66" s="70"/>
      <c r="I66" s="138" t="str">
        <f>IF(ISBLANK(H66),"",(1+J66)*_xlfn.XLOOKUP(H66,PACK!A:A,PACK!C:C,""))</f>
        <v/>
      </c>
    </row>
    <row r="67" spans="1:9" x14ac:dyDescent="0.25">
      <c r="A67" s="70" t="str">
        <f t="shared" si="0"/>
        <v/>
      </c>
      <c r="B67" s="71"/>
      <c r="C67" s="71"/>
      <c r="D67" s="70"/>
      <c r="I67" s="138" t="str">
        <f>IF(ISBLANK(H67),"",(1+J67)*_xlfn.XLOOKUP(H67,PACK!A:A,PACK!C:C,""))</f>
        <v/>
      </c>
    </row>
    <row r="68" spans="1:9" x14ac:dyDescent="0.25">
      <c r="A68" s="70" t="str">
        <f t="shared" ref="A68:A131" si="1">IF(ISBLANK(B68),"",ROW()-3)</f>
        <v/>
      </c>
      <c r="B68" s="71"/>
      <c r="C68" s="71"/>
      <c r="D68" s="70"/>
      <c r="I68" s="138" t="str">
        <f>IF(ISBLANK(H68),"",(1+J68)*_xlfn.XLOOKUP(H68,PACK!A:A,PACK!C:C,""))</f>
        <v/>
      </c>
    </row>
    <row r="69" spans="1:9" x14ac:dyDescent="0.25">
      <c r="A69" s="70" t="str">
        <f t="shared" si="1"/>
        <v/>
      </c>
      <c r="B69" s="71"/>
      <c r="C69" s="71"/>
      <c r="D69" s="70"/>
      <c r="I69" s="138" t="str">
        <f>IF(ISBLANK(H69),"",(1+J69)*_xlfn.XLOOKUP(H69,PACK!A:A,PACK!C:C,""))</f>
        <v/>
      </c>
    </row>
    <row r="70" spans="1:9" x14ac:dyDescent="0.25">
      <c r="A70" s="70" t="str">
        <f t="shared" si="1"/>
        <v/>
      </c>
      <c r="B70" s="71"/>
      <c r="C70" s="71"/>
      <c r="D70" s="70"/>
      <c r="I70" s="138" t="str">
        <f>IF(ISBLANK(H70),"",(1+J70)*_xlfn.XLOOKUP(H70,PACK!A:A,PACK!C:C,""))</f>
        <v/>
      </c>
    </row>
    <row r="71" spans="1:9" x14ac:dyDescent="0.25">
      <c r="A71" s="70" t="str">
        <f t="shared" si="1"/>
        <v/>
      </c>
      <c r="B71" s="71"/>
      <c r="C71" s="71"/>
      <c r="D71" s="70"/>
      <c r="I71" s="138" t="str">
        <f>IF(ISBLANK(H71),"",(1+J71)*_xlfn.XLOOKUP(H71,PACK!A:A,PACK!C:C,""))</f>
        <v/>
      </c>
    </row>
    <row r="72" spans="1:9" x14ac:dyDescent="0.25">
      <c r="A72" s="70" t="str">
        <f t="shared" si="1"/>
        <v/>
      </c>
      <c r="B72" s="71"/>
      <c r="C72" s="71"/>
      <c r="D72" s="70"/>
      <c r="I72" s="138" t="str">
        <f>IF(ISBLANK(H72),"",(1+J72)*_xlfn.XLOOKUP(H72,PACK!A:A,PACK!C:C,""))</f>
        <v/>
      </c>
    </row>
    <row r="73" spans="1:9" x14ac:dyDescent="0.25">
      <c r="A73" s="70" t="str">
        <f t="shared" si="1"/>
        <v/>
      </c>
      <c r="B73" s="71"/>
      <c r="C73" s="71"/>
      <c r="D73" s="70"/>
      <c r="I73" s="138" t="str">
        <f>IF(ISBLANK(H73),"",(1+J73)*_xlfn.XLOOKUP(H73,PACK!A:A,PACK!C:C,""))</f>
        <v/>
      </c>
    </row>
    <row r="74" spans="1:9" x14ac:dyDescent="0.25">
      <c r="A74" s="70" t="str">
        <f t="shared" si="1"/>
        <v/>
      </c>
      <c r="B74" s="71"/>
      <c r="C74" s="71"/>
      <c r="D74" s="70"/>
      <c r="I74" s="138" t="str">
        <f>IF(ISBLANK(H74),"",(1+J74)*_xlfn.XLOOKUP(H74,PACK!A:A,PACK!C:C,""))</f>
        <v/>
      </c>
    </row>
    <row r="75" spans="1:9" x14ac:dyDescent="0.25">
      <c r="A75" s="70" t="str">
        <f t="shared" si="1"/>
        <v/>
      </c>
      <c r="B75" s="71"/>
      <c r="C75" s="71"/>
      <c r="D75" s="70"/>
      <c r="I75" s="138" t="str">
        <f>IF(ISBLANK(H75),"",(1+J75)*_xlfn.XLOOKUP(H75,PACK!A:A,PACK!C:C,""))</f>
        <v/>
      </c>
    </row>
    <row r="76" spans="1:9" x14ac:dyDescent="0.25">
      <c r="A76" s="70" t="str">
        <f t="shared" si="1"/>
        <v/>
      </c>
      <c r="B76" s="71"/>
      <c r="C76" s="71"/>
      <c r="D76" s="70"/>
      <c r="I76" s="138" t="str">
        <f>IF(ISBLANK(H76),"",(1+J76)*_xlfn.XLOOKUP(H76,PACK!A:A,PACK!C:C,""))</f>
        <v/>
      </c>
    </row>
    <row r="77" spans="1:9" x14ac:dyDescent="0.25">
      <c r="A77" s="70" t="str">
        <f t="shared" si="1"/>
        <v/>
      </c>
      <c r="B77" s="71"/>
      <c r="C77" s="71"/>
      <c r="D77" s="70"/>
      <c r="I77" s="138" t="str">
        <f>IF(ISBLANK(H77),"",(1+J77)*_xlfn.XLOOKUP(H77,PACK!A:A,PACK!C:C,""))</f>
        <v/>
      </c>
    </row>
    <row r="78" spans="1:9" x14ac:dyDescent="0.25">
      <c r="A78" s="70" t="str">
        <f t="shared" si="1"/>
        <v/>
      </c>
      <c r="B78" s="71"/>
      <c r="C78" s="71"/>
      <c r="D78" s="70"/>
      <c r="I78" s="138" t="str">
        <f>IF(ISBLANK(H78),"",(1+J78)*_xlfn.XLOOKUP(H78,PACK!A:A,PACK!C:C,""))</f>
        <v/>
      </c>
    </row>
    <row r="79" spans="1:9" x14ac:dyDescent="0.25">
      <c r="A79" s="70" t="str">
        <f t="shared" si="1"/>
        <v/>
      </c>
      <c r="B79" s="71"/>
      <c r="C79" s="71"/>
      <c r="D79" s="70"/>
      <c r="I79" s="138" t="str">
        <f>IF(ISBLANK(H79),"",(1+J79)*_xlfn.XLOOKUP(H79,PACK!A:A,PACK!C:C,""))</f>
        <v/>
      </c>
    </row>
    <row r="80" spans="1:9" x14ac:dyDescent="0.25">
      <c r="A80" s="70" t="str">
        <f t="shared" si="1"/>
        <v/>
      </c>
      <c r="B80" s="71"/>
      <c r="C80" s="71"/>
      <c r="D80" s="70"/>
      <c r="I80" s="138" t="str">
        <f>IF(ISBLANK(H80),"",(1+J80)*_xlfn.XLOOKUP(H80,PACK!A:A,PACK!C:C,""))</f>
        <v/>
      </c>
    </row>
    <row r="81" spans="1:9" x14ac:dyDescent="0.25">
      <c r="A81" s="70" t="str">
        <f t="shared" si="1"/>
        <v/>
      </c>
      <c r="B81" s="71"/>
      <c r="C81" s="71"/>
      <c r="D81" s="70"/>
      <c r="I81" s="138" t="str">
        <f>IF(ISBLANK(H81),"",(1+J81)*_xlfn.XLOOKUP(H81,PACK!A:A,PACK!C:C,""))</f>
        <v/>
      </c>
    </row>
    <row r="82" spans="1:9" x14ac:dyDescent="0.25">
      <c r="A82" s="70" t="str">
        <f t="shared" si="1"/>
        <v/>
      </c>
      <c r="B82" s="71"/>
      <c r="C82" s="71"/>
      <c r="D82" s="70"/>
      <c r="I82" s="138" t="str">
        <f>IF(ISBLANK(H82),"",(1+J82)*_xlfn.XLOOKUP(H82,PACK!A:A,PACK!C:C,""))</f>
        <v/>
      </c>
    </row>
    <row r="83" spans="1:9" x14ac:dyDescent="0.25">
      <c r="A83" s="70" t="str">
        <f t="shared" si="1"/>
        <v/>
      </c>
      <c r="B83" s="71"/>
      <c r="C83" s="71"/>
      <c r="D83" s="70"/>
      <c r="I83" s="138" t="str">
        <f>IF(ISBLANK(H83),"",(1+J83)*_xlfn.XLOOKUP(H83,PACK!A:A,PACK!C:C,""))</f>
        <v/>
      </c>
    </row>
    <row r="84" spans="1:9" x14ac:dyDescent="0.25">
      <c r="A84" s="70" t="str">
        <f t="shared" si="1"/>
        <v/>
      </c>
      <c r="B84" s="71"/>
      <c r="C84" s="71"/>
      <c r="D84" s="70"/>
      <c r="I84" s="138" t="str">
        <f>IF(ISBLANK(H84),"",(1+J84)*_xlfn.XLOOKUP(H84,PACK!A:A,PACK!C:C,""))</f>
        <v/>
      </c>
    </row>
    <row r="85" spans="1:9" x14ac:dyDescent="0.25">
      <c r="A85" s="70" t="str">
        <f t="shared" si="1"/>
        <v/>
      </c>
      <c r="B85" s="71"/>
      <c r="C85" s="71"/>
      <c r="D85" s="70"/>
      <c r="I85" s="138" t="str">
        <f>IF(ISBLANK(H85),"",(1+J85)*_xlfn.XLOOKUP(H85,PACK!A:A,PACK!C:C,""))</f>
        <v/>
      </c>
    </row>
    <row r="86" spans="1:9" x14ac:dyDescent="0.25">
      <c r="A86" s="152" t="str">
        <f t="shared" si="1"/>
        <v/>
      </c>
      <c r="I86" s="138" t="str">
        <f>IF(ISBLANK(H86),"",(1+J86)*_xlfn.XLOOKUP(H86,PACK!A:A,PACK!C:C,""))</f>
        <v/>
      </c>
    </row>
    <row r="87" spans="1:9" x14ac:dyDescent="0.25">
      <c r="A87" s="70" t="str">
        <f t="shared" si="1"/>
        <v/>
      </c>
      <c r="I87" s="138" t="str">
        <f>IF(ISBLANK(H87),"",(1+J87)*_xlfn.XLOOKUP(H87,PACK!A:A,PACK!C:C,""))</f>
        <v/>
      </c>
    </row>
    <row r="88" spans="1:9" x14ac:dyDescent="0.25">
      <c r="A88" s="70" t="str">
        <f t="shared" si="1"/>
        <v/>
      </c>
      <c r="I88" s="138" t="str">
        <f>IF(ISBLANK(H88),"",(1+J88)*_xlfn.XLOOKUP(H88,PACK!A:A,PACK!C:C,""))</f>
        <v/>
      </c>
    </row>
    <row r="89" spans="1:9" x14ac:dyDescent="0.25">
      <c r="A89" s="70" t="str">
        <f t="shared" si="1"/>
        <v/>
      </c>
      <c r="I89" s="138" t="str">
        <f>IF(ISBLANK(H89),"",(1+J89)*_xlfn.XLOOKUP(H89,PACK!A:A,PACK!C:C,""))</f>
        <v/>
      </c>
    </row>
    <row r="90" spans="1:9" x14ac:dyDescent="0.25">
      <c r="A90" s="70" t="str">
        <f t="shared" si="1"/>
        <v/>
      </c>
      <c r="I90" s="138" t="str">
        <f>IF(ISBLANK(H90),"",(1+J90)*_xlfn.XLOOKUP(H90,PACK!A:A,PACK!C:C,""))</f>
        <v/>
      </c>
    </row>
    <row r="91" spans="1:9" x14ac:dyDescent="0.25">
      <c r="A91" s="70" t="str">
        <f t="shared" si="1"/>
        <v/>
      </c>
      <c r="I91" s="138" t="str">
        <f>IF(ISBLANK(H91),"",(1+J91)*_xlfn.XLOOKUP(H91,PACK!A:A,PACK!C:C,""))</f>
        <v/>
      </c>
    </row>
    <row r="92" spans="1:9" x14ac:dyDescent="0.25">
      <c r="A92" s="70" t="str">
        <f t="shared" si="1"/>
        <v/>
      </c>
      <c r="I92" s="138" t="str">
        <f>IF(ISBLANK(H92),"",(1+J92)*_xlfn.XLOOKUP(H92,PACK!A:A,PACK!C:C,""))</f>
        <v/>
      </c>
    </row>
    <row r="93" spans="1:9" x14ac:dyDescent="0.25">
      <c r="A93" s="70" t="str">
        <f t="shared" si="1"/>
        <v/>
      </c>
      <c r="I93" s="138" t="str">
        <f>IF(ISBLANK(H93),"",(1+J93)*_xlfn.XLOOKUP(H93,PACK!A:A,PACK!C:C,""))</f>
        <v/>
      </c>
    </row>
    <row r="94" spans="1:9" x14ac:dyDescent="0.25">
      <c r="A94" s="70" t="str">
        <f t="shared" si="1"/>
        <v/>
      </c>
      <c r="I94" s="138" t="str">
        <f>IF(ISBLANK(H94),"",(1+J94)*_xlfn.XLOOKUP(H94,PACK!A:A,PACK!C:C,""))</f>
        <v/>
      </c>
    </row>
    <row r="95" spans="1:9" x14ac:dyDescent="0.25">
      <c r="A95" s="70" t="str">
        <f t="shared" si="1"/>
        <v/>
      </c>
      <c r="I95" s="138" t="str">
        <f>IF(ISBLANK(H95),"",(1+J95)*_xlfn.XLOOKUP(H95,PACK!A:A,PACK!C:C,""))</f>
        <v/>
      </c>
    </row>
    <row r="96" spans="1:9" x14ac:dyDescent="0.25">
      <c r="A96" s="70" t="str">
        <f t="shared" si="1"/>
        <v/>
      </c>
      <c r="I96" s="138" t="str">
        <f>IF(ISBLANK(H96),"",(1+J96)*_xlfn.XLOOKUP(H96,PACK!A:A,PACK!C:C,""))</f>
        <v/>
      </c>
    </row>
    <row r="97" spans="1:9" x14ac:dyDescent="0.25">
      <c r="A97" s="70" t="str">
        <f t="shared" si="1"/>
        <v/>
      </c>
      <c r="I97" s="138" t="str">
        <f>IF(ISBLANK(H97),"",(1+J97)*_xlfn.XLOOKUP(H97,PACK!A:A,PACK!C:C,""))</f>
        <v/>
      </c>
    </row>
    <row r="98" spans="1:9" x14ac:dyDescent="0.25">
      <c r="A98" s="70" t="str">
        <f t="shared" si="1"/>
        <v/>
      </c>
      <c r="I98" s="138" t="str">
        <f>IF(ISBLANK(H98),"",(1+J98)*_xlfn.XLOOKUP(H98,PACK!A:A,PACK!C:C,""))</f>
        <v/>
      </c>
    </row>
    <row r="99" spans="1:9" x14ac:dyDescent="0.25">
      <c r="A99" s="70" t="str">
        <f t="shared" si="1"/>
        <v/>
      </c>
      <c r="I99" s="138" t="str">
        <f>IF(ISBLANK(H99),"",(1+J99)*_xlfn.XLOOKUP(H99,PACK!A:A,PACK!C:C,""))</f>
        <v/>
      </c>
    </row>
    <row r="100" spans="1:9" x14ac:dyDescent="0.25">
      <c r="A100" s="70" t="str">
        <f t="shared" si="1"/>
        <v/>
      </c>
      <c r="I100" s="138" t="str">
        <f>IF(ISBLANK(H100),"",(1+J100)*_xlfn.XLOOKUP(H100,PACK!A:A,PACK!C:C,""))</f>
        <v/>
      </c>
    </row>
    <row r="101" spans="1:9" x14ac:dyDescent="0.25">
      <c r="A101" s="70" t="str">
        <f t="shared" si="1"/>
        <v/>
      </c>
      <c r="I101" s="138" t="str">
        <f>IF(ISBLANK(H101),"",(1+J101)*_xlfn.XLOOKUP(H101,PACK!A:A,PACK!C:C,""))</f>
        <v/>
      </c>
    </row>
    <row r="102" spans="1:9" x14ac:dyDescent="0.25">
      <c r="A102" s="70" t="str">
        <f t="shared" si="1"/>
        <v/>
      </c>
      <c r="I102" s="138" t="str">
        <f>IF(ISBLANK(H102),"",(1+J102)*_xlfn.XLOOKUP(H102,PACK!A:A,PACK!C:C,""))</f>
        <v/>
      </c>
    </row>
    <row r="103" spans="1:9" x14ac:dyDescent="0.25">
      <c r="A103" s="70" t="str">
        <f t="shared" si="1"/>
        <v/>
      </c>
      <c r="I103" s="138" t="str">
        <f>IF(ISBLANK(H103),"",(1+J103)*_xlfn.XLOOKUP(H103,PACK!A:A,PACK!C:C,""))</f>
        <v/>
      </c>
    </row>
    <row r="104" spans="1:9" x14ac:dyDescent="0.25">
      <c r="A104" s="70" t="str">
        <f t="shared" si="1"/>
        <v/>
      </c>
      <c r="I104" s="138" t="str">
        <f>IF(ISBLANK(H104),"",(1+J104)*_xlfn.XLOOKUP(H104,PACK!A:A,PACK!C:C,""))</f>
        <v/>
      </c>
    </row>
    <row r="105" spans="1:9" x14ac:dyDescent="0.25">
      <c r="A105" s="70" t="str">
        <f t="shared" si="1"/>
        <v/>
      </c>
      <c r="I105" s="138" t="str">
        <f>IF(ISBLANK(H105),"",(1+J105)*_xlfn.XLOOKUP(H105,PACK!A:A,PACK!C:C,""))</f>
        <v/>
      </c>
    </row>
    <row r="106" spans="1:9" x14ac:dyDescent="0.25">
      <c r="A106" s="70" t="str">
        <f t="shared" si="1"/>
        <v/>
      </c>
      <c r="I106" s="138" t="str">
        <f>IF(ISBLANK(H106),"",(1+J106)*_xlfn.XLOOKUP(H106,PACK!A:A,PACK!C:C,""))</f>
        <v/>
      </c>
    </row>
    <row r="107" spans="1:9" x14ac:dyDescent="0.25">
      <c r="A107" s="70" t="str">
        <f t="shared" si="1"/>
        <v/>
      </c>
      <c r="I107" s="138" t="str">
        <f>IF(ISBLANK(H107),"",(1+J107)*_xlfn.XLOOKUP(H107,PACK!A:A,PACK!C:C,""))</f>
        <v/>
      </c>
    </row>
    <row r="108" spans="1:9" x14ac:dyDescent="0.25">
      <c r="A108" s="70" t="str">
        <f t="shared" si="1"/>
        <v/>
      </c>
      <c r="I108" s="138" t="str">
        <f>IF(ISBLANK(H108),"",(1+J108)*_xlfn.XLOOKUP(H108,PACK!A:A,PACK!C:C,""))</f>
        <v/>
      </c>
    </row>
    <row r="109" spans="1:9" x14ac:dyDescent="0.25">
      <c r="A109" s="70" t="str">
        <f t="shared" si="1"/>
        <v/>
      </c>
      <c r="I109" s="138" t="str">
        <f>IF(ISBLANK(H109),"",(1+J109)*_xlfn.XLOOKUP(H109,PACK!A:A,PACK!C:C,""))</f>
        <v/>
      </c>
    </row>
    <row r="110" spans="1:9" x14ac:dyDescent="0.25">
      <c r="A110" s="70" t="str">
        <f t="shared" si="1"/>
        <v/>
      </c>
      <c r="I110" s="138" t="str">
        <f>IF(ISBLANK(H110),"",(1+J110)*_xlfn.XLOOKUP(H110,PACK!A:A,PACK!C:C,""))</f>
        <v/>
      </c>
    </row>
    <row r="111" spans="1:9" x14ac:dyDescent="0.25">
      <c r="A111" s="70" t="str">
        <f t="shared" si="1"/>
        <v/>
      </c>
      <c r="I111" s="138" t="str">
        <f>IF(ISBLANK(H111),"",(1+J111)*_xlfn.XLOOKUP(H111,PACK!A:A,PACK!C:C,""))</f>
        <v/>
      </c>
    </row>
    <row r="112" spans="1:9" x14ac:dyDescent="0.25">
      <c r="A112" s="70" t="str">
        <f t="shared" si="1"/>
        <v/>
      </c>
      <c r="I112" s="138" t="str">
        <f>IF(ISBLANK(H112),"",(1+J112)*_xlfn.XLOOKUP(H112,PACK!A:A,PACK!C:C,""))</f>
        <v/>
      </c>
    </row>
    <row r="113" spans="1:9" x14ac:dyDescent="0.25">
      <c r="A113" s="70" t="str">
        <f t="shared" si="1"/>
        <v/>
      </c>
      <c r="I113" s="138" t="str">
        <f>IF(ISBLANK(H113),"",(1+J113)*_xlfn.XLOOKUP(H113,PACK!A:A,PACK!C:C,""))</f>
        <v/>
      </c>
    </row>
    <row r="114" spans="1:9" x14ac:dyDescent="0.25">
      <c r="A114" s="70" t="str">
        <f t="shared" si="1"/>
        <v/>
      </c>
      <c r="I114" s="138" t="str">
        <f>IF(ISBLANK(H114),"",(1+J114)*_xlfn.XLOOKUP(H114,PACK!A:A,PACK!C:C,""))</f>
        <v/>
      </c>
    </row>
    <row r="115" spans="1:9" x14ac:dyDescent="0.25">
      <c r="A115" s="70" t="str">
        <f t="shared" si="1"/>
        <v/>
      </c>
      <c r="I115" s="138" t="str">
        <f>IF(ISBLANK(H115),"",(1+J115)*_xlfn.XLOOKUP(H115,PACK!A:A,PACK!C:C,""))</f>
        <v/>
      </c>
    </row>
    <row r="116" spans="1:9" x14ac:dyDescent="0.25">
      <c r="A116" s="70" t="str">
        <f t="shared" si="1"/>
        <v/>
      </c>
      <c r="I116" s="138" t="str">
        <f>IF(ISBLANK(H116),"",(1+J116)*_xlfn.XLOOKUP(H116,PACK!A:A,PACK!C:C,""))</f>
        <v/>
      </c>
    </row>
    <row r="117" spans="1:9" x14ac:dyDescent="0.25">
      <c r="A117" s="70" t="str">
        <f t="shared" si="1"/>
        <v/>
      </c>
      <c r="I117" s="138" t="str">
        <f>IF(ISBLANK(H117),"",(1+J117)*_xlfn.XLOOKUP(H117,PACK!A:A,PACK!C:C,""))</f>
        <v/>
      </c>
    </row>
    <row r="118" spans="1:9" x14ac:dyDescent="0.25">
      <c r="A118" s="70" t="str">
        <f t="shared" si="1"/>
        <v/>
      </c>
      <c r="I118" s="138" t="str">
        <f>IF(ISBLANK(H118),"",(1+J118)*_xlfn.XLOOKUP(H118,PACK!A:A,PACK!C:C,""))</f>
        <v/>
      </c>
    </row>
    <row r="119" spans="1:9" x14ac:dyDescent="0.25">
      <c r="A119" s="70" t="str">
        <f t="shared" si="1"/>
        <v/>
      </c>
      <c r="I119" s="138" t="str">
        <f>IF(ISBLANK(H119),"",(1+J119)*_xlfn.XLOOKUP(H119,PACK!A:A,PACK!C:C,""))</f>
        <v/>
      </c>
    </row>
    <row r="120" spans="1:9" x14ac:dyDescent="0.25">
      <c r="A120" s="70" t="str">
        <f t="shared" si="1"/>
        <v/>
      </c>
      <c r="I120" s="138" t="str">
        <f>IF(ISBLANK(H120),"",(1+J120)*_xlfn.XLOOKUP(H120,PACK!A:A,PACK!C:C,""))</f>
        <v/>
      </c>
    </row>
    <row r="121" spans="1:9" x14ac:dyDescent="0.25">
      <c r="A121" s="70" t="str">
        <f t="shared" si="1"/>
        <v/>
      </c>
      <c r="I121" s="138" t="str">
        <f>IF(ISBLANK(H121),"",(1+J121)*_xlfn.XLOOKUP(H121,PACK!A:A,PACK!C:C,""))</f>
        <v/>
      </c>
    </row>
    <row r="122" spans="1:9" x14ac:dyDescent="0.25">
      <c r="A122" s="70" t="str">
        <f t="shared" si="1"/>
        <v/>
      </c>
      <c r="I122" s="138" t="str">
        <f>IF(ISBLANK(H122),"",(1+J122)*_xlfn.XLOOKUP(H122,PACK!A:A,PACK!C:C,""))</f>
        <v/>
      </c>
    </row>
    <row r="123" spans="1:9" x14ac:dyDescent="0.25">
      <c r="A123" s="70" t="str">
        <f t="shared" si="1"/>
        <v/>
      </c>
      <c r="I123" s="138" t="str">
        <f>IF(ISBLANK(H123),"",(1+J123)*_xlfn.XLOOKUP(H123,PACK!A:A,PACK!C:C,""))</f>
        <v/>
      </c>
    </row>
    <row r="124" spans="1:9" x14ac:dyDescent="0.25">
      <c r="A124" s="70" t="str">
        <f t="shared" si="1"/>
        <v/>
      </c>
      <c r="I124" s="138" t="str">
        <f>IF(ISBLANK(H124),"",(1+J124)*_xlfn.XLOOKUP(H124,PACK!A:A,PACK!C:C,""))</f>
        <v/>
      </c>
    </row>
    <row r="125" spans="1:9" x14ac:dyDescent="0.25">
      <c r="A125" s="70" t="str">
        <f t="shared" si="1"/>
        <v/>
      </c>
      <c r="I125" s="138" t="str">
        <f>IF(ISBLANK(H125),"",(1+J125)*_xlfn.XLOOKUP(H125,PACK!A:A,PACK!C:C,""))</f>
        <v/>
      </c>
    </row>
    <row r="126" spans="1:9" x14ac:dyDescent="0.25">
      <c r="A126" s="70" t="str">
        <f t="shared" si="1"/>
        <v/>
      </c>
      <c r="I126" s="138" t="str">
        <f>IF(ISBLANK(H126),"",(1+J126)*_xlfn.XLOOKUP(H126,PACK!A:A,PACK!C:C,""))</f>
        <v/>
      </c>
    </row>
    <row r="127" spans="1:9" x14ac:dyDescent="0.25">
      <c r="A127" s="70" t="str">
        <f t="shared" si="1"/>
        <v/>
      </c>
      <c r="I127" s="138" t="str">
        <f>IF(ISBLANK(H127),"",(1+J127)*_xlfn.XLOOKUP(H127,PACK!A:A,PACK!C:C,""))</f>
        <v/>
      </c>
    </row>
    <row r="128" spans="1:9" x14ac:dyDescent="0.25">
      <c r="A128" s="70" t="str">
        <f t="shared" si="1"/>
        <v/>
      </c>
      <c r="I128" s="138" t="str">
        <f>IF(ISBLANK(H128),"",(1+J128)*_xlfn.XLOOKUP(H128,PACK!A:A,PACK!C:C,""))</f>
        <v/>
      </c>
    </row>
    <row r="129" spans="1:9" x14ac:dyDescent="0.25">
      <c r="A129" s="70" t="str">
        <f t="shared" si="1"/>
        <v/>
      </c>
      <c r="I129" s="138" t="str">
        <f>IF(ISBLANK(H129),"",(1+J129)*_xlfn.XLOOKUP(H129,PACK!A:A,PACK!C:C,""))</f>
        <v/>
      </c>
    </row>
    <row r="130" spans="1:9" x14ac:dyDescent="0.25">
      <c r="A130" s="70" t="str">
        <f t="shared" si="1"/>
        <v/>
      </c>
      <c r="I130" s="138" t="str">
        <f>IF(ISBLANK(H130),"",(1+J130)*_xlfn.XLOOKUP(H130,PACK!A:A,PACK!C:C,""))</f>
        <v/>
      </c>
    </row>
    <row r="131" spans="1:9" x14ac:dyDescent="0.25">
      <c r="A131" s="70" t="str">
        <f t="shared" si="1"/>
        <v/>
      </c>
      <c r="I131" s="138" t="str">
        <f>IF(ISBLANK(H131),"",(1+J131)*_xlfn.XLOOKUP(H131,PACK!A:A,PACK!C:C,""))</f>
        <v/>
      </c>
    </row>
    <row r="132" spans="1:9" x14ac:dyDescent="0.25">
      <c r="A132" s="70" t="str">
        <f t="shared" ref="A132:A195" si="2">IF(ISBLANK(B132),"",ROW()-3)</f>
        <v/>
      </c>
      <c r="I132" s="138" t="str">
        <f>IF(ISBLANK(H132),"",(1+J132)*_xlfn.XLOOKUP(H132,PACK!A:A,PACK!C:C,""))</f>
        <v/>
      </c>
    </row>
    <row r="133" spans="1:9" x14ac:dyDescent="0.25">
      <c r="A133" s="70" t="str">
        <f t="shared" si="2"/>
        <v/>
      </c>
      <c r="I133" s="138" t="str">
        <f>IF(ISBLANK(H133),"",(1+J133)*_xlfn.XLOOKUP(H133,PACK!A:A,PACK!C:C,""))</f>
        <v/>
      </c>
    </row>
    <row r="134" spans="1:9" x14ac:dyDescent="0.25">
      <c r="A134" s="70" t="str">
        <f t="shared" si="2"/>
        <v/>
      </c>
      <c r="I134" s="138" t="str">
        <f>IF(ISBLANK(H134),"",(1+J134)*_xlfn.XLOOKUP(H134,PACK!A:A,PACK!C:C,""))</f>
        <v/>
      </c>
    </row>
    <row r="135" spans="1:9" x14ac:dyDescent="0.25">
      <c r="A135" s="70" t="str">
        <f t="shared" si="2"/>
        <v/>
      </c>
      <c r="I135" s="138" t="str">
        <f>IF(ISBLANK(H135),"",(1+J135)*_xlfn.XLOOKUP(H135,PACK!A:A,PACK!C:C,""))</f>
        <v/>
      </c>
    </row>
    <row r="136" spans="1:9" x14ac:dyDescent="0.25">
      <c r="A136" s="70" t="str">
        <f t="shared" si="2"/>
        <v/>
      </c>
      <c r="I136" s="138" t="str">
        <f>IF(ISBLANK(H136),"",(1+J136)*_xlfn.XLOOKUP(H136,PACK!A:A,PACK!C:C,""))</f>
        <v/>
      </c>
    </row>
    <row r="137" spans="1:9" x14ac:dyDescent="0.25">
      <c r="A137" s="70" t="str">
        <f t="shared" si="2"/>
        <v/>
      </c>
      <c r="I137" s="138" t="str">
        <f>IF(ISBLANK(H137),"",(1+J137)*_xlfn.XLOOKUP(H137,PACK!A:A,PACK!C:C,""))</f>
        <v/>
      </c>
    </row>
    <row r="138" spans="1:9" x14ac:dyDescent="0.25">
      <c r="A138" s="70" t="str">
        <f t="shared" si="2"/>
        <v/>
      </c>
      <c r="I138" s="138" t="str">
        <f>IF(ISBLANK(H138),"",(1+J138)*_xlfn.XLOOKUP(H138,PACK!A:A,PACK!C:C,""))</f>
        <v/>
      </c>
    </row>
    <row r="139" spans="1:9" x14ac:dyDescent="0.25">
      <c r="A139" s="70" t="str">
        <f t="shared" si="2"/>
        <v/>
      </c>
      <c r="I139" s="138" t="str">
        <f>IF(ISBLANK(H139),"",(1+J139)*_xlfn.XLOOKUP(H139,PACK!A:A,PACK!C:C,""))</f>
        <v/>
      </c>
    </row>
    <row r="140" spans="1:9" x14ac:dyDescent="0.25">
      <c r="A140" s="70" t="str">
        <f t="shared" si="2"/>
        <v/>
      </c>
      <c r="I140" s="138" t="str">
        <f>IF(ISBLANK(H140),"",(1+J140)*_xlfn.XLOOKUP(H140,PACK!A:A,PACK!C:C,""))</f>
        <v/>
      </c>
    </row>
    <row r="141" spans="1:9" x14ac:dyDescent="0.25">
      <c r="A141" s="70" t="str">
        <f t="shared" si="2"/>
        <v/>
      </c>
      <c r="I141" s="138" t="str">
        <f>IF(ISBLANK(H141),"",(1+J141)*_xlfn.XLOOKUP(H141,PACK!A:A,PACK!C:C,""))</f>
        <v/>
      </c>
    </row>
    <row r="142" spans="1:9" x14ac:dyDescent="0.25">
      <c r="A142" s="70" t="str">
        <f t="shared" si="2"/>
        <v/>
      </c>
      <c r="I142" s="138" t="str">
        <f>IF(ISBLANK(H142),"",(1+J142)*_xlfn.XLOOKUP(H142,PACK!A:A,PACK!C:C,""))</f>
        <v/>
      </c>
    </row>
    <row r="143" spans="1:9" x14ac:dyDescent="0.25">
      <c r="A143" s="70" t="str">
        <f t="shared" si="2"/>
        <v/>
      </c>
      <c r="I143" s="138" t="str">
        <f>IF(ISBLANK(H143),"",(1+J143)*_xlfn.XLOOKUP(H143,PACK!A:A,PACK!C:C,""))</f>
        <v/>
      </c>
    </row>
    <row r="144" spans="1:9" x14ac:dyDescent="0.25">
      <c r="A144" s="70" t="str">
        <f t="shared" si="2"/>
        <v/>
      </c>
      <c r="I144" s="138" t="str">
        <f>IF(ISBLANK(H144),"",(1+J144)*_xlfn.XLOOKUP(H144,PACK!A:A,PACK!C:C,""))</f>
        <v/>
      </c>
    </row>
    <row r="145" spans="1:9" x14ac:dyDescent="0.25">
      <c r="A145" s="70" t="str">
        <f t="shared" si="2"/>
        <v/>
      </c>
      <c r="I145" s="138" t="str">
        <f>IF(ISBLANK(H145),"",(1+J145)*_xlfn.XLOOKUP(H145,PACK!A:A,PACK!C:C,""))</f>
        <v/>
      </c>
    </row>
    <row r="146" spans="1:9" x14ac:dyDescent="0.25">
      <c r="A146" s="70" t="str">
        <f t="shared" si="2"/>
        <v/>
      </c>
      <c r="I146" s="138" t="str">
        <f>IF(ISBLANK(H146),"",(1+J146)*_xlfn.XLOOKUP(H146,PACK!A:A,PACK!C:C,""))</f>
        <v/>
      </c>
    </row>
    <row r="147" spans="1:9" x14ac:dyDescent="0.25">
      <c r="A147" s="70" t="str">
        <f t="shared" si="2"/>
        <v/>
      </c>
      <c r="I147" s="138" t="str">
        <f>IF(ISBLANK(H147),"",(1+J147)*_xlfn.XLOOKUP(H147,PACK!A:A,PACK!C:C,""))</f>
        <v/>
      </c>
    </row>
    <row r="148" spans="1:9" x14ac:dyDescent="0.25">
      <c r="A148" s="70" t="str">
        <f t="shared" si="2"/>
        <v/>
      </c>
      <c r="I148" s="138" t="str">
        <f>IF(ISBLANK(H148),"",(1+J148)*_xlfn.XLOOKUP(H148,PACK!A:A,PACK!C:C,""))</f>
        <v/>
      </c>
    </row>
    <row r="149" spans="1:9" x14ac:dyDescent="0.25">
      <c r="A149" s="70" t="str">
        <f t="shared" si="2"/>
        <v/>
      </c>
      <c r="I149" s="138" t="str">
        <f>IF(ISBLANK(H149),"",(1+J149)*_xlfn.XLOOKUP(H149,PACK!A:A,PACK!C:C,""))</f>
        <v/>
      </c>
    </row>
    <row r="150" spans="1:9" x14ac:dyDescent="0.25">
      <c r="A150" s="70" t="str">
        <f t="shared" si="2"/>
        <v/>
      </c>
      <c r="I150" s="138" t="str">
        <f>IF(ISBLANK(H150),"",(1+J150)*_xlfn.XLOOKUP(H150,PACK!A:A,PACK!C:C,""))</f>
        <v/>
      </c>
    </row>
    <row r="151" spans="1:9" x14ac:dyDescent="0.25">
      <c r="A151" s="70" t="str">
        <f t="shared" si="2"/>
        <v/>
      </c>
      <c r="I151" s="138" t="str">
        <f>IF(ISBLANK(H151),"",(1+J151)*_xlfn.XLOOKUP(H151,PACK!A:A,PACK!C:C,""))</f>
        <v/>
      </c>
    </row>
    <row r="152" spans="1:9" x14ac:dyDescent="0.25">
      <c r="A152" s="70" t="str">
        <f t="shared" si="2"/>
        <v/>
      </c>
      <c r="I152" s="138" t="str">
        <f>IF(ISBLANK(H152),"",(1+J152)*_xlfn.XLOOKUP(H152,PACK!A:A,PACK!C:C,""))</f>
        <v/>
      </c>
    </row>
    <row r="153" spans="1:9" x14ac:dyDescent="0.25">
      <c r="A153" s="70" t="str">
        <f t="shared" si="2"/>
        <v/>
      </c>
      <c r="I153" s="138" t="str">
        <f>IF(ISBLANK(H153),"",(1+J153)*_xlfn.XLOOKUP(H153,PACK!A:A,PACK!C:C,""))</f>
        <v/>
      </c>
    </row>
    <row r="154" spans="1:9" x14ac:dyDescent="0.25">
      <c r="A154" s="70" t="str">
        <f t="shared" si="2"/>
        <v/>
      </c>
      <c r="I154" s="138" t="str">
        <f>IF(ISBLANK(H154),"",(1+J154)*_xlfn.XLOOKUP(H154,PACK!A:A,PACK!C:C,""))</f>
        <v/>
      </c>
    </row>
    <row r="155" spans="1:9" x14ac:dyDescent="0.25">
      <c r="A155" s="70" t="str">
        <f t="shared" si="2"/>
        <v/>
      </c>
      <c r="I155" s="138" t="str">
        <f>IF(ISBLANK(H155),"",(1+J155)*_xlfn.XLOOKUP(H155,PACK!A:A,PACK!C:C,""))</f>
        <v/>
      </c>
    </row>
    <row r="156" spans="1:9" x14ac:dyDescent="0.25">
      <c r="A156" s="70" t="str">
        <f t="shared" si="2"/>
        <v/>
      </c>
      <c r="I156" s="138" t="str">
        <f>IF(ISBLANK(H156),"",(1+J156)*_xlfn.XLOOKUP(H156,PACK!A:A,PACK!C:C,""))</f>
        <v/>
      </c>
    </row>
    <row r="157" spans="1:9" x14ac:dyDescent="0.25">
      <c r="A157" s="70" t="str">
        <f t="shared" si="2"/>
        <v/>
      </c>
      <c r="I157" s="138" t="str">
        <f>IF(ISBLANK(H157),"",(1+J157)*_xlfn.XLOOKUP(H157,PACK!A:A,PACK!C:C,""))</f>
        <v/>
      </c>
    </row>
    <row r="158" spans="1:9" x14ac:dyDescent="0.25">
      <c r="A158" s="70" t="str">
        <f t="shared" si="2"/>
        <v/>
      </c>
      <c r="I158" s="138" t="str">
        <f>IF(ISBLANK(H158),"",(1+J158)*_xlfn.XLOOKUP(H158,PACK!A:A,PACK!C:C,""))</f>
        <v/>
      </c>
    </row>
    <row r="159" spans="1:9" x14ac:dyDescent="0.25">
      <c r="A159" s="70" t="str">
        <f t="shared" si="2"/>
        <v/>
      </c>
      <c r="I159" s="138" t="str">
        <f>IF(ISBLANK(H159),"",(1+J159)*_xlfn.XLOOKUP(H159,PACK!A:A,PACK!C:C,""))</f>
        <v/>
      </c>
    </row>
    <row r="160" spans="1:9" x14ac:dyDescent="0.25">
      <c r="A160" s="70" t="str">
        <f t="shared" si="2"/>
        <v/>
      </c>
      <c r="I160" s="138" t="str">
        <f>IF(ISBLANK(H160),"",(1+J160)*_xlfn.XLOOKUP(H160,PACK!A:A,PACK!C:C,""))</f>
        <v/>
      </c>
    </row>
    <row r="161" spans="1:9" x14ac:dyDescent="0.25">
      <c r="A161" s="70" t="str">
        <f t="shared" si="2"/>
        <v/>
      </c>
      <c r="I161" s="138" t="str">
        <f>IF(ISBLANK(H161),"",(1+J161)*_xlfn.XLOOKUP(H161,PACK!A:A,PACK!C:C,""))</f>
        <v/>
      </c>
    </row>
    <row r="162" spans="1:9" x14ac:dyDescent="0.25">
      <c r="A162" s="70" t="str">
        <f t="shared" si="2"/>
        <v/>
      </c>
      <c r="I162" s="138" t="str">
        <f>IF(ISBLANK(H162),"",(1+J162)*_xlfn.XLOOKUP(H162,PACK!A:A,PACK!C:C,""))</f>
        <v/>
      </c>
    </row>
    <row r="163" spans="1:9" x14ac:dyDescent="0.25">
      <c r="A163" s="70" t="str">
        <f t="shared" si="2"/>
        <v/>
      </c>
      <c r="I163" s="138" t="str">
        <f>IF(ISBLANK(H163),"",(1+J163)*_xlfn.XLOOKUP(H163,PACK!A:A,PACK!C:C,""))</f>
        <v/>
      </c>
    </row>
    <row r="164" spans="1:9" x14ac:dyDescent="0.25">
      <c r="A164" s="70" t="str">
        <f t="shared" si="2"/>
        <v/>
      </c>
      <c r="I164" s="138" t="str">
        <f>IF(ISBLANK(H164),"",(1+J164)*_xlfn.XLOOKUP(H164,PACK!A:A,PACK!C:C,""))</f>
        <v/>
      </c>
    </row>
    <row r="165" spans="1:9" x14ac:dyDescent="0.25">
      <c r="A165" s="70" t="str">
        <f t="shared" si="2"/>
        <v/>
      </c>
      <c r="I165" s="138" t="str">
        <f>IF(ISBLANK(H165),"",(1+J165)*_xlfn.XLOOKUP(H165,PACK!A:A,PACK!C:C,""))</f>
        <v/>
      </c>
    </row>
    <row r="166" spans="1:9" x14ac:dyDescent="0.25">
      <c r="A166" s="70" t="str">
        <f t="shared" si="2"/>
        <v/>
      </c>
      <c r="I166" s="138" t="str">
        <f>IF(ISBLANK(H166),"",(1+J166)*_xlfn.XLOOKUP(H166,PACK!A:A,PACK!C:C,""))</f>
        <v/>
      </c>
    </row>
    <row r="167" spans="1:9" x14ac:dyDescent="0.25">
      <c r="A167" s="70" t="str">
        <f t="shared" si="2"/>
        <v/>
      </c>
      <c r="I167" s="138" t="str">
        <f>IF(ISBLANK(H167),"",(1+J167)*_xlfn.XLOOKUP(H167,PACK!A:A,PACK!C:C,""))</f>
        <v/>
      </c>
    </row>
    <row r="168" spans="1:9" x14ac:dyDescent="0.25">
      <c r="A168" s="70" t="str">
        <f t="shared" si="2"/>
        <v/>
      </c>
      <c r="I168" s="138" t="str">
        <f>IF(ISBLANK(H168),"",(1+J168)*_xlfn.XLOOKUP(H168,PACK!A:A,PACK!C:C,""))</f>
        <v/>
      </c>
    </row>
    <row r="169" spans="1:9" x14ac:dyDescent="0.25">
      <c r="A169" s="70" t="str">
        <f t="shared" si="2"/>
        <v/>
      </c>
    </row>
    <row r="170" spans="1:9" x14ac:dyDescent="0.25">
      <c r="A170" s="70" t="str">
        <f t="shared" si="2"/>
        <v/>
      </c>
    </row>
    <row r="171" spans="1:9" x14ac:dyDescent="0.25">
      <c r="A171" s="70" t="str">
        <f t="shared" si="2"/>
        <v/>
      </c>
    </row>
    <row r="172" spans="1:9" x14ac:dyDescent="0.25">
      <c r="A172" s="70" t="str">
        <f t="shared" si="2"/>
        <v/>
      </c>
    </row>
    <row r="173" spans="1:9" x14ac:dyDescent="0.25">
      <c r="A173" s="70" t="str">
        <f t="shared" si="2"/>
        <v/>
      </c>
    </row>
    <row r="174" spans="1:9" x14ac:dyDescent="0.25">
      <c r="A174" s="70" t="str">
        <f t="shared" si="2"/>
        <v/>
      </c>
    </row>
    <row r="175" spans="1:9" x14ac:dyDescent="0.25">
      <c r="A175" s="70" t="str">
        <f t="shared" si="2"/>
        <v/>
      </c>
    </row>
    <row r="176" spans="1:9" x14ac:dyDescent="0.25">
      <c r="A176" s="70" t="str">
        <f t="shared" si="2"/>
        <v/>
      </c>
    </row>
    <row r="177" spans="1:1" x14ac:dyDescent="0.25">
      <c r="A177" s="70" t="str">
        <f t="shared" si="2"/>
        <v/>
      </c>
    </row>
    <row r="178" spans="1:1" x14ac:dyDescent="0.25">
      <c r="A178" s="70" t="str">
        <f t="shared" si="2"/>
        <v/>
      </c>
    </row>
    <row r="179" spans="1:1" x14ac:dyDescent="0.25">
      <c r="A179" s="70" t="str">
        <f t="shared" si="2"/>
        <v/>
      </c>
    </row>
    <row r="180" spans="1:1" x14ac:dyDescent="0.25">
      <c r="A180" s="70" t="str">
        <f t="shared" si="2"/>
        <v/>
      </c>
    </row>
    <row r="181" spans="1:1" x14ac:dyDescent="0.25">
      <c r="A181" s="70" t="str">
        <f t="shared" si="2"/>
        <v/>
      </c>
    </row>
    <row r="182" spans="1:1" x14ac:dyDescent="0.25">
      <c r="A182" s="70" t="str">
        <f t="shared" si="2"/>
        <v/>
      </c>
    </row>
    <row r="183" spans="1:1" x14ac:dyDescent="0.25">
      <c r="A183" s="70" t="str">
        <f t="shared" si="2"/>
        <v/>
      </c>
    </row>
    <row r="184" spans="1:1" x14ac:dyDescent="0.25">
      <c r="A184" s="70" t="str">
        <f t="shared" si="2"/>
        <v/>
      </c>
    </row>
    <row r="185" spans="1:1" x14ac:dyDescent="0.25">
      <c r="A185" s="70" t="str">
        <f t="shared" si="2"/>
        <v/>
      </c>
    </row>
    <row r="186" spans="1:1" x14ac:dyDescent="0.25">
      <c r="A186" s="70" t="str">
        <f t="shared" si="2"/>
        <v/>
      </c>
    </row>
    <row r="187" spans="1:1" x14ac:dyDescent="0.25">
      <c r="A187" s="70" t="str">
        <f t="shared" si="2"/>
        <v/>
      </c>
    </row>
    <row r="188" spans="1:1" x14ac:dyDescent="0.25">
      <c r="A188" s="70" t="str">
        <f t="shared" si="2"/>
        <v/>
      </c>
    </row>
    <row r="189" spans="1:1" x14ac:dyDescent="0.25">
      <c r="A189" s="70" t="str">
        <f t="shared" si="2"/>
        <v/>
      </c>
    </row>
    <row r="190" spans="1:1" x14ac:dyDescent="0.25">
      <c r="A190" s="70" t="str">
        <f t="shared" si="2"/>
        <v/>
      </c>
    </row>
    <row r="191" spans="1:1" x14ac:dyDescent="0.25">
      <c r="A191" s="70" t="str">
        <f t="shared" si="2"/>
        <v/>
      </c>
    </row>
    <row r="192" spans="1:1" x14ac:dyDescent="0.25">
      <c r="A192" s="70" t="str">
        <f t="shared" si="2"/>
        <v/>
      </c>
    </row>
    <row r="193" spans="1:1" x14ac:dyDescent="0.25">
      <c r="A193" s="70" t="str">
        <f t="shared" si="2"/>
        <v/>
      </c>
    </row>
    <row r="194" spans="1:1" x14ac:dyDescent="0.25">
      <c r="A194" s="70" t="str">
        <f t="shared" si="2"/>
        <v/>
      </c>
    </row>
    <row r="195" spans="1:1" x14ac:dyDescent="0.25">
      <c r="A195" s="70" t="str">
        <f t="shared" si="2"/>
        <v/>
      </c>
    </row>
    <row r="196" spans="1:1" x14ac:dyDescent="0.25">
      <c r="A196" s="70" t="str">
        <f t="shared" ref="A196:A259" si="3">IF(ISBLANK(B196),"",ROW()-3)</f>
        <v/>
      </c>
    </row>
    <row r="197" spans="1:1" x14ac:dyDescent="0.25">
      <c r="A197" s="70" t="str">
        <f t="shared" si="3"/>
        <v/>
      </c>
    </row>
    <row r="198" spans="1:1" x14ac:dyDescent="0.25">
      <c r="A198" s="70" t="str">
        <f t="shared" si="3"/>
        <v/>
      </c>
    </row>
    <row r="199" spans="1:1" x14ac:dyDescent="0.25">
      <c r="A199" s="70" t="str">
        <f t="shared" si="3"/>
        <v/>
      </c>
    </row>
    <row r="200" spans="1:1" x14ac:dyDescent="0.25">
      <c r="A200" s="70" t="str">
        <f t="shared" si="3"/>
        <v/>
      </c>
    </row>
    <row r="201" spans="1:1" x14ac:dyDescent="0.25">
      <c r="A201" s="70" t="str">
        <f t="shared" si="3"/>
        <v/>
      </c>
    </row>
    <row r="202" spans="1:1" x14ac:dyDescent="0.25">
      <c r="A202" s="70" t="str">
        <f t="shared" si="3"/>
        <v/>
      </c>
    </row>
    <row r="203" spans="1:1" x14ac:dyDescent="0.25">
      <c r="A203" s="70" t="str">
        <f t="shared" si="3"/>
        <v/>
      </c>
    </row>
    <row r="204" spans="1:1" x14ac:dyDescent="0.25">
      <c r="A204" s="70" t="str">
        <f t="shared" si="3"/>
        <v/>
      </c>
    </row>
    <row r="205" spans="1:1" x14ac:dyDescent="0.25">
      <c r="A205" s="70" t="str">
        <f t="shared" si="3"/>
        <v/>
      </c>
    </row>
    <row r="206" spans="1:1" x14ac:dyDescent="0.25">
      <c r="A206" s="70" t="str">
        <f t="shared" si="3"/>
        <v/>
      </c>
    </row>
    <row r="207" spans="1:1" x14ac:dyDescent="0.25">
      <c r="A207" s="70" t="str">
        <f t="shared" si="3"/>
        <v/>
      </c>
    </row>
    <row r="208" spans="1:1" x14ac:dyDescent="0.25">
      <c r="A208" s="70" t="str">
        <f t="shared" si="3"/>
        <v/>
      </c>
    </row>
    <row r="209" spans="1:1" x14ac:dyDescent="0.25">
      <c r="A209" s="70" t="str">
        <f t="shared" si="3"/>
        <v/>
      </c>
    </row>
    <row r="210" spans="1:1" x14ac:dyDescent="0.25">
      <c r="A210" s="70" t="str">
        <f t="shared" si="3"/>
        <v/>
      </c>
    </row>
    <row r="211" spans="1:1" x14ac:dyDescent="0.25">
      <c r="A211" s="70" t="str">
        <f t="shared" si="3"/>
        <v/>
      </c>
    </row>
    <row r="212" spans="1:1" x14ac:dyDescent="0.25">
      <c r="A212" s="70" t="str">
        <f t="shared" si="3"/>
        <v/>
      </c>
    </row>
    <row r="213" spans="1:1" x14ac:dyDescent="0.25">
      <c r="A213" s="70" t="str">
        <f t="shared" si="3"/>
        <v/>
      </c>
    </row>
    <row r="214" spans="1:1" x14ac:dyDescent="0.25">
      <c r="A214" s="70" t="str">
        <f t="shared" si="3"/>
        <v/>
      </c>
    </row>
    <row r="215" spans="1:1" x14ac:dyDescent="0.25">
      <c r="A215" s="70" t="str">
        <f t="shared" si="3"/>
        <v/>
      </c>
    </row>
    <row r="216" spans="1:1" x14ac:dyDescent="0.25">
      <c r="A216" s="70" t="str">
        <f t="shared" si="3"/>
        <v/>
      </c>
    </row>
    <row r="217" spans="1:1" x14ac:dyDescent="0.25">
      <c r="A217" s="70" t="str">
        <f t="shared" si="3"/>
        <v/>
      </c>
    </row>
    <row r="218" spans="1:1" x14ac:dyDescent="0.25">
      <c r="A218" s="70" t="str">
        <f t="shared" si="3"/>
        <v/>
      </c>
    </row>
    <row r="219" spans="1:1" x14ac:dyDescent="0.25">
      <c r="A219" s="70" t="str">
        <f t="shared" si="3"/>
        <v/>
      </c>
    </row>
    <row r="220" spans="1:1" x14ac:dyDescent="0.25">
      <c r="A220" s="70" t="str">
        <f t="shared" si="3"/>
        <v/>
      </c>
    </row>
    <row r="221" spans="1:1" x14ac:dyDescent="0.25">
      <c r="A221" s="70" t="str">
        <f t="shared" si="3"/>
        <v/>
      </c>
    </row>
    <row r="222" spans="1:1" x14ac:dyDescent="0.25">
      <c r="A222" s="70" t="str">
        <f t="shared" si="3"/>
        <v/>
      </c>
    </row>
    <row r="223" spans="1:1" x14ac:dyDescent="0.25">
      <c r="A223" s="70" t="str">
        <f t="shared" si="3"/>
        <v/>
      </c>
    </row>
    <row r="224" spans="1:1" x14ac:dyDescent="0.25">
      <c r="A224" s="70" t="str">
        <f t="shared" si="3"/>
        <v/>
      </c>
    </row>
    <row r="225" spans="1:1" x14ac:dyDescent="0.25">
      <c r="A225" s="70" t="str">
        <f t="shared" si="3"/>
        <v/>
      </c>
    </row>
    <row r="226" spans="1:1" x14ac:dyDescent="0.25">
      <c r="A226" s="70" t="str">
        <f t="shared" si="3"/>
        <v/>
      </c>
    </row>
    <row r="227" spans="1:1" x14ac:dyDescent="0.25">
      <c r="A227" s="70" t="str">
        <f t="shared" si="3"/>
        <v/>
      </c>
    </row>
    <row r="228" spans="1:1" x14ac:dyDescent="0.25">
      <c r="A228" s="70" t="str">
        <f t="shared" si="3"/>
        <v/>
      </c>
    </row>
    <row r="229" spans="1:1" x14ac:dyDescent="0.25">
      <c r="A229" s="70" t="str">
        <f t="shared" si="3"/>
        <v/>
      </c>
    </row>
    <row r="230" spans="1:1" x14ac:dyDescent="0.25">
      <c r="A230" s="70" t="str">
        <f t="shared" si="3"/>
        <v/>
      </c>
    </row>
    <row r="231" spans="1:1" x14ac:dyDescent="0.25">
      <c r="A231" s="70" t="str">
        <f t="shared" si="3"/>
        <v/>
      </c>
    </row>
    <row r="232" spans="1:1" x14ac:dyDescent="0.25">
      <c r="A232" s="70" t="str">
        <f t="shared" si="3"/>
        <v/>
      </c>
    </row>
    <row r="233" spans="1:1" x14ac:dyDescent="0.25">
      <c r="A233" s="70" t="str">
        <f t="shared" si="3"/>
        <v/>
      </c>
    </row>
    <row r="234" spans="1:1" x14ac:dyDescent="0.25">
      <c r="A234" s="70" t="str">
        <f t="shared" si="3"/>
        <v/>
      </c>
    </row>
    <row r="235" spans="1:1" x14ac:dyDescent="0.25">
      <c r="A235" s="70" t="str">
        <f t="shared" si="3"/>
        <v/>
      </c>
    </row>
    <row r="236" spans="1:1" x14ac:dyDescent="0.25">
      <c r="A236" s="70" t="str">
        <f t="shared" si="3"/>
        <v/>
      </c>
    </row>
    <row r="237" spans="1:1" x14ac:dyDescent="0.25">
      <c r="A237" s="70" t="str">
        <f t="shared" si="3"/>
        <v/>
      </c>
    </row>
    <row r="238" spans="1:1" x14ac:dyDescent="0.25">
      <c r="A238" s="70" t="str">
        <f t="shared" si="3"/>
        <v/>
      </c>
    </row>
    <row r="239" spans="1:1" x14ac:dyDescent="0.25">
      <c r="A239" s="70" t="str">
        <f t="shared" si="3"/>
        <v/>
      </c>
    </row>
    <row r="240" spans="1:1" x14ac:dyDescent="0.25">
      <c r="A240" s="70" t="str">
        <f t="shared" si="3"/>
        <v/>
      </c>
    </row>
    <row r="241" spans="1:1" x14ac:dyDescent="0.25">
      <c r="A241" s="70" t="str">
        <f t="shared" si="3"/>
        <v/>
      </c>
    </row>
    <row r="242" spans="1:1" x14ac:dyDescent="0.25">
      <c r="A242" s="70" t="str">
        <f t="shared" si="3"/>
        <v/>
      </c>
    </row>
    <row r="243" spans="1:1" x14ac:dyDescent="0.25">
      <c r="A243" s="70" t="str">
        <f t="shared" si="3"/>
        <v/>
      </c>
    </row>
    <row r="244" spans="1:1" x14ac:dyDescent="0.25">
      <c r="A244" s="70" t="str">
        <f t="shared" si="3"/>
        <v/>
      </c>
    </row>
    <row r="245" spans="1:1" x14ac:dyDescent="0.25">
      <c r="A245" s="70" t="str">
        <f t="shared" si="3"/>
        <v/>
      </c>
    </row>
    <row r="246" spans="1:1" x14ac:dyDescent="0.25">
      <c r="A246" s="70" t="str">
        <f t="shared" si="3"/>
        <v/>
      </c>
    </row>
    <row r="247" spans="1:1" x14ac:dyDescent="0.25">
      <c r="A247" s="70" t="str">
        <f t="shared" si="3"/>
        <v/>
      </c>
    </row>
    <row r="248" spans="1:1" x14ac:dyDescent="0.25">
      <c r="A248" s="70" t="str">
        <f t="shared" si="3"/>
        <v/>
      </c>
    </row>
    <row r="249" spans="1:1" x14ac:dyDescent="0.25">
      <c r="A249" s="70" t="str">
        <f t="shared" si="3"/>
        <v/>
      </c>
    </row>
    <row r="250" spans="1:1" x14ac:dyDescent="0.25">
      <c r="A250" s="70" t="str">
        <f t="shared" si="3"/>
        <v/>
      </c>
    </row>
    <row r="251" spans="1:1" x14ac:dyDescent="0.25">
      <c r="A251" s="70" t="str">
        <f t="shared" si="3"/>
        <v/>
      </c>
    </row>
    <row r="252" spans="1:1" x14ac:dyDescent="0.25">
      <c r="A252" s="70" t="str">
        <f t="shared" si="3"/>
        <v/>
      </c>
    </row>
    <row r="253" spans="1:1" x14ac:dyDescent="0.25">
      <c r="A253" s="70" t="str">
        <f t="shared" si="3"/>
        <v/>
      </c>
    </row>
    <row r="254" spans="1:1" x14ac:dyDescent="0.25">
      <c r="A254" s="70" t="str">
        <f t="shared" si="3"/>
        <v/>
      </c>
    </row>
    <row r="255" spans="1:1" x14ac:dyDescent="0.25">
      <c r="A255" s="70" t="str">
        <f t="shared" si="3"/>
        <v/>
      </c>
    </row>
    <row r="256" spans="1:1" x14ac:dyDescent="0.25">
      <c r="A256" s="70" t="str">
        <f t="shared" si="3"/>
        <v/>
      </c>
    </row>
    <row r="257" spans="1:1" x14ac:dyDescent="0.25">
      <c r="A257" s="70" t="str">
        <f t="shared" si="3"/>
        <v/>
      </c>
    </row>
    <row r="258" spans="1:1" x14ac:dyDescent="0.25">
      <c r="A258" s="70" t="str">
        <f t="shared" si="3"/>
        <v/>
      </c>
    </row>
    <row r="259" spans="1:1" x14ac:dyDescent="0.25">
      <c r="A259" s="70" t="str">
        <f t="shared" si="3"/>
        <v/>
      </c>
    </row>
    <row r="260" spans="1:1" x14ac:dyDescent="0.25">
      <c r="A260" s="70" t="str">
        <f t="shared" ref="A260:A300" si="4">IF(ISBLANK(B260),"",ROW()-3)</f>
        <v/>
      </c>
    </row>
    <row r="261" spans="1:1" x14ac:dyDescent="0.25">
      <c r="A261" s="70" t="str">
        <f t="shared" si="4"/>
        <v/>
      </c>
    </row>
    <row r="262" spans="1:1" x14ac:dyDescent="0.25">
      <c r="A262" s="70" t="str">
        <f t="shared" si="4"/>
        <v/>
      </c>
    </row>
    <row r="263" spans="1:1" x14ac:dyDescent="0.25">
      <c r="A263" s="70" t="str">
        <f t="shared" si="4"/>
        <v/>
      </c>
    </row>
    <row r="264" spans="1:1" x14ac:dyDescent="0.25">
      <c r="A264" s="70" t="str">
        <f t="shared" si="4"/>
        <v/>
      </c>
    </row>
    <row r="265" spans="1:1" x14ac:dyDescent="0.25">
      <c r="A265" s="70" t="str">
        <f t="shared" si="4"/>
        <v/>
      </c>
    </row>
    <row r="266" spans="1:1" x14ac:dyDescent="0.25">
      <c r="A266" s="70" t="str">
        <f t="shared" si="4"/>
        <v/>
      </c>
    </row>
    <row r="267" spans="1:1" x14ac:dyDescent="0.25">
      <c r="A267" s="70" t="str">
        <f t="shared" si="4"/>
        <v/>
      </c>
    </row>
    <row r="268" spans="1:1" x14ac:dyDescent="0.25">
      <c r="A268" s="70" t="str">
        <f t="shared" si="4"/>
        <v/>
      </c>
    </row>
    <row r="269" spans="1:1" x14ac:dyDescent="0.25">
      <c r="A269" s="70" t="str">
        <f t="shared" si="4"/>
        <v/>
      </c>
    </row>
    <row r="270" spans="1:1" x14ac:dyDescent="0.25">
      <c r="A270" s="70" t="str">
        <f t="shared" si="4"/>
        <v/>
      </c>
    </row>
    <row r="271" spans="1:1" x14ac:dyDescent="0.25">
      <c r="A271" s="70" t="str">
        <f t="shared" si="4"/>
        <v/>
      </c>
    </row>
    <row r="272" spans="1:1" x14ac:dyDescent="0.25">
      <c r="A272" s="70" t="str">
        <f t="shared" si="4"/>
        <v/>
      </c>
    </row>
    <row r="273" spans="1:1" x14ac:dyDescent="0.25">
      <c r="A273" s="70" t="str">
        <f t="shared" si="4"/>
        <v/>
      </c>
    </row>
    <row r="274" spans="1:1" x14ac:dyDescent="0.25">
      <c r="A274" s="70" t="str">
        <f t="shared" si="4"/>
        <v/>
      </c>
    </row>
    <row r="275" spans="1:1" x14ac:dyDescent="0.25">
      <c r="A275" s="70" t="str">
        <f t="shared" si="4"/>
        <v/>
      </c>
    </row>
    <row r="276" spans="1:1" x14ac:dyDescent="0.25">
      <c r="A276" s="70" t="str">
        <f t="shared" si="4"/>
        <v/>
      </c>
    </row>
    <row r="277" spans="1:1" x14ac:dyDescent="0.25">
      <c r="A277" s="70" t="str">
        <f t="shared" si="4"/>
        <v/>
      </c>
    </row>
    <row r="278" spans="1:1" x14ac:dyDescent="0.25">
      <c r="A278" s="70" t="str">
        <f t="shared" si="4"/>
        <v/>
      </c>
    </row>
    <row r="279" spans="1:1" x14ac:dyDescent="0.25">
      <c r="A279" s="70" t="str">
        <f t="shared" si="4"/>
        <v/>
      </c>
    </row>
    <row r="280" spans="1:1" x14ac:dyDescent="0.25">
      <c r="A280" s="70" t="str">
        <f t="shared" si="4"/>
        <v/>
      </c>
    </row>
    <row r="281" spans="1:1" x14ac:dyDescent="0.25">
      <c r="A281" s="70" t="str">
        <f t="shared" si="4"/>
        <v/>
      </c>
    </row>
    <row r="282" spans="1:1" x14ac:dyDescent="0.25">
      <c r="A282" s="70" t="str">
        <f t="shared" si="4"/>
        <v/>
      </c>
    </row>
    <row r="283" spans="1:1" x14ac:dyDescent="0.25">
      <c r="A283" s="70" t="str">
        <f t="shared" si="4"/>
        <v/>
      </c>
    </row>
    <row r="284" spans="1:1" x14ac:dyDescent="0.25">
      <c r="A284" s="70" t="str">
        <f t="shared" si="4"/>
        <v/>
      </c>
    </row>
    <row r="285" spans="1:1" x14ac:dyDescent="0.25">
      <c r="A285" s="70" t="str">
        <f t="shared" si="4"/>
        <v/>
      </c>
    </row>
    <row r="286" spans="1:1" x14ac:dyDescent="0.25">
      <c r="A286" s="70" t="str">
        <f t="shared" si="4"/>
        <v/>
      </c>
    </row>
    <row r="287" spans="1:1" x14ac:dyDescent="0.25">
      <c r="A287" s="70" t="str">
        <f t="shared" si="4"/>
        <v/>
      </c>
    </row>
    <row r="288" spans="1:1" x14ac:dyDescent="0.25">
      <c r="A288" s="70" t="str">
        <f t="shared" si="4"/>
        <v/>
      </c>
    </row>
    <row r="289" spans="1:1" x14ac:dyDescent="0.25">
      <c r="A289" s="70" t="str">
        <f t="shared" si="4"/>
        <v/>
      </c>
    </row>
    <row r="290" spans="1:1" x14ac:dyDescent="0.25">
      <c r="A290" s="70" t="str">
        <f t="shared" si="4"/>
        <v/>
      </c>
    </row>
    <row r="291" spans="1:1" x14ac:dyDescent="0.25">
      <c r="A291" s="70" t="str">
        <f t="shared" si="4"/>
        <v/>
      </c>
    </row>
    <row r="292" spans="1:1" x14ac:dyDescent="0.25">
      <c r="A292" s="70" t="str">
        <f t="shared" si="4"/>
        <v/>
      </c>
    </row>
    <row r="293" spans="1:1" x14ac:dyDescent="0.25">
      <c r="A293" s="70" t="str">
        <f t="shared" si="4"/>
        <v/>
      </c>
    </row>
    <row r="294" spans="1:1" x14ac:dyDescent="0.25">
      <c r="A294" s="70" t="str">
        <f t="shared" si="4"/>
        <v/>
      </c>
    </row>
    <row r="295" spans="1:1" x14ac:dyDescent="0.25">
      <c r="A295" s="70" t="str">
        <f t="shared" si="4"/>
        <v/>
      </c>
    </row>
    <row r="296" spans="1:1" x14ac:dyDescent="0.25">
      <c r="A296" s="70" t="str">
        <f t="shared" si="4"/>
        <v/>
      </c>
    </row>
    <row r="297" spans="1:1" x14ac:dyDescent="0.25">
      <c r="A297" s="70" t="str">
        <f t="shared" si="4"/>
        <v/>
      </c>
    </row>
    <row r="298" spans="1:1" x14ac:dyDescent="0.25">
      <c r="A298" s="70" t="str">
        <f t="shared" si="4"/>
        <v/>
      </c>
    </row>
    <row r="299" spans="1:1" x14ac:dyDescent="0.25">
      <c r="A299" s="70" t="str">
        <f t="shared" si="4"/>
        <v/>
      </c>
    </row>
    <row r="300" spans="1:1" x14ac:dyDescent="0.25">
      <c r="A300" s="70" t="str">
        <f t="shared" si="4"/>
        <v/>
      </c>
    </row>
  </sheetData>
  <autoFilter ref="H3:K53" xr:uid="{96828AF3-AB9C-410A-B271-B9F93FE7A82E}"/>
  <mergeCells count="2">
    <mergeCell ref="A2:D2"/>
    <mergeCell ref="J1:J2"/>
  </mergeCells>
  <conditionalFormatting sqref="H4:J1000">
    <cfRule type="expression" dxfId="249" priority="5">
      <formula>$J4&gt;0</formula>
    </cfRule>
  </conditionalFormatting>
  <conditionalFormatting sqref="J1">
    <cfRule type="containsText" dxfId="248" priority="3" operator="containsText" text="YES">
      <formula>NOT(ISERROR(SEARCH("YES",J1)))</formula>
    </cfRule>
    <cfRule type="containsText" dxfId="247" priority="4" operator="containsText" text="NO">
      <formula>NOT(ISERROR(SEARCH("NO",J1)))</formula>
    </cfRule>
  </conditionalFormatting>
  <conditionalFormatting sqref="H4:K1000">
    <cfRule type="expression" dxfId="246" priority="1">
      <formula>$K4 = "NOT"</formula>
    </cfRule>
  </conditionalFormatting>
  <pageMargins left="0.7" right="0.7" top="0.75" bottom="0.75" header="0.3" footer="0.3"/>
  <pageSetup paperSize="11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MPORTXLSXBLOCK">
                <anchor moveWithCells="1" siz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1343025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_xludf.CLEAR">
                <anchor moveWithCells="1" sizeWithCells="1">
                  <from>
                    <xdr:col>7</xdr:col>
                    <xdr:colOff>885825</xdr:colOff>
                    <xdr:row>0</xdr:row>
                    <xdr:rowOff>409575</xdr:rowOff>
                  </from>
                  <to>
                    <xdr:col>8</xdr:col>
                    <xdr:colOff>838200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C8987-173F-43C2-B39E-E1F856FA0E86}">
  <sheetPr codeName="Sheet6"/>
  <dimension ref="A3:C65"/>
  <sheetViews>
    <sheetView workbookViewId="0">
      <selection activeCell="G8" sqref="G8"/>
    </sheetView>
  </sheetViews>
  <sheetFormatPr defaultRowHeight="15" x14ac:dyDescent="0.25"/>
  <cols>
    <col min="1" max="1" width="16" bestFit="1" customWidth="1"/>
    <col min="2" max="2" width="18.85546875" bestFit="1" customWidth="1"/>
    <col min="3" max="3" width="19.42578125" bestFit="1" customWidth="1"/>
  </cols>
  <sheetData>
    <row r="3" spans="1:3" x14ac:dyDescent="0.25">
      <c r="A3" s="1" t="s">
        <v>4</v>
      </c>
      <c r="B3" s="1" t="s">
        <v>2</v>
      </c>
      <c r="C3" t="s">
        <v>3546</v>
      </c>
    </row>
    <row r="4" spans="1:3" x14ac:dyDescent="0.25">
      <c r="A4" t="s">
        <v>4250</v>
      </c>
      <c r="B4" t="s">
        <v>370</v>
      </c>
      <c r="C4" s="2">
        <v>96</v>
      </c>
    </row>
    <row r="5" spans="1:3" x14ac:dyDescent="0.25">
      <c r="A5" t="s">
        <v>4252</v>
      </c>
      <c r="B5" t="s">
        <v>370</v>
      </c>
      <c r="C5" s="2">
        <v>96</v>
      </c>
    </row>
    <row r="6" spans="1:3" x14ac:dyDescent="0.25">
      <c r="A6" t="s">
        <v>4253</v>
      </c>
      <c r="B6" t="s">
        <v>370</v>
      </c>
      <c r="C6" s="2">
        <v>96</v>
      </c>
    </row>
    <row r="7" spans="1:3" x14ac:dyDescent="0.25">
      <c r="A7" t="s">
        <v>4254</v>
      </c>
      <c r="B7" t="s">
        <v>370</v>
      </c>
      <c r="C7" s="2">
        <v>96</v>
      </c>
    </row>
    <row r="8" spans="1:3" x14ac:dyDescent="0.25">
      <c r="A8" t="s">
        <v>4255</v>
      </c>
      <c r="B8" t="s">
        <v>370</v>
      </c>
      <c r="C8" s="2">
        <v>80</v>
      </c>
    </row>
    <row r="9" spans="1:3" x14ac:dyDescent="0.25">
      <c r="A9" t="s">
        <v>4256</v>
      </c>
      <c r="B9" t="s">
        <v>370</v>
      </c>
      <c r="C9" s="2">
        <v>4</v>
      </c>
    </row>
    <row r="10" spans="1:3" x14ac:dyDescent="0.25">
      <c r="A10" t="s">
        <v>4257</v>
      </c>
      <c r="B10" t="s">
        <v>4045</v>
      </c>
      <c r="C10" s="2">
        <v>600</v>
      </c>
    </row>
    <row r="11" spans="1:3" x14ac:dyDescent="0.25">
      <c r="A11" t="s">
        <v>4259</v>
      </c>
      <c r="B11" t="s">
        <v>4044</v>
      </c>
      <c r="C11" s="2">
        <v>600</v>
      </c>
    </row>
    <row r="12" spans="1:3" x14ac:dyDescent="0.25">
      <c r="A12" t="s">
        <v>4260</v>
      </c>
      <c r="B12" t="s">
        <v>4045</v>
      </c>
      <c r="C12" s="2">
        <v>400</v>
      </c>
    </row>
    <row r="13" spans="1:3" x14ac:dyDescent="0.25">
      <c r="A13" t="s">
        <v>4261</v>
      </c>
      <c r="B13" t="s">
        <v>4044</v>
      </c>
      <c r="C13" s="2">
        <v>600</v>
      </c>
    </row>
    <row r="14" spans="1:3" x14ac:dyDescent="0.25">
      <c r="A14" t="s">
        <v>4262</v>
      </c>
      <c r="B14" t="s">
        <v>4047</v>
      </c>
      <c r="C14" s="2">
        <v>600</v>
      </c>
    </row>
    <row r="15" spans="1:3" x14ac:dyDescent="0.25">
      <c r="A15" t="s">
        <v>4263</v>
      </c>
      <c r="B15" t="s">
        <v>4044</v>
      </c>
      <c r="C15" s="2">
        <v>200</v>
      </c>
    </row>
    <row r="16" spans="1:3" x14ac:dyDescent="0.25">
      <c r="A16" t="s">
        <v>4265</v>
      </c>
      <c r="B16" t="s">
        <v>4047</v>
      </c>
      <c r="C16" s="2">
        <v>400</v>
      </c>
    </row>
    <row r="17" spans="1:3" x14ac:dyDescent="0.25">
      <c r="A17" t="s">
        <v>4266</v>
      </c>
      <c r="B17" t="s">
        <v>4044</v>
      </c>
      <c r="C17" s="2">
        <v>600</v>
      </c>
    </row>
    <row r="18" spans="1:3" x14ac:dyDescent="0.25">
      <c r="A18" t="s">
        <v>4267</v>
      </c>
      <c r="B18" t="s">
        <v>4046</v>
      </c>
      <c r="C18" s="2">
        <v>600</v>
      </c>
    </row>
    <row r="19" spans="1:3" x14ac:dyDescent="0.25">
      <c r="A19" t="s">
        <v>4268</v>
      </c>
      <c r="B19" t="s">
        <v>4046</v>
      </c>
      <c r="C19" s="2">
        <v>398</v>
      </c>
    </row>
    <row r="20" spans="1:3" x14ac:dyDescent="0.25">
      <c r="A20" t="s">
        <v>4269</v>
      </c>
      <c r="B20" t="s">
        <v>369</v>
      </c>
      <c r="C20" s="2">
        <v>96</v>
      </c>
    </row>
    <row r="21" spans="1:3" x14ac:dyDescent="0.25">
      <c r="A21" t="s">
        <v>4271</v>
      </c>
      <c r="B21" t="s">
        <v>369</v>
      </c>
      <c r="C21" s="2">
        <v>96</v>
      </c>
    </row>
    <row r="22" spans="1:3" x14ac:dyDescent="0.25">
      <c r="A22" t="s">
        <v>4272</v>
      </c>
      <c r="B22" t="s">
        <v>369</v>
      </c>
      <c r="C22" s="2">
        <v>96</v>
      </c>
    </row>
    <row r="23" spans="1:3" x14ac:dyDescent="0.25">
      <c r="A23" t="s">
        <v>4273</v>
      </c>
      <c r="B23" t="s">
        <v>369</v>
      </c>
      <c r="C23" s="2">
        <v>96</v>
      </c>
    </row>
    <row r="24" spans="1:3" x14ac:dyDescent="0.25">
      <c r="A24" t="s">
        <v>4274</v>
      </c>
      <c r="B24" t="s">
        <v>369</v>
      </c>
      <c r="C24" s="2">
        <v>96</v>
      </c>
    </row>
    <row r="25" spans="1:3" x14ac:dyDescent="0.25">
      <c r="A25" t="s">
        <v>4275</v>
      </c>
      <c r="B25" t="s">
        <v>369</v>
      </c>
      <c r="C25" s="2">
        <v>96</v>
      </c>
    </row>
    <row r="26" spans="1:3" x14ac:dyDescent="0.25">
      <c r="A26" t="s">
        <v>4277</v>
      </c>
      <c r="B26" t="s">
        <v>369</v>
      </c>
      <c r="C26" s="2">
        <v>96</v>
      </c>
    </row>
    <row r="27" spans="1:3" x14ac:dyDescent="0.25">
      <c r="A27" t="s">
        <v>4278</v>
      </c>
      <c r="B27" t="s">
        <v>369</v>
      </c>
      <c r="C27" s="2">
        <v>96</v>
      </c>
    </row>
    <row r="28" spans="1:3" x14ac:dyDescent="0.25">
      <c r="A28" t="s">
        <v>4279</v>
      </c>
      <c r="B28" t="s">
        <v>369</v>
      </c>
      <c r="C28" s="2">
        <v>96</v>
      </c>
    </row>
    <row r="29" spans="1:3" x14ac:dyDescent="0.25">
      <c r="A29" t="s">
        <v>4280</v>
      </c>
      <c r="B29" t="s">
        <v>369</v>
      </c>
      <c r="C29" s="2">
        <v>96</v>
      </c>
    </row>
    <row r="30" spans="1:3" x14ac:dyDescent="0.25">
      <c r="A30" t="s">
        <v>4281</v>
      </c>
      <c r="B30" t="s">
        <v>369</v>
      </c>
      <c r="C30" s="2">
        <v>96</v>
      </c>
    </row>
    <row r="31" spans="1:3" x14ac:dyDescent="0.25">
      <c r="A31" t="s">
        <v>4282</v>
      </c>
      <c r="B31" t="s">
        <v>369</v>
      </c>
      <c r="C31" s="2">
        <v>96</v>
      </c>
    </row>
    <row r="32" spans="1:3" x14ac:dyDescent="0.25">
      <c r="A32" t="s">
        <v>4283</v>
      </c>
      <c r="B32" t="s">
        <v>369</v>
      </c>
      <c r="C32" s="2">
        <v>96</v>
      </c>
    </row>
    <row r="33" spans="1:3" x14ac:dyDescent="0.25">
      <c r="A33" t="s">
        <v>4284</v>
      </c>
      <c r="B33" t="s">
        <v>369</v>
      </c>
      <c r="C33" s="2">
        <v>96</v>
      </c>
    </row>
    <row r="34" spans="1:3" x14ac:dyDescent="0.25">
      <c r="A34" t="s">
        <v>4285</v>
      </c>
      <c r="B34" t="s">
        <v>369</v>
      </c>
      <c r="C34" s="2">
        <v>96</v>
      </c>
    </row>
    <row r="35" spans="1:3" x14ac:dyDescent="0.25">
      <c r="A35" t="s">
        <v>4286</v>
      </c>
      <c r="B35" t="s">
        <v>369</v>
      </c>
      <c r="C35" s="2">
        <v>96</v>
      </c>
    </row>
    <row r="36" spans="1:3" x14ac:dyDescent="0.25">
      <c r="A36" t="s">
        <v>4287</v>
      </c>
      <c r="B36" t="s">
        <v>369</v>
      </c>
      <c r="C36" s="2">
        <v>96</v>
      </c>
    </row>
    <row r="37" spans="1:3" x14ac:dyDescent="0.25">
      <c r="A37" t="s">
        <v>4289</v>
      </c>
      <c r="B37" t="s">
        <v>369</v>
      </c>
      <c r="C37" s="2">
        <v>96</v>
      </c>
    </row>
    <row r="38" spans="1:3" x14ac:dyDescent="0.25">
      <c r="A38" t="s">
        <v>4290</v>
      </c>
      <c r="B38" t="s">
        <v>369</v>
      </c>
      <c r="C38" s="2">
        <v>96</v>
      </c>
    </row>
    <row r="39" spans="1:3" x14ac:dyDescent="0.25">
      <c r="A39" t="s">
        <v>4291</v>
      </c>
      <c r="B39" t="s">
        <v>369</v>
      </c>
      <c r="C39" s="2">
        <v>96</v>
      </c>
    </row>
    <row r="40" spans="1:3" x14ac:dyDescent="0.25">
      <c r="A40" t="s">
        <v>4292</v>
      </c>
      <c r="B40" t="s">
        <v>369</v>
      </c>
      <c r="C40" s="2">
        <v>96</v>
      </c>
    </row>
    <row r="41" spans="1:3" x14ac:dyDescent="0.25">
      <c r="A41" t="s">
        <v>4293</v>
      </c>
      <c r="B41" t="s">
        <v>369</v>
      </c>
      <c r="C41" s="2">
        <v>96</v>
      </c>
    </row>
    <row r="42" spans="1:3" x14ac:dyDescent="0.25">
      <c r="A42" t="s">
        <v>4294</v>
      </c>
      <c r="B42" t="s">
        <v>369</v>
      </c>
      <c r="C42" s="2">
        <v>96</v>
      </c>
    </row>
    <row r="43" spans="1:3" x14ac:dyDescent="0.25">
      <c r="A43" t="s">
        <v>4295</v>
      </c>
      <c r="B43" t="s">
        <v>369</v>
      </c>
      <c r="C43" s="2">
        <v>96</v>
      </c>
    </row>
    <row r="44" spans="1:3" x14ac:dyDescent="0.25">
      <c r="A44" t="s">
        <v>4296</v>
      </c>
      <c r="B44" t="s">
        <v>369</v>
      </c>
      <c r="C44" s="2">
        <v>96</v>
      </c>
    </row>
    <row r="45" spans="1:3" x14ac:dyDescent="0.25">
      <c r="A45" t="s">
        <v>4297</v>
      </c>
      <c r="B45" t="s">
        <v>369</v>
      </c>
      <c r="C45" s="2">
        <v>96</v>
      </c>
    </row>
    <row r="46" spans="1:3" x14ac:dyDescent="0.25">
      <c r="A46" t="s">
        <v>4298</v>
      </c>
      <c r="B46" t="s">
        <v>369</v>
      </c>
      <c r="C46" s="2">
        <v>96</v>
      </c>
    </row>
    <row r="47" spans="1:3" x14ac:dyDescent="0.25">
      <c r="A47" t="s">
        <v>4300</v>
      </c>
      <c r="B47" t="s">
        <v>369</v>
      </c>
      <c r="C47" s="2">
        <v>96</v>
      </c>
    </row>
    <row r="48" spans="1:3" x14ac:dyDescent="0.25">
      <c r="A48" t="s">
        <v>4301</v>
      </c>
      <c r="B48" t="s">
        <v>369</v>
      </c>
      <c r="C48" s="2">
        <v>96</v>
      </c>
    </row>
    <row r="49" spans="1:3" x14ac:dyDescent="0.25">
      <c r="A49" t="s">
        <v>4302</v>
      </c>
      <c r="B49" t="s">
        <v>369</v>
      </c>
      <c r="C49" s="2">
        <v>96</v>
      </c>
    </row>
    <row r="50" spans="1:3" x14ac:dyDescent="0.25">
      <c r="A50" t="s">
        <v>4303</v>
      </c>
      <c r="B50" t="s">
        <v>369</v>
      </c>
      <c r="C50" s="2">
        <v>96</v>
      </c>
    </row>
    <row r="51" spans="1:3" x14ac:dyDescent="0.25">
      <c r="A51" t="s">
        <v>4304</v>
      </c>
      <c r="B51" t="s">
        <v>369</v>
      </c>
      <c r="C51" s="2">
        <v>96</v>
      </c>
    </row>
    <row r="52" spans="1:3" x14ac:dyDescent="0.25">
      <c r="A52" t="s">
        <v>4305</v>
      </c>
      <c r="B52" t="s">
        <v>369</v>
      </c>
      <c r="C52" s="2">
        <v>96</v>
      </c>
    </row>
    <row r="53" spans="1:3" x14ac:dyDescent="0.25">
      <c r="A53" t="s">
        <v>4306</v>
      </c>
      <c r="B53" t="s">
        <v>369</v>
      </c>
      <c r="C53" s="2">
        <v>96</v>
      </c>
    </row>
    <row r="54" spans="1:3" x14ac:dyDescent="0.25">
      <c r="A54" t="s">
        <v>4307</v>
      </c>
      <c r="B54" t="s">
        <v>369</v>
      </c>
      <c r="C54" s="2">
        <v>96</v>
      </c>
    </row>
    <row r="55" spans="1:3" x14ac:dyDescent="0.25">
      <c r="A55" t="s">
        <v>4308</v>
      </c>
      <c r="B55" t="s">
        <v>369</v>
      </c>
      <c r="C55" s="2">
        <v>96</v>
      </c>
    </row>
    <row r="56" spans="1:3" x14ac:dyDescent="0.25">
      <c r="A56" t="s">
        <v>4310</v>
      </c>
      <c r="B56" t="s">
        <v>369</v>
      </c>
      <c r="C56" s="2">
        <v>96</v>
      </c>
    </row>
    <row r="57" spans="1:3" x14ac:dyDescent="0.25">
      <c r="A57" t="s">
        <v>4311</v>
      </c>
      <c r="B57" t="s">
        <v>369</v>
      </c>
      <c r="C57" s="2">
        <v>96</v>
      </c>
    </row>
    <row r="58" spans="1:3" x14ac:dyDescent="0.25">
      <c r="A58" t="s">
        <v>4312</v>
      </c>
      <c r="B58" t="s">
        <v>369</v>
      </c>
      <c r="C58" s="2">
        <v>96</v>
      </c>
    </row>
    <row r="59" spans="1:3" x14ac:dyDescent="0.25">
      <c r="A59" t="s">
        <v>4313</v>
      </c>
      <c r="B59" t="s">
        <v>369</v>
      </c>
      <c r="C59" s="2">
        <v>96</v>
      </c>
    </row>
    <row r="60" spans="1:3" x14ac:dyDescent="0.25">
      <c r="A60" t="s">
        <v>4314</v>
      </c>
      <c r="B60" t="s">
        <v>369</v>
      </c>
      <c r="C60" s="2">
        <v>96</v>
      </c>
    </row>
    <row r="61" spans="1:3" x14ac:dyDescent="0.25">
      <c r="A61" t="s">
        <v>4316</v>
      </c>
      <c r="B61" t="s">
        <v>369</v>
      </c>
      <c r="C61" s="2">
        <v>96</v>
      </c>
    </row>
    <row r="62" spans="1:3" x14ac:dyDescent="0.25">
      <c r="A62" t="s">
        <v>4317</v>
      </c>
      <c r="B62" t="s">
        <v>369</v>
      </c>
      <c r="C62" s="2">
        <v>96</v>
      </c>
    </row>
    <row r="63" spans="1:3" x14ac:dyDescent="0.25">
      <c r="A63" t="s">
        <v>4318</v>
      </c>
      <c r="B63" t="s">
        <v>369</v>
      </c>
      <c r="C63" s="2">
        <v>96</v>
      </c>
    </row>
    <row r="64" spans="1:3" x14ac:dyDescent="0.25">
      <c r="A64" t="s">
        <v>4319</v>
      </c>
      <c r="B64" t="s">
        <v>369</v>
      </c>
      <c r="C64" s="2">
        <v>24</v>
      </c>
    </row>
    <row r="65" spans="1:3" x14ac:dyDescent="0.25">
      <c r="A65" t="s">
        <v>3172</v>
      </c>
      <c r="C65" s="2">
        <v>9714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666D2-3F8C-4549-8B59-B6FB4BA2E3B3}">
  <sheetPr codeName="Sheet7"/>
  <dimension ref="A1:W69"/>
  <sheetViews>
    <sheetView workbookViewId="0">
      <selection activeCell="C1" sqref="C1"/>
    </sheetView>
  </sheetViews>
  <sheetFormatPr defaultRowHeight="15" x14ac:dyDescent="0.25"/>
  <cols>
    <col min="2" max="2" width="17.28515625" bestFit="1" customWidth="1"/>
    <col min="3" max="4" width="19.5703125" bestFit="1" customWidth="1"/>
  </cols>
  <sheetData>
    <row r="1" spans="1:23" ht="52.5" thickBot="1" x14ac:dyDescent="0.3">
      <c r="A1" s="77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7" t="s">
        <v>3170</v>
      </c>
      <c r="H1" s="77" t="s">
        <v>6</v>
      </c>
      <c r="I1" s="77" t="s">
        <v>7</v>
      </c>
      <c r="J1" s="77" t="s">
        <v>8</v>
      </c>
      <c r="K1" s="77" t="s">
        <v>9</v>
      </c>
      <c r="L1" s="77" t="s">
        <v>10</v>
      </c>
      <c r="M1" s="77" t="s">
        <v>11</v>
      </c>
      <c r="N1" s="77" t="s">
        <v>12</v>
      </c>
      <c r="O1" s="77" t="s">
        <v>13</v>
      </c>
      <c r="P1" s="77" t="s">
        <v>14</v>
      </c>
      <c r="Q1" s="77" t="s">
        <v>15</v>
      </c>
      <c r="R1" s="77" t="s">
        <v>16</v>
      </c>
      <c r="S1" s="77" t="s">
        <v>17</v>
      </c>
      <c r="T1" s="77" t="s">
        <v>3171</v>
      </c>
      <c r="U1" s="77" t="s">
        <v>18</v>
      </c>
      <c r="V1" s="77" t="s">
        <v>3165</v>
      </c>
      <c r="W1" s="77" t="s">
        <v>19</v>
      </c>
    </row>
    <row r="2" spans="1:23" x14ac:dyDescent="0.25">
      <c r="A2" t="s">
        <v>4239</v>
      </c>
      <c r="B2" t="s">
        <v>20</v>
      </c>
      <c r="C2" t="s">
        <v>370</v>
      </c>
      <c r="D2" t="s">
        <v>23</v>
      </c>
      <c r="E2" t="s">
        <v>24</v>
      </c>
      <c r="F2" t="s">
        <v>25</v>
      </c>
      <c r="G2" t="s">
        <v>4203</v>
      </c>
      <c r="H2" t="s">
        <v>4238</v>
      </c>
      <c r="I2">
        <v>0</v>
      </c>
      <c r="J2" t="s">
        <v>4049</v>
      </c>
      <c r="K2" t="s">
        <v>4240</v>
      </c>
      <c r="L2" t="s">
        <v>4204</v>
      </c>
      <c r="M2" t="s">
        <v>3996</v>
      </c>
      <c r="N2" t="s">
        <v>4241</v>
      </c>
      <c r="O2" t="s">
        <v>3182</v>
      </c>
      <c r="P2" t="s">
        <v>26</v>
      </c>
      <c r="Q2" t="s">
        <v>26</v>
      </c>
      <c r="R2" t="s">
        <v>26</v>
      </c>
      <c r="S2" t="s">
        <v>24</v>
      </c>
      <c r="T2" t="s">
        <v>4242</v>
      </c>
      <c r="U2" t="s">
        <v>4243</v>
      </c>
      <c r="V2" t="s">
        <v>4205</v>
      </c>
      <c r="W2" t="s">
        <v>24</v>
      </c>
    </row>
    <row r="3" spans="1:23" x14ac:dyDescent="0.25">
      <c r="A3" t="s">
        <v>4239</v>
      </c>
      <c r="B3" t="s">
        <v>3180</v>
      </c>
      <c r="C3" t="s">
        <v>369</v>
      </c>
      <c r="D3" t="s">
        <v>23</v>
      </c>
      <c r="E3" t="s">
        <v>24</v>
      </c>
      <c r="F3" t="s">
        <v>25</v>
      </c>
      <c r="G3" t="s">
        <v>4203</v>
      </c>
      <c r="H3" t="s">
        <v>4244</v>
      </c>
      <c r="I3">
        <v>0</v>
      </c>
      <c r="J3" t="s">
        <v>4049</v>
      </c>
      <c r="K3" t="s">
        <v>4245</v>
      </c>
      <c r="L3" t="s">
        <v>4204</v>
      </c>
      <c r="M3" t="s">
        <v>3996</v>
      </c>
      <c r="N3" t="s">
        <v>4246</v>
      </c>
      <c r="O3" t="s">
        <v>3182</v>
      </c>
      <c r="P3" t="s">
        <v>26</v>
      </c>
      <c r="Q3" t="s">
        <v>26</v>
      </c>
      <c r="R3" t="s">
        <v>26</v>
      </c>
      <c r="S3" t="s">
        <v>24</v>
      </c>
      <c r="T3" t="s">
        <v>4242</v>
      </c>
      <c r="U3" t="s">
        <v>4243</v>
      </c>
      <c r="V3" t="s">
        <v>4205</v>
      </c>
      <c r="W3" t="s">
        <v>24</v>
      </c>
    </row>
    <row r="4" spans="1:23" x14ac:dyDescent="0.25">
      <c r="A4" t="s">
        <v>4239</v>
      </c>
      <c r="B4" t="s">
        <v>3181</v>
      </c>
      <c r="C4" t="s">
        <v>370</v>
      </c>
      <c r="D4" t="s">
        <v>23</v>
      </c>
      <c r="E4" t="s">
        <v>24</v>
      </c>
      <c r="F4" t="s">
        <v>25</v>
      </c>
      <c r="G4" t="s">
        <v>4203</v>
      </c>
      <c r="H4" t="s">
        <v>4247</v>
      </c>
      <c r="I4">
        <v>0</v>
      </c>
      <c r="J4" t="s">
        <v>4049</v>
      </c>
      <c r="K4" t="s">
        <v>4245</v>
      </c>
      <c r="L4" t="s">
        <v>4204</v>
      </c>
      <c r="M4" t="s">
        <v>3996</v>
      </c>
      <c r="N4" t="s">
        <v>4246</v>
      </c>
      <c r="O4" t="s">
        <v>3182</v>
      </c>
      <c r="P4" t="s">
        <v>26</v>
      </c>
      <c r="Q4" t="s">
        <v>26</v>
      </c>
      <c r="R4" t="s">
        <v>26</v>
      </c>
      <c r="S4" t="s">
        <v>24</v>
      </c>
      <c r="T4" t="s">
        <v>4242</v>
      </c>
      <c r="U4" t="s">
        <v>4243</v>
      </c>
      <c r="V4" t="s">
        <v>4205</v>
      </c>
      <c r="W4" t="s">
        <v>24</v>
      </c>
    </row>
    <row r="5" spans="1:23" x14ac:dyDescent="0.25">
      <c r="A5" t="s">
        <v>4239</v>
      </c>
      <c r="B5" t="s">
        <v>3628</v>
      </c>
      <c r="C5" t="s">
        <v>4044</v>
      </c>
      <c r="D5" t="s">
        <v>23</v>
      </c>
      <c r="E5" t="s">
        <v>24</v>
      </c>
      <c r="F5" t="s">
        <v>25</v>
      </c>
      <c r="G5" t="s">
        <v>4203</v>
      </c>
      <c r="H5" t="s">
        <v>4248</v>
      </c>
      <c r="I5">
        <v>0</v>
      </c>
      <c r="J5" t="s">
        <v>4049</v>
      </c>
      <c r="K5" t="s">
        <v>4245</v>
      </c>
      <c r="L5" t="s">
        <v>4204</v>
      </c>
      <c r="M5" t="s">
        <v>3996</v>
      </c>
      <c r="N5" t="s">
        <v>4246</v>
      </c>
      <c r="O5" t="s">
        <v>3182</v>
      </c>
      <c r="P5" t="s">
        <v>26</v>
      </c>
      <c r="Q5" t="s">
        <v>26</v>
      </c>
      <c r="R5" t="s">
        <v>26</v>
      </c>
      <c r="S5" t="s">
        <v>24</v>
      </c>
      <c r="T5" t="s">
        <v>4242</v>
      </c>
      <c r="U5" t="s">
        <v>4243</v>
      </c>
      <c r="V5" t="s">
        <v>4205</v>
      </c>
      <c r="W5" t="s">
        <v>24</v>
      </c>
    </row>
    <row r="6" spans="1:23" x14ac:dyDescent="0.25">
      <c r="A6" t="s">
        <v>4239</v>
      </c>
      <c r="B6" t="s">
        <v>3646</v>
      </c>
      <c r="C6" t="s">
        <v>4045</v>
      </c>
      <c r="D6" t="s">
        <v>23</v>
      </c>
      <c r="E6" t="s">
        <v>24</v>
      </c>
      <c r="F6" t="s">
        <v>25</v>
      </c>
      <c r="G6" t="s">
        <v>4203</v>
      </c>
      <c r="H6" t="s">
        <v>4249</v>
      </c>
      <c r="I6">
        <v>0</v>
      </c>
      <c r="J6" t="s">
        <v>4049</v>
      </c>
      <c r="K6" t="s">
        <v>4245</v>
      </c>
      <c r="L6" t="s">
        <v>4204</v>
      </c>
      <c r="M6" t="s">
        <v>3996</v>
      </c>
      <c r="N6" t="s">
        <v>4246</v>
      </c>
      <c r="O6" t="s">
        <v>3182</v>
      </c>
      <c r="P6" t="s">
        <v>26</v>
      </c>
      <c r="Q6" t="s">
        <v>26</v>
      </c>
      <c r="R6" t="s">
        <v>26</v>
      </c>
      <c r="S6" t="s">
        <v>24</v>
      </c>
      <c r="T6" t="s">
        <v>4242</v>
      </c>
      <c r="U6" t="s">
        <v>4243</v>
      </c>
      <c r="V6" t="s">
        <v>4205</v>
      </c>
      <c r="W6" t="s">
        <v>24</v>
      </c>
    </row>
    <row r="7" spans="1:23" x14ac:dyDescent="0.25">
      <c r="A7" t="s">
        <v>4239</v>
      </c>
      <c r="B7" t="s">
        <v>3647</v>
      </c>
      <c r="C7" t="s">
        <v>4046</v>
      </c>
      <c r="D7" t="s">
        <v>23</v>
      </c>
      <c r="E7" t="s">
        <v>24</v>
      </c>
      <c r="F7" t="s">
        <v>25</v>
      </c>
      <c r="G7" t="s">
        <v>4203</v>
      </c>
      <c r="H7" t="s">
        <v>4249</v>
      </c>
      <c r="I7">
        <v>0</v>
      </c>
      <c r="J7" t="s">
        <v>4049</v>
      </c>
      <c r="K7" t="s">
        <v>4245</v>
      </c>
      <c r="L7" t="s">
        <v>4204</v>
      </c>
      <c r="M7" t="s">
        <v>3996</v>
      </c>
      <c r="N7" t="s">
        <v>4246</v>
      </c>
      <c r="O7" t="s">
        <v>3182</v>
      </c>
      <c r="P7" t="s">
        <v>26</v>
      </c>
      <c r="Q7" t="s">
        <v>26</v>
      </c>
      <c r="R7" t="s">
        <v>26</v>
      </c>
      <c r="S7" t="s">
        <v>24</v>
      </c>
      <c r="T7" t="s">
        <v>4242</v>
      </c>
      <c r="U7" t="s">
        <v>4243</v>
      </c>
      <c r="V7" t="s">
        <v>4205</v>
      </c>
      <c r="W7" t="s">
        <v>24</v>
      </c>
    </row>
    <row r="8" spans="1:23" x14ac:dyDescent="0.25">
      <c r="A8" t="s">
        <v>4239</v>
      </c>
      <c r="B8" t="s">
        <v>3942</v>
      </c>
      <c r="C8" t="s">
        <v>4047</v>
      </c>
      <c r="D8" t="s">
        <v>23</v>
      </c>
      <c r="E8" t="s">
        <v>24</v>
      </c>
      <c r="F8" t="s">
        <v>25</v>
      </c>
      <c r="G8" t="s">
        <v>4203</v>
      </c>
      <c r="H8" t="s">
        <v>4249</v>
      </c>
      <c r="I8">
        <v>0</v>
      </c>
      <c r="J8" t="s">
        <v>4049</v>
      </c>
      <c r="K8" t="s">
        <v>4245</v>
      </c>
      <c r="L8" t="s">
        <v>4204</v>
      </c>
      <c r="M8" t="s">
        <v>3996</v>
      </c>
      <c r="N8" t="s">
        <v>4246</v>
      </c>
      <c r="O8" t="s">
        <v>3182</v>
      </c>
      <c r="P8" t="s">
        <v>26</v>
      </c>
      <c r="Q8" t="s">
        <v>26</v>
      </c>
      <c r="R8" t="s">
        <v>26</v>
      </c>
      <c r="S8" t="s">
        <v>24</v>
      </c>
      <c r="T8" t="s">
        <v>4242</v>
      </c>
      <c r="U8" t="s">
        <v>4243</v>
      </c>
      <c r="V8" t="s">
        <v>4205</v>
      </c>
      <c r="W8" t="s">
        <v>24</v>
      </c>
    </row>
    <row r="9" spans="1:23" x14ac:dyDescent="0.25">
      <c r="A9" t="s">
        <v>4239</v>
      </c>
      <c r="B9" t="s">
        <v>3943</v>
      </c>
      <c r="C9" t="s">
        <v>370</v>
      </c>
      <c r="D9" t="s">
        <v>23</v>
      </c>
      <c r="E9" t="s">
        <v>4250</v>
      </c>
      <c r="F9" t="s">
        <v>25</v>
      </c>
      <c r="G9" t="s">
        <v>4203</v>
      </c>
      <c r="H9" t="s">
        <v>4017</v>
      </c>
      <c r="I9">
        <v>96</v>
      </c>
      <c r="J9" t="s">
        <v>4049</v>
      </c>
      <c r="K9" t="s">
        <v>4245</v>
      </c>
      <c r="L9" t="s">
        <v>4204</v>
      </c>
      <c r="M9" t="s">
        <v>3996</v>
      </c>
      <c r="N9" t="s">
        <v>4246</v>
      </c>
      <c r="O9" t="s">
        <v>3182</v>
      </c>
      <c r="P9" t="s">
        <v>26</v>
      </c>
      <c r="Q9" t="s">
        <v>26</v>
      </c>
      <c r="R9" t="s">
        <v>26</v>
      </c>
      <c r="S9" t="s">
        <v>3182</v>
      </c>
      <c r="T9" t="s">
        <v>4251</v>
      </c>
      <c r="U9" t="s">
        <v>4243</v>
      </c>
      <c r="V9" t="s">
        <v>4205</v>
      </c>
      <c r="W9" t="s">
        <v>3182</v>
      </c>
    </row>
    <row r="10" spans="1:23" x14ac:dyDescent="0.25">
      <c r="A10" t="s">
        <v>4239</v>
      </c>
      <c r="B10" t="s">
        <v>3931</v>
      </c>
      <c r="C10" t="s">
        <v>370</v>
      </c>
      <c r="D10" t="s">
        <v>23</v>
      </c>
      <c r="E10" t="s">
        <v>4252</v>
      </c>
      <c r="F10" t="s">
        <v>25</v>
      </c>
      <c r="G10" t="s">
        <v>4203</v>
      </c>
      <c r="H10" t="s">
        <v>4017</v>
      </c>
      <c r="I10">
        <v>96</v>
      </c>
      <c r="J10" t="s">
        <v>4049</v>
      </c>
      <c r="K10" t="s">
        <v>4245</v>
      </c>
      <c r="L10" t="s">
        <v>4204</v>
      </c>
      <c r="M10" t="s">
        <v>3996</v>
      </c>
      <c r="N10" t="s">
        <v>4246</v>
      </c>
      <c r="O10" t="s">
        <v>3182</v>
      </c>
      <c r="P10" t="s">
        <v>26</v>
      </c>
      <c r="Q10" t="s">
        <v>26</v>
      </c>
      <c r="R10" t="s">
        <v>26</v>
      </c>
      <c r="S10" t="s">
        <v>3182</v>
      </c>
      <c r="T10" t="s">
        <v>4251</v>
      </c>
      <c r="U10" t="s">
        <v>4243</v>
      </c>
      <c r="V10" t="s">
        <v>4205</v>
      </c>
      <c r="W10" t="s">
        <v>3182</v>
      </c>
    </row>
    <row r="11" spans="1:23" x14ac:dyDescent="0.25">
      <c r="A11" t="s">
        <v>4239</v>
      </c>
      <c r="B11" t="s">
        <v>3932</v>
      </c>
      <c r="C11" t="s">
        <v>370</v>
      </c>
      <c r="D11" t="s">
        <v>23</v>
      </c>
      <c r="E11" t="s">
        <v>4253</v>
      </c>
      <c r="F11" t="s">
        <v>25</v>
      </c>
      <c r="G11" t="s">
        <v>4203</v>
      </c>
      <c r="H11" t="s">
        <v>4017</v>
      </c>
      <c r="I11">
        <v>96</v>
      </c>
      <c r="J11" t="s">
        <v>4049</v>
      </c>
      <c r="K11" t="s">
        <v>4245</v>
      </c>
      <c r="L11" t="s">
        <v>4204</v>
      </c>
      <c r="M11" t="s">
        <v>3996</v>
      </c>
      <c r="N11" t="s">
        <v>4246</v>
      </c>
      <c r="O11" t="s">
        <v>3182</v>
      </c>
      <c r="P11" t="s">
        <v>26</v>
      </c>
      <c r="Q11" t="s">
        <v>26</v>
      </c>
      <c r="R11" t="s">
        <v>26</v>
      </c>
      <c r="S11" t="s">
        <v>3182</v>
      </c>
      <c r="T11" t="s">
        <v>4251</v>
      </c>
      <c r="U11" t="s">
        <v>4243</v>
      </c>
      <c r="V11" t="s">
        <v>4205</v>
      </c>
      <c r="W11" t="s">
        <v>3182</v>
      </c>
    </row>
    <row r="12" spans="1:23" x14ac:dyDescent="0.25">
      <c r="A12" t="s">
        <v>4239</v>
      </c>
      <c r="B12" t="s">
        <v>3933</v>
      </c>
      <c r="C12" t="s">
        <v>370</v>
      </c>
      <c r="D12" t="s">
        <v>23</v>
      </c>
      <c r="E12" t="s">
        <v>4254</v>
      </c>
      <c r="F12" t="s">
        <v>25</v>
      </c>
      <c r="G12" t="s">
        <v>4203</v>
      </c>
      <c r="H12" t="s">
        <v>4017</v>
      </c>
      <c r="I12">
        <v>96</v>
      </c>
      <c r="J12" t="s">
        <v>4049</v>
      </c>
      <c r="K12" t="s">
        <v>4245</v>
      </c>
      <c r="L12" t="s">
        <v>4204</v>
      </c>
      <c r="M12" t="s">
        <v>3996</v>
      </c>
      <c r="N12" t="s">
        <v>4246</v>
      </c>
      <c r="O12" t="s">
        <v>3182</v>
      </c>
      <c r="P12" t="s">
        <v>26</v>
      </c>
      <c r="Q12" t="s">
        <v>26</v>
      </c>
      <c r="R12" t="s">
        <v>26</v>
      </c>
      <c r="S12" t="s">
        <v>3182</v>
      </c>
      <c r="T12" t="s">
        <v>4251</v>
      </c>
      <c r="U12" t="s">
        <v>4243</v>
      </c>
      <c r="V12" t="s">
        <v>4205</v>
      </c>
      <c r="W12" t="s">
        <v>3182</v>
      </c>
    </row>
    <row r="13" spans="1:23" x14ac:dyDescent="0.25">
      <c r="A13" t="s">
        <v>4239</v>
      </c>
      <c r="B13" t="s">
        <v>3934</v>
      </c>
      <c r="C13" t="s">
        <v>370</v>
      </c>
      <c r="D13" t="s">
        <v>23</v>
      </c>
      <c r="E13" t="s">
        <v>4255</v>
      </c>
      <c r="F13" t="s">
        <v>25</v>
      </c>
      <c r="G13" t="s">
        <v>4203</v>
      </c>
      <c r="H13" t="s">
        <v>4017</v>
      </c>
      <c r="I13">
        <v>80</v>
      </c>
      <c r="J13" t="s">
        <v>4049</v>
      </c>
      <c r="K13" t="s">
        <v>4240</v>
      </c>
      <c r="L13" t="s">
        <v>4204</v>
      </c>
      <c r="M13" t="s">
        <v>3996</v>
      </c>
      <c r="N13" t="s">
        <v>4241</v>
      </c>
      <c r="O13" t="s">
        <v>3182</v>
      </c>
      <c r="P13" t="s">
        <v>26</v>
      </c>
      <c r="Q13" t="s">
        <v>26</v>
      </c>
      <c r="R13" t="s">
        <v>26</v>
      </c>
      <c r="S13" t="s">
        <v>3182</v>
      </c>
      <c r="T13" t="s">
        <v>4251</v>
      </c>
      <c r="U13" t="s">
        <v>4243</v>
      </c>
      <c r="V13" t="s">
        <v>4205</v>
      </c>
      <c r="W13" t="s">
        <v>3182</v>
      </c>
    </row>
    <row r="14" spans="1:23" x14ac:dyDescent="0.25">
      <c r="A14" t="s">
        <v>4239</v>
      </c>
      <c r="B14" t="s">
        <v>3935</v>
      </c>
      <c r="C14" t="s">
        <v>370</v>
      </c>
      <c r="D14" t="s">
        <v>23</v>
      </c>
      <c r="E14" t="s">
        <v>4256</v>
      </c>
      <c r="F14" t="s">
        <v>25</v>
      </c>
      <c r="G14" t="s">
        <v>4203</v>
      </c>
      <c r="H14" t="s">
        <v>4017</v>
      </c>
      <c r="I14">
        <v>4</v>
      </c>
      <c r="J14" t="s">
        <v>4049</v>
      </c>
      <c r="K14" t="s">
        <v>4245</v>
      </c>
      <c r="L14" t="s">
        <v>4204</v>
      </c>
      <c r="M14" t="s">
        <v>3996</v>
      </c>
      <c r="N14" t="s">
        <v>4246</v>
      </c>
      <c r="O14" t="s">
        <v>3182</v>
      </c>
      <c r="P14" t="s">
        <v>26</v>
      </c>
      <c r="Q14" t="s">
        <v>26</v>
      </c>
      <c r="R14" t="s">
        <v>26</v>
      </c>
      <c r="S14" t="s">
        <v>3182</v>
      </c>
      <c r="T14" t="s">
        <v>4251</v>
      </c>
      <c r="U14" t="s">
        <v>4243</v>
      </c>
      <c r="V14" t="s">
        <v>4205</v>
      </c>
      <c r="W14" t="s">
        <v>3182</v>
      </c>
    </row>
    <row r="15" spans="1:23" x14ac:dyDescent="0.25">
      <c r="A15" t="s">
        <v>4239</v>
      </c>
      <c r="B15" t="s">
        <v>3949</v>
      </c>
      <c r="C15" t="s">
        <v>4045</v>
      </c>
      <c r="D15" t="s">
        <v>23</v>
      </c>
      <c r="E15" t="s">
        <v>4257</v>
      </c>
      <c r="F15" t="s">
        <v>25</v>
      </c>
      <c r="G15" t="s">
        <v>4203</v>
      </c>
      <c r="H15" t="s">
        <v>4017</v>
      </c>
      <c r="I15">
        <v>600</v>
      </c>
      <c r="J15" t="s">
        <v>4049</v>
      </c>
      <c r="K15" t="s">
        <v>4245</v>
      </c>
      <c r="L15" t="s">
        <v>4204</v>
      </c>
      <c r="M15" t="s">
        <v>3996</v>
      </c>
      <c r="N15" t="s">
        <v>4246</v>
      </c>
      <c r="O15" t="s">
        <v>3182</v>
      </c>
      <c r="P15" t="s">
        <v>26</v>
      </c>
      <c r="Q15" t="s">
        <v>26</v>
      </c>
      <c r="R15" t="s">
        <v>26</v>
      </c>
      <c r="S15" t="s">
        <v>3182</v>
      </c>
      <c r="T15" t="s">
        <v>4258</v>
      </c>
      <c r="U15" t="s">
        <v>4243</v>
      </c>
      <c r="V15" t="s">
        <v>4205</v>
      </c>
      <c r="W15" t="s">
        <v>3182</v>
      </c>
    </row>
    <row r="16" spans="1:23" x14ac:dyDescent="0.25">
      <c r="A16" t="s">
        <v>4239</v>
      </c>
      <c r="B16" t="s">
        <v>3950</v>
      </c>
      <c r="C16" t="s">
        <v>4044</v>
      </c>
      <c r="D16" t="s">
        <v>23</v>
      </c>
      <c r="E16" t="s">
        <v>4259</v>
      </c>
      <c r="F16" t="s">
        <v>25</v>
      </c>
      <c r="G16" t="s">
        <v>4203</v>
      </c>
      <c r="H16" t="s">
        <v>4017</v>
      </c>
      <c r="I16">
        <v>600</v>
      </c>
      <c r="J16" t="s">
        <v>4049</v>
      </c>
      <c r="K16" t="s">
        <v>4245</v>
      </c>
      <c r="L16" t="s">
        <v>4204</v>
      </c>
      <c r="M16" t="s">
        <v>3996</v>
      </c>
      <c r="N16" t="s">
        <v>4246</v>
      </c>
      <c r="O16" t="s">
        <v>3182</v>
      </c>
      <c r="P16" t="s">
        <v>26</v>
      </c>
      <c r="Q16" t="s">
        <v>26</v>
      </c>
      <c r="R16" t="s">
        <v>26</v>
      </c>
      <c r="S16" t="s">
        <v>3182</v>
      </c>
      <c r="T16" t="s">
        <v>4258</v>
      </c>
      <c r="U16" t="s">
        <v>4243</v>
      </c>
      <c r="V16" t="s">
        <v>4205</v>
      </c>
      <c r="W16" t="s">
        <v>3182</v>
      </c>
    </row>
    <row r="17" spans="1:23" x14ac:dyDescent="0.25">
      <c r="A17" t="s">
        <v>4239</v>
      </c>
      <c r="B17" t="s">
        <v>3951</v>
      </c>
      <c r="C17" t="s">
        <v>4045</v>
      </c>
      <c r="D17" t="s">
        <v>23</v>
      </c>
      <c r="E17" t="s">
        <v>4260</v>
      </c>
      <c r="F17" t="s">
        <v>25</v>
      </c>
      <c r="G17" t="s">
        <v>4203</v>
      </c>
      <c r="H17" t="s">
        <v>4017</v>
      </c>
      <c r="I17">
        <v>400</v>
      </c>
      <c r="J17" t="s">
        <v>4049</v>
      </c>
      <c r="K17" t="s">
        <v>4245</v>
      </c>
      <c r="L17" t="s">
        <v>4204</v>
      </c>
      <c r="M17" t="s">
        <v>3996</v>
      </c>
      <c r="N17" t="s">
        <v>4246</v>
      </c>
      <c r="O17" t="s">
        <v>3182</v>
      </c>
      <c r="P17" t="s">
        <v>26</v>
      </c>
      <c r="Q17" t="s">
        <v>26</v>
      </c>
      <c r="R17" t="s">
        <v>26</v>
      </c>
      <c r="S17" t="s">
        <v>3182</v>
      </c>
      <c r="T17" t="s">
        <v>4258</v>
      </c>
      <c r="U17" t="s">
        <v>4243</v>
      </c>
      <c r="V17" t="s">
        <v>4205</v>
      </c>
      <c r="W17" t="s">
        <v>3182</v>
      </c>
    </row>
    <row r="18" spans="1:23" x14ac:dyDescent="0.25">
      <c r="A18" t="s">
        <v>4239</v>
      </c>
      <c r="B18" t="s">
        <v>3952</v>
      </c>
      <c r="C18" t="s">
        <v>4044</v>
      </c>
      <c r="D18" t="s">
        <v>23</v>
      </c>
      <c r="E18" t="s">
        <v>4261</v>
      </c>
      <c r="F18" t="s">
        <v>25</v>
      </c>
      <c r="G18" t="s">
        <v>4203</v>
      </c>
      <c r="H18" t="s">
        <v>4017</v>
      </c>
      <c r="I18">
        <v>600</v>
      </c>
      <c r="J18" t="s">
        <v>4049</v>
      </c>
      <c r="K18" t="s">
        <v>4245</v>
      </c>
      <c r="L18" t="s">
        <v>4204</v>
      </c>
      <c r="M18" t="s">
        <v>3996</v>
      </c>
      <c r="N18" t="s">
        <v>4246</v>
      </c>
      <c r="O18" t="s">
        <v>3182</v>
      </c>
      <c r="P18" t="s">
        <v>26</v>
      </c>
      <c r="Q18" t="s">
        <v>26</v>
      </c>
      <c r="R18" t="s">
        <v>26</v>
      </c>
      <c r="S18" t="s">
        <v>3182</v>
      </c>
      <c r="T18" t="s">
        <v>4258</v>
      </c>
      <c r="U18" t="s">
        <v>4243</v>
      </c>
      <c r="V18" t="s">
        <v>4205</v>
      </c>
      <c r="W18" t="s">
        <v>3182</v>
      </c>
    </row>
    <row r="19" spans="1:23" x14ac:dyDescent="0.25">
      <c r="A19" t="s">
        <v>4239</v>
      </c>
      <c r="B19" t="s">
        <v>3953</v>
      </c>
      <c r="C19" t="s">
        <v>4047</v>
      </c>
      <c r="D19" t="s">
        <v>23</v>
      </c>
      <c r="E19" t="s">
        <v>4262</v>
      </c>
      <c r="F19" t="s">
        <v>25</v>
      </c>
      <c r="G19" t="s">
        <v>4203</v>
      </c>
      <c r="H19" t="s">
        <v>4017</v>
      </c>
      <c r="I19">
        <v>600</v>
      </c>
      <c r="J19" t="s">
        <v>4049</v>
      </c>
      <c r="K19" t="s">
        <v>4245</v>
      </c>
      <c r="L19" t="s">
        <v>4204</v>
      </c>
      <c r="M19" t="s">
        <v>3996</v>
      </c>
      <c r="N19" t="s">
        <v>4246</v>
      </c>
      <c r="O19" t="s">
        <v>3182</v>
      </c>
      <c r="P19" t="s">
        <v>26</v>
      </c>
      <c r="Q19" t="s">
        <v>26</v>
      </c>
      <c r="R19" t="s">
        <v>26</v>
      </c>
      <c r="S19" t="s">
        <v>3182</v>
      </c>
      <c r="T19" t="s">
        <v>4258</v>
      </c>
      <c r="U19" t="s">
        <v>4243</v>
      </c>
      <c r="V19" t="s">
        <v>4205</v>
      </c>
      <c r="W19" t="s">
        <v>3182</v>
      </c>
    </row>
    <row r="20" spans="1:23" x14ac:dyDescent="0.25">
      <c r="A20" t="s">
        <v>4239</v>
      </c>
      <c r="B20" t="s">
        <v>3954</v>
      </c>
      <c r="C20" t="s">
        <v>4044</v>
      </c>
      <c r="D20" t="s">
        <v>23</v>
      </c>
      <c r="E20" t="s">
        <v>4263</v>
      </c>
      <c r="F20" t="s">
        <v>25</v>
      </c>
      <c r="G20" t="s">
        <v>4203</v>
      </c>
      <c r="H20" t="s">
        <v>4017</v>
      </c>
      <c r="I20">
        <v>200</v>
      </c>
      <c r="J20" t="s">
        <v>4049</v>
      </c>
      <c r="K20" t="s">
        <v>4245</v>
      </c>
      <c r="L20" t="s">
        <v>4204</v>
      </c>
      <c r="M20" t="s">
        <v>3996</v>
      </c>
      <c r="N20" t="s">
        <v>4246</v>
      </c>
      <c r="O20" t="s">
        <v>3182</v>
      </c>
      <c r="P20" t="s">
        <v>26</v>
      </c>
      <c r="Q20" t="s">
        <v>26</v>
      </c>
      <c r="R20" t="s">
        <v>26</v>
      </c>
      <c r="S20" t="s">
        <v>3182</v>
      </c>
      <c r="T20" t="s">
        <v>4264</v>
      </c>
      <c r="U20" t="s">
        <v>4243</v>
      </c>
      <c r="V20" t="s">
        <v>4205</v>
      </c>
      <c r="W20" t="s">
        <v>3182</v>
      </c>
    </row>
    <row r="21" spans="1:23" x14ac:dyDescent="0.25">
      <c r="A21" t="s">
        <v>4239</v>
      </c>
      <c r="B21" t="s">
        <v>3955</v>
      </c>
      <c r="C21" t="s">
        <v>4047</v>
      </c>
      <c r="D21" t="s">
        <v>23</v>
      </c>
      <c r="E21" t="s">
        <v>4265</v>
      </c>
      <c r="F21" t="s">
        <v>25</v>
      </c>
      <c r="G21" t="s">
        <v>4203</v>
      </c>
      <c r="H21" t="s">
        <v>4017</v>
      </c>
      <c r="I21">
        <v>400</v>
      </c>
      <c r="J21" t="s">
        <v>4049</v>
      </c>
      <c r="K21" t="s">
        <v>4245</v>
      </c>
      <c r="L21" t="s">
        <v>4204</v>
      </c>
      <c r="M21" t="s">
        <v>3996</v>
      </c>
      <c r="N21" t="s">
        <v>4246</v>
      </c>
      <c r="O21" t="s">
        <v>3182</v>
      </c>
      <c r="P21" t="s">
        <v>26</v>
      </c>
      <c r="Q21" t="s">
        <v>26</v>
      </c>
      <c r="R21" t="s">
        <v>26</v>
      </c>
      <c r="S21" t="s">
        <v>3182</v>
      </c>
      <c r="T21" t="s">
        <v>4264</v>
      </c>
      <c r="U21" t="s">
        <v>4243</v>
      </c>
      <c r="V21" t="s">
        <v>4205</v>
      </c>
      <c r="W21" t="s">
        <v>3182</v>
      </c>
    </row>
    <row r="22" spans="1:23" x14ac:dyDescent="0.25">
      <c r="A22" t="s">
        <v>4239</v>
      </c>
      <c r="B22" t="s">
        <v>3956</v>
      </c>
      <c r="C22" t="s">
        <v>4044</v>
      </c>
      <c r="D22" t="s">
        <v>23</v>
      </c>
      <c r="E22" t="s">
        <v>4266</v>
      </c>
      <c r="F22" t="s">
        <v>25</v>
      </c>
      <c r="G22" t="s">
        <v>4203</v>
      </c>
      <c r="H22" t="s">
        <v>4017</v>
      </c>
      <c r="I22">
        <v>600</v>
      </c>
      <c r="J22" t="s">
        <v>4049</v>
      </c>
      <c r="K22" t="s">
        <v>4245</v>
      </c>
      <c r="L22" t="s">
        <v>4204</v>
      </c>
      <c r="M22" t="s">
        <v>3996</v>
      </c>
      <c r="N22" t="s">
        <v>4246</v>
      </c>
      <c r="O22" t="s">
        <v>3182</v>
      </c>
      <c r="P22" t="s">
        <v>26</v>
      </c>
      <c r="Q22" t="s">
        <v>26</v>
      </c>
      <c r="R22" t="s">
        <v>26</v>
      </c>
      <c r="S22" t="s">
        <v>3182</v>
      </c>
      <c r="T22" t="s">
        <v>4264</v>
      </c>
      <c r="U22" t="s">
        <v>4243</v>
      </c>
      <c r="V22" t="s">
        <v>4205</v>
      </c>
      <c r="W22" t="s">
        <v>3182</v>
      </c>
    </row>
    <row r="23" spans="1:23" x14ac:dyDescent="0.25">
      <c r="A23" t="s">
        <v>4239</v>
      </c>
      <c r="B23" t="s">
        <v>3957</v>
      </c>
      <c r="C23" t="s">
        <v>4046</v>
      </c>
      <c r="D23" t="s">
        <v>23</v>
      </c>
      <c r="E23" t="s">
        <v>4267</v>
      </c>
      <c r="F23" t="s">
        <v>25</v>
      </c>
      <c r="G23" t="s">
        <v>4203</v>
      </c>
      <c r="H23" t="s">
        <v>4017</v>
      </c>
      <c r="I23">
        <v>600</v>
      </c>
      <c r="J23" t="s">
        <v>4049</v>
      </c>
      <c r="K23" t="s">
        <v>4245</v>
      </c>
      <c r="L23" t="s">
        <v>4204</v>
      </c>
      <c r="M23" t="s">
        <v>3996</v>
      </c>
      <c r="N23" t="s">
        <v>4246</v>
      </c>
      <c r="O23" t="s">
        <v>3182</v>
      </c>
      <c r="P23" t="s">
        <v>26</v>
      </c>
      <c r="Q23" t="s">
        <v>26</v>
      </c>
      <c r="R23" t="s">
        <v>26</v>
      </c>
      <c r="S23" t="s">
        <v>3182</v>
      </c>
      <c r="T23" t="s">
        <v>4264</v>
      </c>
      <c r="U23" t="s">
        <v>4243</v>
      </c>
      <c r="V23" t="s">
        <v>4205</v>
      </c>
      <c r="W23" t="s">
        <v>3182</v>
      </c>
    </row>
    <row r="24" spans="1:23" x14ac:dyDescent="0.25">
      <c r="A24" t="s">
        <v>4239</v>
      </c>
      <c r="B24" t="s">
        <v>4018</v>
      </c>
      <c r="C24" t="s">
        <v>4046</v>
      </c>
      <c r="D24" t="s">
        <v>23</v>
      </c>
      <c r="E24" t="s">
        <v>4268</v>
      </c>
      <c r="F24" t="s">
        <v>25</v>
      </c>
      <c r="G24" t="s">
        <v>4203</v>
      </c>
      <c r="H24" t="s">
        <v>4017</v>
      </c>
      <c r="I24">
        <v>398</v>
      </c>
      <c r="J24" t="s">
        <v>4049</v>
      </c>
      <c r="K24" t="s">
        <v>4245</v>
      </c>
      <c r="L24" t="s">
        <v>4204</v>
      </c>
      <c r="M24" t="s">
        <v>3996</v>
      </c>
      <c r="N24" t="s">
        <v>4246</v>
      </c>
      <c r="O24" t="s">
        <v>3182</v>
      </c>
      <c r="P24" t="s">
        <v>26</v>
      </c>
      <c r="Q24" t="s">
        <v>26</v>
      </c>
      <c r="R24" t="s">
        <v>26</v>
      </c>
      <c r="S24" t="s">
        <v>3182</v>
      </c>
      <c r="T24" t="s">
        <v>4264</v>
      </c>
      <c r="U24" t="s">
        <v>4243</v>
      </c>
      <c r="V24" t="s">
        <v>4205</v>
      </c>
      <c r="W24" t="s">
        <v>3182</v>
      </c>
    </row>
    <row r="25" spans="1:23" x14ac:dyDescent="0.25">
      <c r="A25" t="s">
        <v>4239</v>
      </c>
      <c r="B25" t="s">
        <v>4019</v>
      </c>
      <c r="C25" t="s">
        <v>369</v>
      </c>
      <c r="D25" t="s">
        <v>23</v>
      </c>
      <c r="E25" t="s">
        <v>4269</v>
      </c>
      <c r="F25" t="s">
        <v>25</v>
      </c>
      <c r="G25" t="s">
        <v>4203</v>
      </c>
      <c r="H25" t="s">
        <v>4017</v>
      </c>
      <c r="I25">
        <v>96</v>
      </c>
      <c r="J25" t="s">
        <v>4049</v>
      </c>
      <c r="K25" t="s">
        <v>4245</v>
      </c>
      <c r="L25" t="s">
        <v>4204</v>
      </c>
      <c r="M25" t="s">
        <v>3996</v>
      </c>
      <c r="N25" t="s">
        <v>4246</v>
      </c>
      <c r="O25" t="s">
        <v>3182</v>
      </c>
      <c r="P25" t="s">
        <v>26</v>
      </c>
      <c r="Q25" t="s">
        <v>26</v>
      </c>
      <c r="R25" t="s">
        <v>26</v>
      </c>
      <c r="S25" t="s">
        <v>3182</v>
      </c>
      <c r="T25" t="s">
        <v>4270</v>
      </c>
      <c r="U25" t="s">
        <v>4243</v>
      </c>
      <c r="V25" t="s">
        <v>4205</v>
      </c>
      <c r="W25" t="s">
        <v>3182</v>
      </c>
    </row>
    <row r="26" spans="1:23" x14ac:dyDescent="0.25">
      <c r="A26" t="s">
        <v>4239</v>
      </c>
      <c r="B26" t="s">
        <v>4020</v>
      </c>
      <c r="C26" t="s">
        <v>369</v>
      </c>
      <c r="D26" t="s">
        <v>23</v>
      </c>
      <c r="E26" t="s">
        <v>4271</v>
      </c>
      <c r="F26" t="s">
        <v>25</v>
      </c>
      <c r="G26" t="s">
        <v>4203</v>
      </c>
      <c r="H26" t="s">
        <v>4017</v>
      </c>
      <c r="I26">
        <v>96</v>
      </c>
      <c r="J26" t="s">
        <v>4049</v>
      </c>
      <c r="K26" t="s">
        <v>4245</v>
      </c>
      <c r="L26" t="s">
        <v>4204</v>
      </c>
      <c r="M26" t="s">
        <v>3996</v>
      </c>
      <c r="N26" t="s">
        <v>4246</v>
      </c>
      <c r="O26" t="s">
        <v>3182</v>
      </c>
      <c r="P26" t="s">
        <v>26</v>
      </c>
      <c r="Q26" t="s">
        <v>26</v>
      </c>
      <c r="R26" t="s">
        <v>26</v>
      </c>
      <c r="S26" t="s">
        <v>3182</v>
      </c>
      <c r="T26" t="s">
        <v>4270</v>
      </c>
      <c r="U26" t="s">
        <v>4243</v>
      </c>
      <c r="V26" t="s">
        <v>4205</v>
      </c>
      <c r="W26" t="s">
        <v>3182</v>
      </c>
    </row>
    <row r="27" spans="1:23" x14ac:dyDescent="0.25">
      <c r="A27" t="s">
        <v>4239</v>
      </c>
      <c r="B27" t="s">
        <v>4021</v>
      </c>
      <c r="C27" t="s">
        <v>369</v>
      </c>
      <c r="D27" t="s">
        <v>23</v>
      </c>
      <c r="E27" t="s">
        <v>4272</v>
      </c>
      <c r="F27" t="s">
        <v>25</v>
      </c>
      <c r="G27" t="s">
        <v>4203</v>
      </c>
      <c r="H27" t="s">
        <v>4017</v>
      </c>
      <c r="I27">
        <v>96</v>
      </c>
      <c r="J27" t="s">
        <v>4049</v>
      </c>
      <c r="K27" t="s">
        <v>4245</v>
      </c>
      <c r="L27" t="s">
        <v>4204</v>
      </c>
      <c r="M27" t="s">
        <v>3996</v>
      </c>
      <c r="N27" t="s">
        <v>4246</v>
      </c>
      <c r="O27" t="s">
        <v>3182</v>
      </c>
      <c r="P27" t="s">
        <v>26</v>
      </c>
      <c r="Q27" t="s">
        <v>26</v>
      </c>
      <c r="R27" t="s">
        <v>26</v>
      </c>
      <c r="S27" t="s">
        <v>3182</v>
      </c>
      <c r="T27" t="s">
        <v>4270</v>
      </c>
      <c r="U27" t="s">
        <v>4243</v>
      </c>
      <c r="V27" t="s">
        <v>4205</v>
      </c>
      <c r="W27" t="s">
        <v>3182</v>
      </c>
    </row>
    <row r="28" spans="1:23" x14ac:dyDescent="0.25">
      <c r="A28" t="s">
        <v>4239</v>
      </c>
      <c r="B28" t="s">
        <v>4022</v>
      </c>
      <c r="C28" t="s">
        <v>369</v>
      </c>
      <c r="D28" t="s">
        <v>23</v>
      </c>
      <c r="E28" t="s">
        <v>4273</v>
      </c>
      <c r="F28" t="s">
        <v>25</v>
      </c>
      <c r="G28" t="s">
        <v>4203</v>
      </c>
      <c r="H28" t="s">
        <v>4017</v>
      </c>
      <c r="I28">
        <v>96</v>
      </c>
      <c r="J28" t="s">
        <v>4049</v>
      </c>
      <c r="K28" t="s">
        <v>4245</v>
      </c>
      <c r="L28" t="s">
        <v>4204</v>
      </c>
      <c r="M28" t="s">
        <v>3996</v>
      </c>
      <c r="N28" t="s">
        <v>4246</v>
      </c>
      <c r="O28" t="s">
        <v>3182</v>
      </c>
      <c r="P28" t="s">
        <v>26</v>
      </c>
      <c r="Q28" t="s">
        <v>26</v>
      </c>
      <c r="R28" t="s">
        <v>26</v>
      </c>
      <c r="S28" t="s">
        <v>3182</v>
      </c>
      <c r="T28" t="s">
        <v>4270</v>
      </c>
      <c r="U28" t="s">
        <v>4243</v>
      </c>
      <c r="V28" t="s">
        <v>4205</v>
      </c>
      <c r="W28" t="s">
        <v>3182</v>
      </c>
    </row>
    <row r="29" spans="1:23" x14ac:dyDescent="0.25">
      <c r="A29" t="s">
        <v>4239</v>
      </c>
      <c r="B29" t="s">
        <v>4079</v>
      </c>
      <c r="C29" t="s">
        <v>369</v>
      </c>
      <c r="D29" t="s">
        <v>23</v>
      </c>
      <c r="E29" t="s">
        <v>4274</v>
      </c>
      <c r="F29" t="s">
        <v>25</v>
      </c>
      <c r="G29" t="s">
        <v>4203</v>
      </c>
      <c r="H29" t="s">
        <v>4017</v>
      </c>
      <c r="I29">
        <v>96</v>
      </c>
      <c r="J29" t="s">
        <v>4049</v>
      </c>
      <c r="K29" t="s">
        <v>4245</v>
      </c>
      <c r="L29" t="s">
        <v>4204</v>
      </c>
      <c r="M29" t="s">
        <v>3996</v>
      </c>
      <c r="N29" t="s">
        <v>4246</v>
      </c>
      <c r="O29" t="s">
        <v>3182</v>
      </c>
      <c r="P29" t="s">
        <v>26</v>
      </c>
      <c r="Q29" t="s">
        <v>26</v>
      </c>
      <c r="R29" t="s">
        <v>26</v>
      </c>
      <c r="S29" t="s">
        <v>3182</v>
      </c>
      <c r="T29" t="s">
        <v>4270</v>
      </c>
      <c r="U29" t="s">
        <v>4243</v>
      </c>
      <c r="V29" t="s">
        <v>4205</v>
      </c>
      <c r="W29" t="s">
        <v>3182</v>
      </c>
    </row>
    <row r="30" spans="1:23" x14ac:dyDescent="0.25">
      <c r="A30" t="s">
        <v>4239</v>
      </c>
      <c r="B30" t="s">
        <v>4080</v>
      </c>
      <c r="C30" t="s">
        <v>369</v>
      </c>
      <c r="D30" t="s">
        <v>23</v>
      </c>
      <c r="E30" t="s">
        <v>4275</v>
      </c>
      <c r="F30" t="s">
        <v>25</v>
      </c>
      <c r="G30" t="s">
        <v>4203</v>
      </c>
      <c r="H30" t="s">
        <v>4017</v>
      </c>
      <c r="I30">
        <v>96</v>
      </c>
      <c r="J30" t="s">
        <v>4049</v>
      </c>
      <c r="K30" t="s">
        <v>4245</v>
      </c>
      <c r="L30" t="s">
        <v>4204</v>
      </c>
      <c r="M30" t="s">
        <v>3996</v>
      </c>
      <c r="N30" t="s">
        <v>4246</v>
      </c>
      <c r="O30" t="s">
        <v>3182</v>
      </c>
      <c r="P30" t="s">
        <v>26</v>
      </c>
      <c r="Q30" t="s">
        <v>26</v>
      </c>
      <c r="R30" t="s">
        <v>26</v>
      </c>
      <c r="S30" t="s">
        <v>3182</v>
      </c>
      <c r="T30" t="s">
        <v>4276</v>
      </c>
      <c r="U30" t="s">
        <v>4243</v>
      </c>
      <c r="V30" t="s">
        <v>4205</v>
      </c>
      <c r="W30" t="s">
        <v>3182</v>
      </c>
    </row>
    <row r="31" spans="1:23" x14ac:dyDescent="0.25">
      <c r="A31" t="s">
        <v>4239</v>
      </c>
      <c r="B31" t="s">
        <v>4081</v>
      </c>
      <c r="C31" t="s">
        <v>369</v>
      </c>
      <c r="D31" t="s">
        <v>23</v>
      </c>
      <c r="E31" t="s">
        <v>4277</v>
      </c>
      <c r="F31" t="s">
        <v>25</v>
      </c>
      <c r="G31" t="s">
        <v>4203</v>
      </c>
      <c r="H31" t="s">
        <v>4017</v>
      </c>
      <c r="I31">
        <v>96</v>
      </c>
      <c r="J31" t="s">
        <v>4049</v>
      </c>
      <c r="K31" t="s">
        <v>4245</v>
      </c>
      <c r="L31" t="s">
        <v>4204</v>
      </c>
      <c r="M31" t="s">
        <v>3996</v>
      </c>
      <c r="N31" t="s">
        <v>4246</v>
      </c>
      <c r="O31" t="s">
        <v>3182</v>
      </c>
      <c r="P31" t="s">
        <v>26</v>
      </c>
      <c r="Q31" t="s">
        <v>26</v>
      </c>
      <c r="R31" t="s">
        <v>26</v>
      </c>
      <c r="S31" t="s">
        <v>3182</v>
      </c>
      <c r="T31" t="s">
        <v>4276</v>
      </c>
      <c r="U31" t="s">
        <v>4243</v>
      </c>
      <c r="V31" t="s">
        <v>4205</v>
      </c>
      <c r="W31" t="s">
        <v>3182</v>
      </c>
    </row>
    <row r="32" spans="1:23" x14ac:dyDescent="0.25">
      <c r="A32" t="s">
        <v>4239</v>
      </c>
      <c r="B32" t="s">
        <v>4082</v>
      </c>
      <c r="C32" t="s">
        <v>369</v>
      </c>
      <c r="D32" t="s">
        <v>23</v>
      </c>
      <c r="E32" t="s">
        <v>4278</v>
      </c>
      <c r="F32" t="s">
        <v>25</v>
      </c>
      <c r="G32" t="s">
        <v>4203</v>
      </c>
      <c r="H32" t="s">
        <v>4017</v>
      </c>
      <c r="I32">
        <v>96</v>
      </c>
      <c r="J32" t="s">
        <v>4049</v>
      </c>
      <c r="K32" t="s">
        <v>4245</v>
      </c>
      <c r="L32" t="s">
        <v>4204</v>
      </c>
      <c r="M32" t="s">
        <v>3996</v>
      </c>
      <c r="N32" t="s">
        <v>4246</v>
      </c>
      <c r="O32" t="s">
        <v>3182</v>
      </c>
      <c r="P32" t="s">
        <v>26</v>
      </c>
      <c r="Q32" t="s">
        <v>26</v>
      </c>
      <c r="R32" t="s">
        <v>26</v>
      </c>
      <c r="S32" t="s">
        <v>3182</v>
      </c>
      <c r="T32" t="s">
        <v>4276</v>
      </c>
      <c r="U32" t="s">
        <v>4243</v>
      </c>
      <c r="V32" t="s">
        <v>4205</v>
      </c>
      <c r="W32" t="s">
        <v>3182</v>
      </c>
    </row>
    <row r="33" spans="1:23" x14ac:dyDescent="0.25">
      <c r="A33" t="s">
        <v>4239</v>
      </c>
      <c r="B33" t="s">
        <v>4083</v>
      </c>
      <c r="C33" t="s">
        <v>369</v>
      </c>
      <c r="D33" t="s">
        <v>23</v>
      </c>
      <c r="E33" t="s">
        <v>4279</v>
      </c>
      <c r="F33" t="s">
        <v>25</v>
      </c>
      <c r="G33" t="s">
        <v>4203</v>
      </c>
      <c r="H33" t="s">
        <v>4017</v>
      </c>
      <c r="I33">
        <v>96</v>
      </c>
      <c r="J33" t="s">
        <v>4049</v>
      </c>
      <c r="K33" t="s">
        <v>4245</v>
      </c>
      <c r="L33" t="s">
        <v>4204</v>
      </c>
      <c r="M33" t="s">
        <v>3996</v>
      </c>
      <c r="N33" t="s">
        <v>4246</v>
      </c>
      <c r="O33" t="s">
        <v>3182</v>
      </c>
      <c r="P33" t="s">
        <v>26</v>
      </c>
      <c r="Q33" t="s">
        <v>26</v>
      </c>
      <c r="R33" t="s">
        <v>26</v>
      </c>
      <c r="S33" t="s">
        <v>3182</v>
      </c>
      <c r="T33" t="s">
        <v>4276</v>
      </c>
      <c r="U33" t="s">
        <v>4243</v>
      </c>
      <c r="V33" t="s">
        <v>4205</v>
      </c>
      <c r="W33" t="s">
        <v>3182</v>
      </c>
    </row>
    <row r="34" spans="1:23" x14ac:dyDescent="0.25">
      <c r="A34" t="s">
        <v>4239</v>
      </c>
      <c r="B34" t="s">
        <v>4084</v>
      </c>
      <c r="C34" t="s">
        <v>369</v>
      </c>
      <c r="D34" t="s">
        <v>23</v>
      </c>
      <c r="E34" t="s">
        <v>4280</v>
      </c>
      <c r="F34" t="s">
        <v>25</v>
      </c>
      <c r="G34" t="s">
        <v>4203</v>
      </c>
      <c r="H34" t="s">
        <v>4017</v>
      </c>
      <c r="I34">
        <v>96</v>
      </c>
      <c r="J34" t="s">
        <v>4049</v>
      </c>
      <c r="K34" t="s">
        <v>4245</v>
      </c>
      <c r="L34" t="s">
        <v>4204</v>
      </c>
      <c r="M34" t="s">
        <v>3996</v>
      </c>
      <c r="N34" t="s">
        <v>4246</v>
      </c>
      <c r="O34" t="s">
        <v>3182</v>
      </c>
      <c r="P34" t="s">
        <v>26</v>
      </c>
      <c r="Q34" t="s">
        <v>26</v>
      </c>
      <c r="R34" t="s">
        <v>26</v>
      </c>
      <c r="S34" t="s">
        <v>3182</v>
      </c>
      <c r="T34" t="s">
        <v>4276</v>
      </c>
      <c r="U34" t="s">
        <v>4243</v>
      </c>
      <c r="V34" t="s">
        <v>4205</v>
      </c>
      <c r="W34" t="s">
        <v>3182</v>
      </c>
    </row>
    <row r="35" spans="1:23" x14ac:dyDescent="0.25">
      <c r="A35" t="s">
        <v>4239</v>
      </c>
      <c r="B35" t="s">
        <v>4085</v>
      </c>
      <c r="C35" t="s">
        <v>369</v>
      </c>
      <c r="D35" t="s">
        <v>23</v>
      </c>
      <c r="E35" t="s">
        <v>4281</v>
      </c>
      <c r="F35" t="s">
        <v>25</v>
      </c>
      <c r="G35" t="s">
        <v>4203</v>
      </c>
      <c r="H35" t="s">
        <v>4017</v>
      </c>
      <c r="I35">
        <v>96</v>
      </c>
      <c r="J35" t="s">
        <v>4049</v>
      </c>
      <c r="K35" t="s">
        <v>4245</v>
      </c>
      <c r="L35" t="s">
        <v>4204</v>
      </c>
      <c r="M35" t="s">
        <v>3996</v>
      </c>
      <c r="N35" t="s">
        <v>4246</v>
      </c>
      <c r="O35" t="s">
        <v>3182</v>
      </c>
      <c r="P35" t="s">
        <v>26</v>
      </c>
      <c r="Q35" t="s">
        <v>26</v>
      </c>
      <c r="R35" t="s">
        <v>26</v>
      </c>
      <c r="S35" t="s">
        <v>3182</v>
      </c>
      <c r="T35" t="s">
        <v>4276</v>
      </c>
      <c r="U35" t="s">
        <v>4243</v>
      </c>
      <c r="V35" t="s">
        <v>4205</v>
      </c>
      <c r="W35" t="s">
        <v>3182</v>
      </c>
    </row>
    <row r="36" spans="1:23" x14ac:dyDescent="0.25">
      <c r="A36" t="s">
        <v>4239</v>
      </c>
      <c r="B36" t="s">
        <v>4086</v>
      </c>
      <c r="C36" t="s">
        <v>369</v>
      </c>
      <c r="D36" t="s">
        <v>23</v>
      </c>
      <c r="E36" t="s">
        <v>4282</v>
      </c>
      <c r="F36" t="s">
        <v>25</v>
      </c>
      <c r="G36" t="s">
        <v>4203</v>
      </c>
      <c r="H36" t="s">
        <v>4017</v>
      </c>
      <c r="I36">
        <v>96</v>
      </c>
      <c r="J36" t="s">
        <v>4049</v>
      </c>
      <c r="K36" t="s">
        <v>4245</v>
      </c>
      <c r="L36" t="s">
        <v>4204</v>
      </c>
      <c r="M36" t="s">
        <v>3996</v>
      </c>
      <c r="N36" t="s">
        <v>4246</v>
      </c>
      <c r="O36" t="s">
        <v>3182</v>
      </c>
      <c r="P36" t="s">
        <v>26</v>
      </c>
      <c r="Q36" t="s">
        <v>26</v>
      </c>
      <c r="R36" t="s">
        <v>26</v>
      </c>
      <c r="S36" t="s">
        <v>3182</v>
      </c>
      <c r="T36" t="s">
        <v>4276</v>
      </c>
      <c r="U36" t="s">
        <v>4243</v>
      </c>
      <c r="V36" t="s">
        <v>4205</v>
      </c>
      <c r="W36" t="s">
        <v>3182</v>
      </c>
    </row>
    <row r="37" spans="1:23" x14ac:dyDescent="0.25">
      <c r="A37" t="s">
        <v>4239</v>
      </c>
      <c r="B37" t="s">
        <v>4087</v>
      </c>
      <c r="C37" t="s">
        <v>369</v>
      </c>
      <c r="D37" t="s">
        <v>23</v>
      </c>
      <c r="E37" t="s">
        <v>4283</v>
      </c>
      <c r="F37" t="s">
        <v>25</v>
      </c>
      <c r="G37" t="s">
        <v>4203</v>
      </c>
      <c r="H37" t="s">
        <v>4017</v>
      </c>
      <c r="I37">
        <v>96</v>
      </c>
      <c r="J37" t="s">
        <v>4049</v>
      </c>
      <c r="K37" t="s">
        <v>4245</v>
      </c>
      <c r="L37" t="s">
        <v>4204</v>
      </c>
      <c r="M37" t="s">
        <v>3996</v>
      </c>
      <c r="N37" t="s">
        <v>4246</v>
      </c>
      <c r="O37" t="s">
        <v>3182</v>
      </c>
      <c r="P37" t="s">
        <v>26</v>
      </c>
      <c r="Q37" t="s">
        <v>26</v>
      </c>
      <c r="R37" t="s">
        <v>26</v>
      </c>
      <c r="S37" t="s">
        <v>3182</v>
      </c>
      <c r="T37" t="s">
        <v>4276</v>
      </c>
      <c r="U37" t="s">
        <v>4243</v>
      </c>
      <c r="V37" t="s">
        <v>4205</v>
      </c>
      <c r="W37" t="s">
        <v>3182</v>
      </c>
    </row>
    <row r="38" spans="1:23" x14ac:dyDescent="0.25">
      <c r="A38" t="s">
        <v>4239</v>
      </c>
      <c r="B38" t="s">
        <v>4206</v>
      </c>
      <c r="C38" t="s">
        <v>369</v>
      </c>
      <c r="D38" t="s">
        <v>23</v>
      </c>
      <c r="E38" t="s">
        <v>4284</v>
      </c>
      <c r="F38" t="s">
        <v>25</v>
      </c>
      <c r="G38" t="s">
        <v>4203</v>
      </c>
      <c r="H38" t="s">
        <v>4017</v>
      </c>
      <c r="I38">
        <v>96</v>
      </c>
      <c r="J38" t="s">
        <v>4049</v>
      </c>
      <c r="K38" t="s">
        <v>4245</v>
      </c>
      <c r="L38" t="s">
        <v>4204</v>
      </c>
      <c r="M38" t="s">
        <v>3996</v>
      </c>
      <c r="N38" t="s">
        <v>4246</v>
      </c>
      <c r="O38" t="s">
        <v>3182</v>
      </c>
      <c r="P38" t="s">
        <v>26</v>
      </c>
      <c r="Q38" t="s">
        <v>26</v>
      </c>
      <c r="R38" t="s">
        <v>26</v>
      </c>
      <c r="S38" t="s">
        <v>3182</v>
      </c>
      <c r="T38" t="s">
        <v>4276</v>
      </c>
      <c r="U38" t="s">
        <v>4243</v>
      </c>
      <c r="V38" t="s">
        <v>4205</v>
      </c>
      <c r="W38" t="s">
        <v>3182</v>
      </c>
    </row>
    <row r="39" spans="1:23" x14ac:dyDescent="0.25">
      <c r="A39" t="s">
        <v>4239</v>
      </c>
      <c r="B39" t="s">
        <v>4207</v>
      </c>
      <c r="C39" t="s">
        <v>369</v>
      </c>
      <c r="D39" t="s">
        <v>23</v>
      </c>
      <c r="E39" t="s">
        <v>4285</v>
      </c>
      <c r="F39" t="s">
        <v>25</v>
      </c>
      <c r="G39" t="s">
        <v>4203</v>
      </c>
      <c r="H39" t="s">
        <v>4017</v>
      </c>
      <c r="I39">
        <v>96</v>
      </c>
      <c r="J39" t="s">
        <v>4049</v>
      </c>
      <c r="K39" t="s">
        <v>4245</v>
      </c>
      <c r="L39" t="s">
        <v>4204</v>
      </c>
      <c r="M39" t="s">
        <v>3996</v>
      </c>
      <c r="N39" t="s">
        <v>4246</v>
      </c>
      <c r="O39" t="s">
        <v>3182</v>
      </c>
      <c r="P39" t="s">
        <v>26</v>
      </c>
      <c r="Q39" t="s">
        <v>26</v>
      </c>
      <c r="R39" t="s">
        <v>26</v>
      </c>
      <c r="S39" t="s">
        <v>3182</v>
      </c>
      <c r="T39" t="s">
        <v>4276</v>
      </c>
      <c r="U39" t="s">
        <v>4243</v>
      </c>
      <c r="V39" t="s">
        <v>4205</v>
      </c>
      <c r="W39" t="s">
        <v>3182</v>
      </c>
    </row>
    <row r="40" spans="1:23" x14ac:dyDescent="0.25">
      <c r="A40" t="s">
        <v>4239</v>
      </c>
      <c r="B40" t="s">
        <v>4208</v>
      </c>
      <c r="C40" t="s">
        <v>369</v>
      </c>
      <c r="D40" t="s">
        <v>23</v>
      </c>
      <c r="E40" t="s">
        <v>4286</v>
      </c>
      <c r="F40" t="s">
        <v>25</v>
      </c>
      <c r="G40" t="s">
        <v>4203</v>
      </c>
      <c r="H40" t="s">
        <v>4017</v>
      </c>
      <c r="I40">
        <v>96</v>
      </c>
      <c r="J40" t="s">
        <v>4049</v>
      </c>
      <c r="K40" t="s">
        <v>4245</v>
      </c>
      <c r="L40" t="s">
        <v>4204</v>
      </c>
      <c r="M40" t="s">
        <v>3996</v>
      </c>
      <c r="N40" t="s">
        <v>4246</v>
      </c>
      <c r="O40" t="s">
        <v>3182</v>
      </c>
      <c r="P40" t="s">
        <v>26</v>
      </c>
      <c r="Q40" t="s">
        <v>26</v>
      </c>
      <c r="R40" t="s">
        <v>26</v>
      </c>
      <c r="S40" t="s">
        <v>3182</v>
      </c>
      <c r="T40" t="s">
        <v>4276</v>
      </c>
      <c r="U40" t="s">
        <v>4243</v>
      </c>
      <c r="V40" t="s">
        <v>4205</v>
      </c>
      <c r="W40" t="s">
        <v>3182</v>
      </c>
    </row>
    <row r="41" spans="1:23" x14ac:dyDescent="0.25">
      <c r="A41" t="s">
        <v>4239</v>
      </c>
      <c r="B41" t="s">
        <v>4209</v>
      </c>
      <c r="C41" t="s">
        <v>369</v>
      </c>
      <c r="D41" t="s">
        <v>23</v>
      </c>
      <c r="E41" t="s">
        <v>4287</v>
      </c>
      <c r="F41" t="s">
        <v>25</v>
      </c>
      <c r="G41" t="s">
        <v>4203</v>
      </c>
      <c r="H41" t="s">
        <v>4017</v>
      </c>
      <c r="I41">
        <v>96</v>
      </c>
      <c r="J41" t="s">
        <v>4049</v>
      </c>
      <c r="K41" t="s">
        <v>4245</v>
      </c>
      <c r="L41" t="s">
        <v>4204</v>
      </c>
      <c r="M41" t="s">
        <v>3996</v>
      </c>
      <c r="N41" t="s">
        <v>4246</v>
      </c>
      <c r="O41" t="s">
        <v>3182</v>
      </c>
      <c r="P41" t="s">
        <v>26</v>
      </c>
      <c r="Q41" t="s">
        <v>26</v>
      </c>
      <c r="R41" t="s">
        <v>26</v>
      </c>
      <c r="S41" t="s">
        <v>3182</v>
      </c>
      <c r="T41" t="s">
        <v>4288</v>
      </c>
      <c r="U41" t="s">
        <v>4243</v>
      </c>
      <c r="V41" t="s">
        <v>4205</v>
      </c>
      <c r="W41" t="s">
        <v>3182</v>
      </c>
    </row>
    <row r="42" spans="1:23" x14ac:dyDescent="0.25">
      <c r="A42" t="s">
        <v>4239</v>
      </c>
      <c r="B42" t="s">
        <v>4210</v>
      </c>
      <c r="C42" t="s">
        <v>369</v>
      </c>
      <c r="D42" t="s">
        <v>23</v>
      </c>
      <c r="E42" t="s">
        <v>4289</v>
      </c>
      <c r="F42" t="s">
        <v>25</v>
      </c>
      <c r="G42" t="s">
        <v>4203</v>
      </c>
      <c r="H42" t="s">
        <v>4017</v>
      </c>
      <c r="I42">
        <v>96</v>
      </c>
      <c r="J42" t="s">
        <v>4049</v>
      </c>
      <c r="K42" t="s">
        <v>4245</v>
      </c>
      <c r="L42" t="s">
        <v>4204</v>
      </c>
      <c r="M42" t="s">
        <v>3996</v>
      </c>
      <c r="N42" t="s">
        <v>4246</v>
      </c>
      <c r="O42" t="s">
        <v>3182</v>
      </c>
      <c r="P42" t="s">
        <v>26</v>
      </c>
      <c r="Q42" t="s">
        <v>26</v>
      </c>
      <c r="R42" t="s">
        <v>26</v>
      </c>
      <c r="S42" t="s">
        <v>3182</v>
      </c>
      <c r="T42" t="s">
        <v>4288</v>
      </c>
      <c r="U42" t="s">
        <v>4243</v>
      </c>
      <c r="V42" t="s">
        <v>4205</v>
      </c>
      <c r="W42" t="s">
        <v>3182</v>
      </c>
    </row>
    <row r="43" spans="1:23" x14ac:dyDescent="0.25">
      <c r="A43" t="s">
        <v>4239</v>
      </c>
      <c r="B43" t="s">
        <v>4211</v>
      </c>
      <c r="C43" t="s">
        <v>369</v>
      </c>
      <c r="D43" t="s">
        <v>23</v>
      </c>
      <c r="E43" t="s">
        <v>4290</v>
      </c>
      <c r="F43" t="s">
        <v>25</v>
      </c>
      <c r="G43" t="s">
        <v>4203</v>
      </c>
      <c r="H43" t="s">
        <v>4017</v>
      </c>
      <c r="I43">
        <v>96</v>
      </c>
      <c r="J43" t="s">
        <v>4049</v>
      </c>
      <c r="K43" t="s">
        <v>4245</v>
      </c>
      <c r="L43" t="s">
        <v>4204</v>
      </c>
      <c r="M43" t="s">
        <v>3996</v>
      </c>
      <c r="N43" t="s">
        <v>4246</v>
      </c>
      <c r="O43" t="s">
        <v>3182</v>
      </c>
      <c r="P43" t="s">
        <v>26</v>
      </c>
      <c r="Q43" t="s">
        <v>26</v>
      </c>
      <c r="R43" t="s">
        <v>26</v>
      </c>
      <c r="S43" t="s">
        <v>3182</v>
      </c>
      <c r="T43" t="s">
        <v>4288</v>
      </c>
      <c r="U43" t="s">
        <v>4243</v>
      </c>
      <c r="V43" t="s">
        <v>4205</v>
      </c>
      <c r="W43" t="s">
        <v>3182</v>
      </c>
    </row>
    <row r="44" spans="1:23" x14ac:dyDescent="0.25">
      <c r="A44" t="s">
        <v>4239</v>
      </c>
      <c r="B44" t="s">
        <v>4212</v>
      </c>
      <c r="C44" t="s">
        <v>369</v>
      </c>
      <c r="D44" t="s">
        <v>23</v>
      </c>
      <c r="E44" t="s">
        <v>4291</v>
      </c>
      <c r="F44" t="s">
        <v>25</v>
      </c>
      <c r="G44" t="s">
        <v>4203</v>
      </c>
      <c r="H44" t="s">
        <v>4017</v>
      </c>
      <c r="I44">
        <v>96</v>
      </c>
      <c r="J44" t="s">
        <v>4049</v>
      </c>
      <c r="K44" t="s">
        <v>4245</v>
      </c>
      <c r="L44" t="s">
        <v>4204</v>
      </c>
      <c r="M44" t="s">
        <v>3996</v>
      </c>
      <c r="N44" t="s">
        <v>4246</v>
      </c>
      <c r="O44" t="s">
        <v>3182</v>
      </c>
      <c r="P44" t="s">
        <v>26</v>
      </c>
      <c r="Q44" t="s">
        <v>26</v>
      </c>
      <c r="R44" t="s">
        <v>26</v>
      </c>
      <c r="S44" t="s">
        <v>3182</v>
      </c>
      <c r="T44" t="s">
        <v>4288</v>
      </c>
      <c r="U44" t="s">
        <v>4243</v>
      </c>
      <c r="V44" t="s">
        <v>4205</v>
      </c>
      <c r="W44" t="s">
        <v>3182</v>
      </c>
    </row>
    <row r="45" spans="1:23" x14ac:dyDescent="0.25">
      <c r="A45" t="s">
        <v>4239</v>
      </c>
      <c r="B45" t="s">
        <v>4213</v>
      </c>
      <c r="C45" t="s">
        <v>369</v>
      </c>
      <c r="D45" t="s">
        <v>23</v>
      </c>
      <c r="E45" t="s">
        <v>4292</v>
      </c>
      <c r="F45" t="s">
        <v>25</v>
      </c>
      <c r="G45" t="s">
        <v>4203</v>
      </c>
      <c r="H45" t="s">
        <v>4017</v>
      </c>
      <c r="I45">
        <v>96</v>
      </c>
      <c r="J45" t="s">
        <v>4049</v>
      </c>
      <c r="K45" t="s">
        <v>4245</v>
      </c>
      <c r="L45" t="s">
        <v>4204</v>
      </c>
      <c r="M45" t="s">
        <v>3996</v>
      </c>
      <c r="N45" t="s">
        <v>4246</v>
      </c>
      <c r="O45" t="s">
        <v>3182</v>
      </c>
      <c r="P45" t="s">
        <v>26</v>
      </c>
      <c r="Q45" t="s">
        <v>26</v>
      </c>
      <c r="R45" t="s">
        <v>26</v>
      </c>
      <c r="S45" t="s">
        <v>3182</v>
      </c>
      <c r="T45" t="s">
        <v>4288</v>
      </c>
      <c r="U45" t="s">
        <v>4243</v>
      </c>
      <c r="V45" t="s">
        <v>4205</v>
      </c>
      <c r="W45" t="s">
        <v>3182</v>
      </c>
    </row>
    <row r="46" spans="1:23" x14ac:dyDescent="0.25">
      <c r="A46" t="s">
        <v>4239</v>
      </c>
      <c r="B46" t="s">
        <v>4214</v>
      </c>
      <c r="C46" t="s">
        <v>369</v>
      </c>
      <c r="D46" t="s">
        <v>23</v>
      </c>
      <c r="E46" t="s">
        <v>4293</v>
      </c>
      <c r="F46" t="s">
        <v>25</v>
      </c>
      <c r="G46" t="s">
        <v>4203</v>
      </c>
      <c r="H46" t="s">
        <v>4017</v>
      </c>
      <c r="I46">
        <v>96</v>
      </c>
      <c r="J46" t="s">
        <v>4049</v>
      </c>
      <c r="K46" t="s">
        <v>4245</v>
      </c>
      <c r="L46" t="s">
        <v>4204</v>
      </c>
      <c r="M46" t="s">
        <v>3996</v>
      </c>
      <c r="N46" t="s">
        <v>4246</v>
      </c>
      <c r="O46" t="s">
        <v>3182</v>
      </c>
      <c r="P46" t="s">
        <v>26</v>
      </c>
      <c r="Q46" t="s">
        <v>26</v>
      </c>
      <c r="R46" t="s">
        <v>26</v>
      </c>
      <c r="S46" t="s">
        <v>3182</v>
      </c>
      <c r="T46" t="s">
        <v>4288</v>
      </c>
      <c r="U46" t="s">
        <v>4243</v>
      </c>
      <c r="V46" t="s">
        <v>4205</v>
      </c>
      <c r="W46" t="s">
        <v>3182</v>
      </c>
    </row>
    <row r="47" spans="1:23" x14ac:dyDescent="0.25">
      <c r="A47" t="s">
        <v>4239</v>
      </c>
      <c r="B47" t="s">
        <v>4215</v>
      </c>
      <c r="C47" t="s">
        <v>369</v>
      </c>
      <c r="D47" t="s">
        <v>23</v>
      </c>
      <c r="E47" t="s">
        <v>4294</v>
      </c>
      <c r="F47" t="s">
        <v>25</v>
      </c>
      <c r="G47" t="s">
        <v>4203</v>
      </c>
      <c r="H47" t="s">
        <v>4017</v>
      </c>
      <c r="I47">
        <v>96</v>
      </c>
      <c r="J47" t="s">
        <v>4049</v>
      </c>
      <c r="K47" t="s">
        <v>4245</v>
      </c>
      <c r="L47" t="s">
        <v>4204</v>
      </c>
      <c r="M47" t="s">
        <v>3996</v>
      </c>
      <c r="N47" t="s">
        <v>4246</v>
      </c>
      <c r="O47" t="s">
        <v>3182</v>
      </c>
      <c r="P47" t="s">
        <v>26</v>
      </c>
      <c r="Q47" t="s">
        <v>26</v>
      </c>
      <c r="R47" t="s">
        <v>26</v>
      </c>
      <c r="S47" t="s">
        <v>3182</v>
      </c>
      <c r="T47" t="s">
        <v>4288</v>
      </c>
      <c r="U47" t="s">
        <v>4243</v>
      </c>
      <c r="V47" t="s">
        <v>4205</v>
      </c>
      <c r="W47" t="s">
        <v>3182</v>
      </c>
    </row>
    <row r="48" spans="1:23" x14ac:dyDescent="0.25">
      <c r="A48" t="s">
        <v>4239</v>
      </c>
      <c r="B48" t="s">
        <v>4216</v>
      </c>
      <c r="C48" t="s">
        <v>369</v>
      </c>
      <c r="D48" t="s">
        <v>23</v>
      </c>
      <c r="E48" t="s">
        <v>4295</v>
      </c>
      <c r="F48" t="s">
        <v>25</v>
      </c>
      <c r="G48" t="s">
        <v>4203</v>
      </c>
      <c r="H48" t="s">
        <v>4017</v>
      </c>
      <c r="I48">
        <v>96</v>
      </c>
      <c r="J48" t="s">
        <v>4049</v>
      </c>
      <c r="K48" t="s">
        <v>4245</v>
      </c>
      <c r="L48" t="s">
        <v>4204</v>
      </c>
      <c r="M48" t="s">
        <v>3996</v>
      </c>
      <c r="N48" t="s">
        <v>4246</v>
      </c>
      <c r="O48" t="s">
        <v>3182</v>
      </c>
      <c r="P48" t="s">
        <v>26</v>
      </c>
      <c r="Q48" t="s">
        <v>26</v>
      </c>
      <c r="R48" t="s">
        <v>26</v>
      </c>
      <c r="S48" t="s">
        <v>3182</v>
      </c>
      <c r="T48" t="s">
        <v>4288</v>
      </c>
      <c r="U48" t="s">
        <v>4243</v>
      </c>
      <c r="V48" t="s">
        <v>4205</v>
      </c>
      <c r="W48" t="s">
        <v>3182</v>
      </c>
    </row>
    <row r="49" spans="1:23" x14ac:dyDescent="0.25">
      <c r="A49" t="s">
        <v>4239</v>
      </c>
      <c r="B49" t="s">
        <v>4217</v>
      </c>
      <c r="C49" t="s">
        <v>369</v>
      </c>
      <c r="D49" t="s">
        <v>23</v>
      </c>
      <c r="E49" t="s">
        <v>4296</v>
      </c>
      <c r="F49" t="s">
        <v>25</v>
      </c>
      <c r="G49" t="s">
        <v>4203</v>
      </c>
      <c r="H49" t="s">
        <v>4017</v>
      </c>
      <c r="I49">
        <v>96</v>
      </c>
      <c r="J49" t="s">
        <v>4049</v>
      </c>
      <c r="K49" t="s">
        <v>4245</v>
      </c>
      <c r="L49" t="s">
        <v>4204</v>
      </c>
      <c r="M49" t="s">
        <v>3996</v>
      </c>
      <c r="N49" t="s">
        <v>4246</v>
      </c>
      <c r="O49" t="s">
        <v>3182</v>
      </c>
      <c r="P49" t="s">
        <v>26</v>
      </c>
      <c r="Q49" t="s">
        <v>26</v>
      </c>
      <c r="R49" t="s">
        <v>26</v>
      </c>
      <c r="S49" t="s">
        <v>3182</v>
      </c>
      <c r="T49" t="s">
        <v>4288</v>
      </c>
      <c r="U49" t="s">
        <v>4243</v>
      </c>
      <c r="V49" t="s">
        <v>4205</v>
      </c>
      <c r="W49" t="s">
        <v>3182</v>
      </c>
    </row>
    <row r="50" spans="1:23" x14ac:dyDescent="0.25">
      <c r="A50" t="s">
        <v>4239</v>
      </c>
      <c r="B50" t="s">
        <v>4218</v>
      </c>
      <c r="C50" t="s">
        <v>369</v>
      </c>
      <c r="D50" t="s">
        <v>23</v>
      </c>
      <c r="E50" t="s">
        <v>4297</v>
      </c>
      <c r="F50" t="s">
        <v>25</v>
      </c>
      <c r="G50" t="s">
        <v>4203</v>
      </c>
      <c r="H50" t="s">
        <v>4017</v>
      </c>
      <c r="I50">
        <v>96</v>
      </c>
      <c r="J50" t="s">
        <v>4049</v>
      </c>
      <c r="K50" t="s">
        <v>4245</v>
      </c>
      <c r="L50" t="s">
        <v>4204</v>
      </c>
      <c r="M50" t="s">
        <v>3996</v>
      </c>
      <c r="N50" t="s">
        <v>4246</v>
      </c>
      <c r="O50" t="s">
        <v>3182</v>
      </c>
      <c r="P50" t="s">
        <v>26</v>
      </c>
      <c r="Q50" t="s">
        <v>26</v>
      </c>
      <c r="R50" t="s">
        <v>26</v>
      </c>
      <c r="S50" t="s">
        <v>3182</v>
      </c>
      <c r="T50" t="s">
        <v>4288</v>
      </c>
      <c r="U50" t="s">
        <v>4243</v>
      </c>
      <c r="V50" t="s">
        <v>4205</v>
      </c>
      <c r="W50" t="s">
        <v>3182</v>
      </c>
    </row>
    <row r="51" spans="1:23" x14ac:dyDescent="0.25">
      <c r="A51" t="s">
        <v>4239</v>
      </c>
      <c r="B51" t="s">
        <v>4219</v>
      </c>
      <c r="C51" t="s">
        <v>369</v>
      </c>
      <c r="D51" t="s">
        <v>23</v>
      </c>
      <c r="E51" t="s">
        <v>4298</v>
      </c>
      <c r="F51" t="s">
        <v>25</v>
      </c>
      <c r="G51" t="s">
        <v>4203</v>
      </c>
      <c r="H51" t="s">
        <v>4017</v>
      </c>
      <c r="I51">
        <v>96</v>
      </c>
      <c r="J51" t="s">
        <v>4049</v>
      </c>
      <c r="K51" t="s">
        <v>4245</v>
      </c>
      <c r="L51" t="s">
        <v>4204</v>
      </c>
      <c r="M51" t="s">
        <v>3996</v>
      </c>
      <c r="N51" t="s">
        <v>4246</v>
      </c>
      <c r="O51" t="s">
        <v>3182</v>
      </c>
      <c r="P51" t="s">
        <v>26</v>
      </c>
      <c r="Q51" t="s">
        <v>26</v>
      </c>
      <c r="R51" t="s">
        <v>26</v>
      </c>
      <c r="S51" t="s">
        <v>3182</v>
      </c>
      <c r="T51" t="s">
        <v>4299</v>
      </c>
      <c r="U51" t="s">
        <v>4243</v>
      </c>
      <c r="V51" t="s">
        <v>4205</v>
      </c>
      <c r="W51" t="s">
        <v>3182</v>
      </c>
    </row>
    <row r="52" spans="1:23" x14ac:dyDescent="0.25">
      <c r="A52" t="s">
        <v>4239</v>
      </c>
      <c r="B52" t="s">
        <v>4220</v>
      </c>
      <c r="C52" t="s">
        <v>369</v>
      </c>
      <c r="D52" t="s">
        <v>23</v>
      </c>
      <c r="E52" t="s">
        <v>4300</v>
      </c>
      <c r="F52" t="s">
        <v>25</v>
      </c>
      <c r="G52" t="s">
        <v>4203</v>
      </c>
      <c r="H52" t="s">
        <v>4017</v>
      </c>
      <c r="I52">
        <v>96</v>
      </c>
      <c r="J52" t="s">
        <v>4049</v>
      </c>
      <c r="K52" t="s">
        <v>4245</v>
      </c>
      <c r="L52" t="s">
        <v>4204</v>
      </c>
      <c r="M52" t="s">
        <v>3996</v>
      </c>
      <c r="N52" t="s">
        <v>4246</v>
      </c>
      <c r="O52" t="s">
        <v>3182</v>
      </c>
      <c r="P52" t="s">
        <v>26</v>
      </c>
      <c r="Q52" t="s">
        <v>26</v>
      </c>
      <c r="R52" t="s">
        <v>26</v>
      </c>
      <c r="S52" t="s">
        <v>3182</v>
      </c>
      <c r="T52" t="s">
        <v>4299</v>
      </c>
      <c r="U52" t="s">
        <v>4243</v>
      </c>
      <c r="V52" t="s">
        <v>4205</v>
      </c>
      <c r="W52" t="s">
        <v>3182</v>
      </c>
    </row>
    <row r="53" spans="1:23" x14ac:dyDescent="0.25">
      <c r="A53" t="s">
        <v>4239</v>
      </c>
      <c r="B53" t="s">
        <v>4221</v>
      </c>
      <c r="C53" t="s">
        <v>369</v>
      </c>
      <c r="D53" t="s">
        <v>23</v>
      </c>
      <c r="E53" t="s">
        <v>4301</v>
      </c>
      <c r="F53" t="s">
        <v>25</v>
      </c>
      <c r="G53" t="s">
        <v>4203</v>
      </c>
      <c r="H53" t="s">
        <v>4017</v>
      </c>
      <c r="I53">
        <v>96</v>
      </c>
      <c r="J53" t="s">
        <v>4049</v>
      </c>
      <c r="K53" t="s">
        <v>4245</v>
      </c>
      <c r="L53" t="s">
        <v>4204</v>
      </c>
      <c r="M53" t="s">
        <v>3996</v>
      </c>
      <c r="N53" t="s">
        <v>4246</v>
      </c>
      <c r="O53" t="s">
        <v>3182</v>
      </c>
      <c r="P53" t="s">
        <v>26</v>
      </c>
      <c r="Q53" t="s">
        <v>26</v>
      </c>
      <c r="R53" t="s">
        <v>26</v>
      </c>
      <c r="S53" t="s">
        <v>3182</v>
      </c>
      <c r="T53" t="s">
        <v>4299</v>
      </c>
      <c r="U53" t="s">
        <v>4243</v>
      </c>
      <c r="V53" t="s">
        <v>4205</v>
      </c>
      <c r="W53" t="s">
        <v>3182</v>
      </c>
    </row>
    <row r="54" spans="1:23" x14ac:dyDescent="0.25">
      <c r="A54" t="s">
        <v>4239</v>
      </c>
      <c r="B54" t="s">
        <v>4222</v>
      </c>
      <c r="C54" t="s">
        <v>369</v>
      </c>
      <c r="D54" t="s">
        <v>23</v>
      </c>
      <c r="E54" t="s">
        <v>4302</v>
      </c>
      <c r="F54" t="s">
        <v>25</v>
      </c>
      <c r="G54" t="s">
        <v>4203</v>
      </c>
      <c r="H54" t="s">
        <v>4017</v>
      </c>
      <c r="I54">
        <v>96</v>
      </c>
      <c r="J54" t="s">
        <v>4049</v>
      </c>
      <c r="K54" t="s">
        <v>4245</v>
      </c>
      <c r="L54" t="s">
        <v>4204</v>
      </c>
      <c r="M54" t="s">
        <v>3996</v>
      </c>
      <c r="N54" t="s">
        <v>4246</v>
      </c>
      <c r="O54" t="s">
        <v>3182</v>
      </c>
      <c r="P54" t="s">
        <v>26</v>
      </c>
      <c r="Q54" t="s">
        <v>26</v>
      </c>
      <c r="R54" t="s">
        <v>26</v>
      </c>
      <c r="S54" t="s">
        <v>3182</v>
      </c>
      <c r="T54" t="s">
        <v>4299</v>
      </c>
      <c r="U54" t="s">
        <v>4243</v>
      </c>
      <c r="V54" t="s">
        <v>4205</v>
      </c>
      <c r="W54" t="s">
        <v>3182</v>
      </c>
    </row>
    <row r="55" spans="1:23" x14ac:dyDescent="0.25">
      <c r="A55" t="s">
        <v>4239</v>
      </c>
      <c r="B55" t="s">
        <v>4223</v>
      </c>
      <c r="C55" t="s">
        <v>369</v>
      </c>
      <c r="D55" t="s">
        <v>23</v>
      </c>
      <c r="E55" t="s">
        <v>4303</v>
      </c>
      <c r="F55" t="s">
        <v>25</v>
      </c>
      <c r="G55" t="s">
        <v>4203</v>
      </c>
      <c r="H55" t="s">
        <v>4017</v>
      </c>
      <c r="I55">
        <v>96</v>
      </c>
      <c r="J55" t="s">
        <v>4049</v>
      </c>
      <c r="K55" t="s">
        <v>4245</v>
      </c>
      <c r="L55" t="s">
        <v>4204</v>
      </c>
      <c r="M55" t="s">
        <v>3996</v>
      </c>
      <c r="N55" t="s">
        <v>4246</v>
      </c>
      <c r="O55" t="s">
        <v>3182</v>
      </c>
      <c r="P55" t="s">
        <v>26</v>
      </c>
      <c r="Q55" t="s">
        <v>26</v>
      </c>
      <c r="R55" t="s">
        <v>26</v>
      </c>
      <c r="S55" t="s">
        <v>3182</v>
      </c>
      <c r="T55" t="s">
        <v>4299</v>
      </c>
      <c r="U55" t="s">
        <v>4243</v>
      </c>
      <c r="V55" t="s">
        <v>4205</v>
      </c>
      <c r="W55" t="s">
        <v>3182</v>
      </c>
    </row>
    <row r="56" spans="1:23" x14ac:dyDescent="0.25">
      <c r="A56" t="s">
        <v>4239</v>
      </c>
      <c r="B56" t="s">
        <v>4224</v>
      </c>
      <c r="C56" t="s">
        <v>369</v>
      </c>
      <c r="D56" t="s">
        <v>23</v>
      </c>
      <c r="E56" t="s">
        <v>4304</v>
      </c>
      <c r="F56" t="s">
        <v>25</v>
      </c>
      <c r="G56" t="s">
        <v>4203</v>
      </c>
      <c r="H56" t="s">
        <v>4017</v>
      </c>
      <c r="I56">
        <v>96</v>
      </c>
      <c r="J56" t="s">
        <v>4049</v>
      </c>
      <c r="K56" t="s">
        <v>4245</v>
      </c>
      <c r="L56" t="s">
        <v>4204</v>
      </c>
      <c r="M56" t="s">
        <v>3996</v>
      </c>
      <c r="N56" t="s">
        <v>4246</v>
      </c>
      <c r="O56" t="s">
        <v>3182</v>
      </c>
      <c r="P56" t="s">
        <v>26</v>
      </c>
      <c r="Q56" t="s">
        <v>26</v>
      </c>
      <c r="R56" t="s">
        <v>26</v>
      </c>
      <c r="S56" t="s">
        <v>3182</v>
      </c>
      <c r="T56" t="s">
        <v>4299</v>
      </c>
      <c r="U56" t="s">
        <v>4243</v>
      </c>
      <c r="V56" t="s">
        <v>4205</v>
      </c>
      <c r="W56" t="s">
        <v>3182</v>
      </c>
    </row>
    <row r="57" spans="1:23" x14ac:dyDescent="0.25">
      <c r="A57" t="s">
        <v>4239</v>
      </c>
      <c r="B57" t="s">
        <v>4225</v>
      </c>
      <c r="C57" t="s">
        <v>369</v>
      </c>
      <c r="D57" t="s">
        <v>23</v>
      </c>
      <c r="E57" t="s">
        <v>4305</v>
      </c>
      <c r="F57" t="s">
        <v>25</v>
      </c>
      <c r="G57" t="s">
        <v>4203</v>
      </c>
      <c r="H57" t="s">
        <v>4017</v>
      </c>
      <c r="I57">
        <v>96</v>
      </c>
      <c r="J57" t="s">
        <v>4049</v>
      </c>
      <c r="K57" t="s">
        <v>4245</v>
      </c>
      <c r="L57" t="s">
        <v>4204</v>
      </c>
      <c r="M57" t="s">
        <v>3996</v>
      </c>
      <c r="N57" t="s">
        <v>4246</v>
      </c>
      <c r="O57" t="s">
        <v>3182</v>
      </c>
      <c r="P57" t="s">
        <v>26</v>
      </c>
      <c r="Q57" t="s">
        <v>26</v>
      </c>
      <c r="R57" t="s">
        <v>26</v>
      </c>
      <c r="S57" t="s">
        <v>3182</v>
      </c>
      <c r="T57" t="s">
        <v>4299</v>
      </c>
      <c r="U57" t="s">
        <v>4243</v>
      </c>
      <c r="V57" t="s">
        <v>4205</v>
      </c>
      <c r="W57" t="s">
        <v>3182</v>
      </c>
    </row>
    <row r="58" spans="1:23" x14ac:dyDescent="0.25">
      <c r="A58" t="s">
        <v>4239</v>
      </c>
      <c r="B58" t="s">
        <v>4226</v>
      </c>
      <c r="C58" t="s">
        <v>369</v>
      </c>
      <c r="D58" t="s">
        <v>23</v>
      </c>
      <c r="E58" t="s">
        <v>4306</v>
      </c>
      <c r="F58" t="s">
        <v>25</v>
      </c>
      <c r="G58" t="s">
        <v>4203</v>
      </c>
      <c r="H58" t="s">
        <v>4017</v>
      </c>
      <c r="I58">
        <v>96</v>
      </c>
      <c r="J58" t="s">
        <v>4049</v>
      </c>
      <c r="K58" t="s">
        <v>4245</v>
      </c>
      <c r="L58" t="s">
        <v>4204</v>
      </c>
      <c r="M58" t="s">
        <v>3996</v>
      </c>
      <c r="N58" t="s">
        <v>4246</v>
      </c>
      <c r="O58" t="s">
        <v>3182</v>
      </c>
      <c r="P58" t="s">
        <v>26</v>
      </c>
      <c r="Q58" t="s">
        <v>26</v>
      </c>
      <c r="R58" t="s">
        <v>26</v>
      </c>
      <c r="S58" t="s">
        <v>3182</v>
      </c>
      <c r="T58" t="s">
        <v>4299</v>
      </c>
      <c r="U58" t="s">
        <v>4243</v>
      </c>
      <c r="V58" t="s">
        <v>4205</v>
      </c>
      <c r="W58" t="s">
        <v>3182</v>
      </c>
    </row>
    <row r="59" spans="1:23" x14ac:dyDescent="0.25">
      <c r="A59" t="s">
        <v>4239</v>
      </c>
      <c r="B59" t="s">
        <v>4227</v>
      </c>
      <c r="C59" t="s">
        <v>369</v>
      </c>
      <c r="D59" t="s">
        <v>23</v>
      </c>
      <c r="E59" t="s">
        <v>4307</v>
      </c>
      <c r="F59" t="s">
        <v>25</v>
      </c>
      <c r="G59" t="s">
        <v>4203</v>
      </c>
      <c r="H59" t="s">
        <v>4017</v>
      </c>
      <c r="I59">
        <v>96</v>
      </c>
      <c r="J59" t="s">
        <v>4049</v>
      </c>
      <c r="K59" t="s">
        <v>4245</v>
      </c>
      <c r="L59" t="s">
        <v>4204</v>
      </c>
      <c r="M59" t="s">
        <v>3996</v>
      </c>
      <c r="N59" t="s">
        <v>4246</v>
      </c>
      <c r="O59" t="s">
        <v>3182</v>
      </c>
      <c r="P59" t="s">
        <v>26</v>
      </c>
      <c r="Q59" t="s">
        <v>26</v>
      </c>
      <c r="R59" t="s">
        <v>26</v>
      </c>
      <c r="S59" t="s">
        <v>3182</v>
      </c>
      <c r="T59" t="s">
        <v>4299</v>
      </c>
      <c r="U59" t="s">
        <v>4243</v>
      </c>
      <c r="V59" t="s">
        <v>4205</v>
      </c>
      <c r="W59" t="s">
        <v>3182</v>
      </c>
    </row>
    <row r="60" spans="1:23" x14ac:dyDescent="0.25">
      <c r="A60" t="s">
        <v>4239</v>
      </c>
      <c r="B60" t="s">
        <v>4228</v>
      </c>
      <c r="C60" t="s">
        <v>369</v>
      </c>
      <c r="D60" t="s">
        <v>23</v>
      </c>
      <c r="E60" t="s">
        <v>4308</v>
      </c>
      <c r="F60" t="s">
        <v>25</v>
      </c>
      <c r="G60" t="s">
        <v>4203</v>
      </c>
      <c r="H60" t="s">
        <v>4017</v>
      </c>
      <c r="I60">
        <v>96</v>
      </c>
      <c r="J60" t="s">
        <v>4049</v>
      </c>
      <c r="K60" t="s">
        <v>4245</v>
      </c>
      <c r="L60" t="s">
        <v>4204</v>
      </c>
      <c r="M60" t="s">
        <v>3996</v>
      </c>
      <c r="N60" t="s">
        <v>4246</v>
      </c>
      <c r="O60" t="s">
        <v>3182</v>
      </c>
      <c r="P60" t="s">
        <v>26</v>
      </c>
      <c r="Q60" t="s">
        <v>26</v>
      </c>
      <c r="R60" t="s">
        <v>26</v>
      </c>
      <c r="S60" t="s">
        <v>3182</v>
      </c>
      <c r="T60" t="s">
        <v>4309</v>
      </c>
      <c r="U60" t="s">
        <v>4243</v>
      </c>
      <c r="V60" t="s">
        <v>4205</v>
      </c>
      <c r="W60" t="s">
        <v>3182</v>
      </c>
    </row>
    <row r="61" spans="1:23" x14ac:dyDescent="0.25">
      <c r="A61" t="s">
        <v>4239</v>
      </c>
      <c r="B61" t="s">
        <v>4229</v>
      </c>
      <c r="C61" t="s">
        <v>369</v>
      </c>
      <c r="D61" t="s">
        <v>23</v>
      </c>
      <c r="E61" t="s">
        <v>4310</v>
      </c>
      <c r="F61" t="s">
        <v>25</v>
      </c>
      <c r="G61" t="s">
        <v>4203</v>
      </c>
      <c r="H61" t="s">
        <v>4017</v>
      </c>
      <c r="I61">
        <v>96</v>
      </c>
      <c r="J61" t="s">
        <v>4049</v>
      </c>
      <c r="K61" t="s">
        <v>4245</v>
      </c>
      <c r="L61" t="s">
        <v>4204</v>
      </c>
      <c r="M61" t="s">
        <v>3996</v>
      </c>
      <c r="N61" t="s">
        <v>4246</v>
      </c>
      <c r="O61" t="s">
        <v>3182</v>
      </c>
      <c r="P61" t="s">
        <v>26</v>
      </c>
      <c r="Q61" t="s">
        <v>26</v>
      </c>
      <c r="R61" t="s">
        <v>26</v>
      </c>
      <c r="S61" t="s">
        <v>3182</v>
      </c>
      <c r="T61" t="s">
        <v>4309</v>
      </c>
      <c r="U61" t="s">
        <v>4243</v>
      </c>
      <c r="V61" t="s">
        <v>4205</v>
      </c>
      <c r="W61" t="s">
        <v>3182</v>
      </c>
    </row>
    <row r="62" spans="1:23" x14ac:dyDescent="0.25">
      <c r="A62" t="s">
        <v>4239</v>
      </c>
      <c r="B62" t="s">
        <v>4230</v>
      </c>
      <c r="C62" t="s">
        <v>369</v>
      </c>
      <c r="D62" t="s">
        <v>23</v>
      </c>
      <c r="E62" t="s">
        <v>4311</v>
      </c>
      <c r="F62" t="s">
        <v>25</v>
      </c>
      <c r="G62" t="s">
        <v>4203</v>
      </c>
      <c r="H62" t="s">
        <v>4017</v>
      </c>
      <c r="I62">
        <v>96</v>
      </c>
      <c r="J62" t="s">
        <v>4049</v>
      </c>
      <c r="K62" t="s">
        <v>4245</v>
      </c>
      <c r="L62" t="s">
        <v>4204</v>
      </c>
      <c r="M62" t="s">
        <v>3996</v>
      </c>
      <c r="N62" t="s">
        <v>4246</v>
      </c>
      <c r="O62" t="s">
        <v>3182</v>
      </c>
      <c r="P62" t="s">
        <v>26</v>
      </c>
      <c r="Q62" t="s">
        <v>26</v>
      </c>
      <c r="R62" t="s">
        <v>26</v>
      </c>
      <c r="S62" t="s">
        <v>3182</v>
      </c>
      <c r="T62" t="s">
        <v>4309</v>
      </c>
      <c r="U62" t="s">
        <v>4243</v>
      </c>
      <c r="V62" t="s">
        <v>4205</v>
      </c>
      <c r="W62" t="s">
        <v>3182</v>
      </c>
    </row>
    <row r="63" spans="1:23" x14ac:dyDescent="0.25">
      <c r="A63" t="s">
        <v>4239</v>
      </c>
      <c r="B63" t="s">
        <v>4231</v>
      </c>
      <c r="C63" t="s">
        <v>369</v>
      </c>
      <c r="D63" t="s">
        <v>23</v>
      </c>
      <c r="E63" t="s">
        <v>4312</v>
      </c>
      <c r="F63" t="s">
        <v>25</v>
      </c>
      <c r="G63" t="s">
        <v>4203</v>
      </c>
      <c r="H63" t="s">
        <v>4017</v>
      </c>
      <c r="I63">
        <v>96</v>
      </c>
      <c r="J63" t="s">
        <v>4049</v>
      </c>
      <c r="K63" t="s">
        <v>4245</v>
      </c>
      <c r="L63" t="s">
        <v>4204</v>
      </c>
      <c r="M63" t="s">
        <v>3996</v>
      </c>
      <c r="N63" t="s">
        <v>4246</v>
      </c>
      <c r="O63" t="s">
        <v>3182</v>
      </c>
      <c r="P63" t="s">
        <v>26</v>
      </c>
      <c r="Q63" t="s">
        <v>26</v>
      </c>
      <c r="R63" t="s">
        <v>26</v>
      </c>
      <c r="S63" t="s">
        <v>3182</v>
      </c>
      <c r="T63" t="s">
        <v>4309</v>
      </c>
      <c r="U63" t="s">
        <v>4243</v>
      </c>
      <c r="V63" t="s">
        <v>4205</v>
      </c>
      <c r="W63" t="s">
        <v>3182</v>
      </c>
    </row>
    <row r="64" spans="1:23" x14ac:dyDescent="0.25">
      <c r="A64" t="s">
        <v>4239</v>
      </c>
      <c r="B64" t="s">
        <v>4232</v>
      </c>
      <c r="C64" t="s">
        <v>369</v>
      </c>
      <c r="D64" t="s">
        <v>23</v>
      </c>
      <c r="E64" t="s">
        <v>4313</v>
      </c>
      <c r="F64" t="s">
        <v>25</v>
      </c>
      <c r="G64" t="s">
        <v>4203</v>
      </c>
      <c r="H64" t="s">
        <v>4017</v>
      </c>
      <c r="I64">
        <v>96</v>
      </c>
      <c r="J64" t="s">
        <v>4049</v>
      </c>
      <c r="K64" t="s">
        <v>4245</v>
      </c>
      <c r="L64" t="s">
        <v>4204</v>
      </c>
      <c r="M64" t="s">
        <v>3996</v>
      </c>
      <c r="N64" t="s">
        <v>4246</v>
      </c>
      <c r="O64" t="s">
        <v>3182</v>
      </c>
      <c r="P64" t="s">
        <v>26</v>
      </c>
      <c r="Q64" t="s">
        <v>26</v>
      </c>
      <c r="R64" t="s">
        <v>26</v>
      </c>
      <c r="S64" t="s">
        <v>3182</v>
      </c>
      <c r="T64" t="s">
        <v>4309</v>
      </c>
      <c r="U64" t="s">
        <v>4243</v>
      </c>
      <c r="V64" t="s">
        <v>4205</v>
      </c>
      <c r="W64" t="s">
        <v>3182</v>
      </c>
    </row>
    <row r="65" spans="1:23" x14ac:dyDescent="0.25">
      <c r="A65" t="s">
        <v>4239</v>
      </c>
      <c r="B65" t="s">
        <v>4233</v>
      </c>
      <c r="C65" t="s">
        <v>369</v>
      </c>
      <c r="D65" t="s">
        <v>23</v>
      </c>
      <c r="E65" t="s">
        <v>4314</v>
      </c>
      <c r="F65" t="s">
        <v>25</v>
      </c>
      <c r="G65" t="s">
        <v>4203</v>
      </c>
      <c r="H65" t="s">
        <v>4017</v>
      </c>
      <c r="I65">
        <v>96</v>
      </c>
      <c r="J65" t="s">
        <v>4049</v>
      </c>
      <c r="K65" t="s">
        <v>4245</v>
      </c>
      <c r="L65" t="s">
        <v>4204</v>
      </c>
      <c r="M65" t="s">
        <v>3996</v>
      </c>
      <c r="N65" t="s">
        <v>4246</v>
      </c>
      <c r="O65" t="s">
        <v>3182</v>
      </c>
      <c r="P65" t="s">
        <v>26</v>
      </c>
      <c r="Q65" t="s">
        <v>26</v>
      </c>
      <c r="R65" t="s">
        <v>26</v>
      </c>
      <c r="S65" t="s">
        <v>3182</v>
      </c>
      <c r="T65" t="s">
        <v>4315</v>
      </c>
      <c r="U65" t="s">
        <v>4243</v>
      </c>
      <c r="V65" t="s">
        <v>4205</v>
      </c>
      <c r="W65" t="s">
        <v>3182</v>
      </c>
    </row>
    <row r="66" spans="1:23" x14ac:dyDescent="0.25">
      <c r="A66" t="s">
        <v>4239</v>
      </c>
      <c r="B66" t="s">
        <v>4234</v>
      </c>
      <c r="C66" t="s">
        <v>369</v>
      </c>
      <c r="D66" t="s">
        <v>23</v>
      </c>
      <c r="E66" t="s">
        <v>4316</v>
      </c>
      <c r="F66" t="s">
        <v>25</v>
      </c>
      <c r="G66" t="s">
        <v>4203</v>
      </c>
      <c r="H66" t="s">
        <v>4017</v>
      </c>
      <c r="I66">
        <v>96</v>
      </c>
      <c r="J66" t="s">
        <v>4049</v>
      </c>
      <c r="K66" t="s">
        <v>4245</v>
      </c>
      <c r="L66" t="s">
        <v>4204</v>
      </c>
      <c r="M66" t="s">
        <v>3996</v>
      </c>
      <c r="N66" t="s">
        <v>4246</v>
      </c>
      <c r="O66" t="s">
        <v>3182</v>
      </c>
      <c r="P66" t="s">
        <v>26</v>
      </c>
      <c r="Q66" t="s">
        <v>26</v>
      </c>
      <c r="R66" t="s">
        <v>26</v>
      </c>
      <c r="S66" t="s">
        <v>3182</v>
      </c>
      <c r="T66" t="s">
        <v>4315</v>
      </c>
      <c r="U66" t="s">
        <v>4243</v>
      </c>
      <c r="V66" t="s">
        <v>4205</v>
      </c>
      <c r="W66" t="s">
        <v>3182</v>
      </c>
    </row>
    <row r="67" spans="1:23" x14ac:dyDescent="0.25">
      <c r="A67" t="s">
        <v>4239</v>
      </c>
      <c r="B67" t="s">
        <v>4235</v>
      </c>
      <c r="C67" t="s">
        <v>369</v>
      </c>
      <c r="D67" t="s">
        <v>23</v>
      </c>
      <c r="E67" t="s">
        <v>4317</v>
      </c>
      <c r="F67" t="s">
        <v>25</v>
      </c>
      <c r="G67" t="s">
        <v>4203</v>
      </c>
      <c r="H67" t="s">
        <v>4017</v>
      </c>
      <c r="I67">
        <v>96</v>
      </c>
      <c r="J67" t="s">
        <v>4049</v>
      </c>
      <c r="K67" t="s">
        <v>4245</v>
      </c>
      <c r="L67" t="s">
        <v>4204</v>
      </c>
      <c r="M67" t="s">
        <v>3996</v>
      </c>
      <c r="N67" t="s">
        <v>4246</v>
      </c>
      <c r="O67" t="s">
        <v>3182</v>
      </c>
      <c r="P67" t="s">
        <v>26</v>
      </c>
      <c r="Q67" t="s">
        <v>26</v>
      </c>
      <c r="R67" t="s">
        <v>26</v>
      </c>
      <c r="S67" t="s">
        <v>3182</v>
      </c>
      <c r="T67" t="s">
        <v>4315</v>
      </c>
      <c r="U67" t="s">
        <v>4243</v>
      </c>
      <c r="V67" t="s">
        <v>4205</v>
      </c>
      <c r="W67" t="s">
        <v>3182</v>
      </c>
    </row>
    <row r="68" spans="1:23" x14ac:dyDescent="0.25">
      <c r="A68" t="s">
        <v>4239</v>
      </c>
      <c r="B68" t="s">
        <v>4236</v>
      </c>
      <c r="C68" t="s">
        <v>369</v>
      </c>
      <c r="D68" t="s">
        <v>23</v>
      </c>
      <c r="E68" t="s">
        <v>4318</v>
      </c>
      <c r="F68" t="s">
        <v>25</v>
      </c>
      <c r="G68" t="s">
        <v>4203</v>
      </c>
      <c r="H68" t="s">
        <v>4017</v>
      </c>
      <c r="I68">
        <v>96</v>
      </c>
      <c r="J68" t="s">
        <v>4049</v>
      </c>
      <c r="K68" t="s">
        <v>4245</v>
      </c>
      <c r="L68" t="s">
        <v>4204</v>
      </c>
      <c r="M68" t="s">
        <v>3996</v>
      </c>
      <c r="N68" t="s">
        <v>4246</v>
      </c>
      <c r="O68" t="s">
        <v>3182</v>
      </c>
      <c r="P68" t="s">
        <v>26</v>
      </c>
      <c r="Q68" t="s">
        <v>26</v>
      </c>
      <c r="R68" t="s">
        <v>26</v>
      </c>
      <c r="S68" t="s">
        <v>3182</v>
      </c>
      <c r="T68" t="s">
        <v>4315</v>
      </c>
      <c r="U68" t="s">
        <v>4243</v>
      </c>
      <c r="V68" t="s">
        <v>4205</v>
      </c>
      <c r="W68" t="s">
        <v>3182</v>
      </c>
    </row>
    <row r="69" spans="1:23" x14ac:dyDescent="0.25">
      <c r="A69" t="s">
        <v>4239</v>
      </c>
      <c r="B69" t="s">
        <v>4237</v>
      </c>
      <c r="C69" t="s">
        <v>369</v>
      </c>
      <c r="D69" t="s">
        <v>23</v>
      </c>
      <c r="E69" t="s">
        <v>4319</v>
      </c>
      <c r="F69" t="s">
        <v>25</v>
      </c>
      <c r="G69" t="s">
        <v>4203</v>
      </c>
      <c r="H69" t="s">
        <v>4017</v>
      </c>
      <c r="I69">
        <v>24</v>
      </c>
      <c r="J69" t="s">
        <v>4049</v>
      </c>
      <c r="K69" t="s">
        <v>4245</v>
      </c>
      <c r="L69" t="s">
        <v>4204</v>
      </c>
      <c r="M69" t="s">
        <v>3996</v>
      </c>
      <c r="N69" t="s">
        <v>4246</v>
      </c>
      <c r="O69" t="s">
        <v>3182</v>
      </c>
      <c r="P69" t="s">
        <v>26</v>
      </c>
      <c r="Q69" t="s">
        <v>26</v>
      </c>
      <c r="R69" t="s">
        <v>26</v>
      </c>
      <c r="S69" t="s">
        <v>3182</v>
      </c>
      <c r="T69" t="s">
        <v>4315</v>
      </c>
      <c r="U69" t="s">
        <v>4243</v>
      </c>
      <c r="V69" t="s">
        <v>4205</v>
      </c>
      <c r="W69" t="s">
        <v>3182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A54CB-0537-4B0D-95D5-1C1BAC6464AE}">
  <sheetPr codeName="Sheet14"/>
  <dimension ref="A1:E66"/>
  <sheetViews>
    <sheetView workbookViewId="0">
      <selection activeCell="G12" sqref="G12"/>
    </sheetView>
  </sheetViews>
  <sheetFormatPr defaultRowHeight="15" x14ac:dyDescent="0.25"/>
  <cols>
    <col min="1" max="1" width="5.7109375" style="124" customWidth="1"/>
    <col min="2" max="2" width="16.7109375" style="125" customWidth="1"/>
    <col min="3" max="3" width="23.28515625" style="125" customWidth="1"/>
    <col min="4" max="4" width="12.7109375" style="126" customWidth="1"/>
    <col min="5" max="5" width="10.140625" style="126" bestFit="1" customWidth="1"/>
  </cols>
  <sheetData>
    <row r="1" spans="1:5" x14ac:dyDescent="0.25">
      <c r="A1" s="116"/>
      <c r="B1" s="117"/>
      <c r="C1" s="118"/>
      <c r="D1" s="119" t="s">
        <v>3558</v>
      </c>
      <c r="E1" s="120"/>
    </row>
    <row r="2" spans="1:5" x14ac:dyDescent="0.25">
      <c r="A2" s="167" t="s">
        <v>3183</v>
      </c>
      <c r="B2" s="167"/>
      <c r="C2" s="167"/>
      <c r="D2" s="168"/>
      <c r="E2" s="169"/>
    </row>
    <row r="3" spans="1:5" ht="27.75" customHeight="1" x14ac:dyDescent="0.25">
      <c r="A3" s="67" t="s">
        <v>3199</v>
      </c>
      <c r="B3" s="67" t="s">
        <v>4</v>
      </c>
      <c r="C3" s="67" t="s">
        <v>2</v>
      </c>
      <c r="D3" s="67" t="s">
        <v>3546</v>
      </c>
      <c r="E3" s="67" t="s">
        <v>3559</v>
      </c>
    </row>
    <row r="4" spans="1:5" x14ac:dyDescent="0.25">
      <c r="A4" s="70"/>
      <c r="B4" s="75"/>
      <c r="C4" s="71"/>
      <c r="D4" s="70"/>
      <c r="E4" s="121"/>
    </row>
    <row r="5" spans="1:5" x14ac:dyDescent="0.25">
      <c r="A5" s="70"/>
      <c r="B5" s="75"/>
      <c r="C5" s="71"/>
      <c r="D5" s="70"/>
      <c r="E5" s="121"/>
    </row>
    <row r="6" spans="1:5" x14ac:dyDescent="0.25">
      <c r="A6" s="70"/>
      <c r="B6" s="75"/>
      <c r="C6" s="71"/>
      <c r="D6" s="70"/>
      <c r="E6" s="121"/>
    </row>
    <row r="7" spans="1:5" x14ac:dyDescent="0.25">
      <c r="A7" s="70"/>
      <c r="B7" s="75"/>
      <c r="C7" s="71"/>
      <c r="D7" s="70"/>
      <c r="E7" s="121"/>
    </row>
    <row r="8" spans="1:5" x14ac:dyDescent="0.25">
      <c r="A8" s="70"/>
      <c r="B8" s="75"/>
      <c r="C8" s="71"/>
      <c r="D8" s="70"/>
      <c r="E8" s="121"/>
    </row>
    <row r="9" spans="1:5" x14ac:dyDescent="0.25">
      <c r="A9" s="70"/>
      <c r="B9" s="75"/>
      <c r="C9" s="71"/>
      <c r="D9" s="70"/>
      <c r="E9" s="121"/>
    </row>
    <row r="10" spans="1:5" x14ac:dyDescent="0.25">
      <c r="A10" s="70"/>
      <c r="B10" s="75"/>
      <c r="C10" s="71"/>
      <c r="D10" s="70"/>
      <c r="E10" s="121"/>
    </row>
    <row r="11" spans="1:5" x14ac:dyDescent="0.25">
      <c r="A11" s="70"/>
      <c r="B11" s="75"/>
      <c r="C11" s="71"/>
      <c r="D11" s="70"/>
      <c r="E11" s="121"/>
    </row>
    <row r="12" spans="1:5" x14ac:dyDescent="0.25">
      <c r="A12" s="70"/>
      <c r="B12" s="75"/>
      <c r="C12" s="71"/>
      <c r="D12" s="70"/>
      <c r="E12" s="121"/>
    </row>
    <row r="13" spans="1:5" x14ac:dyDescent="0.25">
      <c r="A13" s="70"/>
      <c r="B13" s="75"/>
      <c r="C13" s="71"/>
      <c r="D13" s="70"/>
      <c r="E13" s="121"/>
    </row>
    <row r="14" spans="1:5" x14ac:dyDescent="0.25">
      <c r="A14" s="70"/>
      <c r="B14" s="75"/>
      <c r="C14" s="71"/>
      <c r="D14" s="70"/>
      <c r="E14" s="121"/>
    </row>
    <row r="15" spans="1:5" x14ac:dyDescent="0.25">
      <c r="A15" s="70"/>
      <c r="B15" s="75"/>
      <c r="C15" s="71"/>
      <c r="D15" s="70"/>
      <c r="E15" s="121"/>
    </row>
    <row r="16" spans="1:5" x14ac:dyDescent="0.25">
      <c r="A16" s="70"/>
      <c r="B16" s="75"/>
      <c r="C16" s="71"/>
      <c r="D16" s="70"/>
      <c r="E16" s="121"/>
    </row>
    <row r="17" spans="1:5" x14ac:dyDescent="0.25">
      <c r="A17" s="70"/>
      <c r="B17" s="75"/>
      <c r="C17" s="71"/>
      <c r="D17" s="70"/>
      <c r="E17" s="121"/>
    </row>
    <row r="18" spans="1:5" x14ac:dyDescent="0.25">
      <c r="A18" s="70"/>
      <c r="B18" s="75"/>
      <c r="C18" s="71"/>
      <c r="D18" s="70"/>
      <c r="E18" s="121"/>
    </row>
    <row r="19" spans="1:5" x14ac:dyDescent="0.25">
      <c r="A19" s="70"/>
      <c r="B19" s="75"/>
      <c r="C19" s="71"/>
      <c r="D19" s="70"/>
      <c r="E19" s="121"/>
    </row>
    <row r="20" spans="1:5" x14ac:dyDescent="0.25">
      <c r="A20" s="70"/>
      <c r="B20" s="75"/>
      <c r="C20" s="71"/>
      <c r="D20" s="70"/>
      <c r="E20" s="121"/>
    </row>
    <row r="21" spans="1:5" x14ac:dyDescent="0.25">
      <c r="A21" s="70"/>
      <c r="B21" s="75"/>
      <c r="C21" s="71"/>
      <c r="D21" s="70"/>
      <c r="E21" s="121"/>
    </row>
    <row r="22" spans="1:5" x14ac:dyDescent="0.25">
      <c r="A22" s="70"/>
      <c r="B22" s="75"/>
      <c r="C22" s="71"/>
      <c r="D22" s="70"/>
      <c r="E22" s="121"/>
    </row>
    <row r="23" spans="1:5" x14ac:dyDescent="0.25">
      <c r="A23" s="70"/>
      <c r="B23" s="75"/>
      <c r="C23" s="71"/>
      <c r="D23" s="70"/>
      <c r="E23" s="121"/>
    </row>
    <row r="24" spans="1:5" x14ac:dyDescent="0.25">
      <c r="A24" s="70"/>
      <c r="B24" s="75"/>
      <c r="C24" s="71"/>
      <c r="D24" s="70"/>
      <c r="E24" s="121"/>
    </row>
    <row r="25" spans="1:5" x14ac:dyDescent="0.25">
      <c r="A25" s="70"/>
      <c r="B25" s="75"/>
      <c r="C25" s="71"/>
      <c r="D25" s="70"/>
      <c r="E25" s="121"/>
    </row>
    <row r="26" spans="1:5" x14ac:dyDescent="0.25">
      <c r="A26" s="70"/>
      <c r="B26" s="122"/>
      <c r="C26" s="122"/>
      <c r="D26" s="70"/>
      <c r="E26" s="121"/>
    </row>
    <row r="27" spans="1:5" x14ac:dyDescent="0.25">
      <c r="A27" s="123"/>
      <c r="B27" s="122"/>
      <c r="C27" s="122"/>
      <c r="D27" s="121"/>
      <c r="E27" s="121"/>
    </row>
    <row r="28" spans="1:5" x14ac:dyDescent="0.25">
      <c r="A28" s="123"/>
      <c r="B28" s="122"/>
      <c r="C28" s="122"/>
      <c r="D28" s="121"/>
      <c r="E28" s="121"/>
    </row>
    <row r="29" spans="1:5" x14ac:dyDescent="0.25">
      <c r="A29" s="123"/>
      <c r="B29" s="122"/>
      <c r="C29" s="122"/>
      <c r="D29" s="121"/>
      <c r="E29" s="121"/>
    </row>
    <row r="30" spans="1:5" x14ac:dyDescent="0.25">
      <c r="A30" s="123"/>
      <c r="B30" s="122"/>
      <c r="C30" s="122"/>
      <c r="D30" s="121"/>
      <c r="E30" s="121"/>
    </row>
    <row r="31" spans="1:5" x14ac:dyDescent="0.25">
      <c r="A31" s="123"/>
      <c r="B31" s="122"/>
      <c r="C31" s="122"/>
      <c r="D31" s="121"/>
      <c r="E31" s="121"/>
    </row>
    <row r="32" spans="1:5" x14ac:dyDescent="0.25">
      <c r="A32" s="123"/>
      <c r="B32" s="122"/>
      <c r="C32" s="122"/>
      <c r="D32" s="121"/>
      <c r="E32" s="121"/>
    </row>
    <row r="33" spans="1:5" x14ac:dyDescent="0.25">
      <c r="A33" s="123"/>
      <c r="B33" s="122"/>
      <c r="C33" s="122"/>
      <c r="D33" s="121"/>
      <c r="E33" s="121"/>
    </row>
    <row r="34" spans="1:5" x14ac:dyDescent="0.25">
      <c r="A34" s="123"/>
      <c r="B34" s="122"/>
      <c r="C34" s="122"/>
      <c r="D34" s="121"/>
      <c r="E34" s="121"/>
    </row>
    <row r="35" spans="1:5" x14ac:dyDescent="0.25">
      <c r="A35" s="123"/>
      <c r="B35" s="122"/>
      <c r="C35" s="122"/>
      <c r="D35" s="121"/>
      <c r="E35" s="121"/>
    </row>
    <row r="36" spans="1:5" x14ac:dyDescent="0.25">
      <c r="A36" s="123"/>
      <c r="B36" s="122"/>
      <c r="C36" s="122"/>
      <c r="D36" s="121"/>
      <c r="E36" s="121"/>
    </row>
    <row r="37" spans="1:5" x14ac:dyDescent="0.25">
      <c r="A37" s="123"/>
      <c r="B37" s="122"/>
      <c r="C37" s="122"/>
      <c r="D37" s="121"/>
      <c r="E37" s="121"/>
    </row>
    <row r="38" spans="1:5" x14ac:dyDescent="0.25">
      <c r="A38" s="123"/>
      <c r="B38" s="122"/>
      <c r="C38" s="122"/>
      <c r="D38" s="121"/>
      <c r="E38" s="121"/>
    </row>
    <row r="39" spans="1:5" x14ac:dyDescent="0.25">
      <c r="A39" s="123"/>
      <c r="B39" s="122"/>
      <c r="C39" s="122"/>
      <c r="D39" s="121"/>
      <c r="E39" s="121"/>
    </row>
    <row r="40" spans="1:5" x14ac:dyDescent="0.25">
      <c r="A40" s="123"/>
      <c r="B40" s="122"/>
      <c r="C40" s="122"/>
      <c r="D40" s="121"/>
      <c r="E40" s="121"/>
    </row>
    <row r="41" spans="1:5" x14ac:dyDescent="0.25">
      <c r="A41" s="123"/>
      <c r="B41" s="122"/>
      <c r="C41" s="122"/>
      <c r="D41" s="121"/>
      <c r="E41" s="121"/>
    </row>
    <row r="42" spans="1:5" x14ac:dyDescent="0.25">
      <c r="A42" s="123"/>
      <c r="B42" s="122"/>
      <c r="C42" s="122"/>
      <c r="D42" s="121"/>
      <c r="E42" s="121"/>
    </row>
    <row r="43" spans="1:5" x14ac:dyDescent="0.25">
      <c r="A43" s="123"/>
      <c r="B43" s="122"/>
      <c r="C43" s="122"/>
      <c r="D43" s="121"/>
      <c r="E43" s="121"/>
    </row>
    <row r="44" spans="1:5" x14ac:dyDescent="0.25">
      <c r="A44" s="123"/>
      <c r="B44" s="122"/>
      <c r="C44" s="122"/>
      <c r="D44" s="121"/>
      <c r="E44" s="121"/>
    </row>
    <row r="45" spans="1:5" x14ac:dyDescent="0.25">
      <c r="A45" s="123"/>
      <c r="B45" s="122"/>
      <c r="C45" s="122"/>
      <c r="D45" s="121"/>
      <c r="E45" s="121"/>
    </row>
    <row r="46" spans="1:5" x14ac:dyDescent="0.25">
      <c r="A46" s="123"/>
      <c r="B46" s="122"/>
      <c r="C46" s="122"/>
      <c r="D46" s="121"/>
      <c r="E46" s="121"/>
    </row>
    <row r="47" spans="1:5" x14ac:dyDescent="0.25">
      <c r="A47" s="123"/>
      <c r="B47" s="122"/>
      <c r="C47" s="122"/>
      <c r="D47" s="121"/>
      <c r="E47" s="121"/>
    </row>
    <row r="48" spans="1:5" x14ac:dyDescent="0.25">
      <c r="A48" s="123"/>
      <c r="B48" s="122"/>
      <c r="C48" s="122"/>
      <c r="D48" s="121"/>
      <c r="E48" s="121"/>
    </row>
    <row r="49" spans="1:5" x14ac:dyDescent="0.25">
      <c r="A49" s="123"/>
      <c r="B49" s="122"/>
      <c r="C49" s="122"/>
      <c r="D49" s="121"/>
      <c r="E49" s="121"/>
    </row>
    <row r="50" spans="1:5" x14ac:dyDescent="0.25">
      <c r="A50" s="123"/>
      <c r="B50" s="122"/>
      <c r="C50" s="122"/>
      <c r="D50" s="121"/>
      <c r="E50" s="121"/>
    </row>
    <row r="51" spans="1:5" x14ac:dyDescent="0.25">
      <c r="A51" s="123"/>
      <c r="B51" s="122"/>
      <c r="C51" s="122"/>
      <c r="D51" s="121"/>
      <c r="E51" s="121"/>
    </row>
    <row r="52" spans="1:5" x14ac:dyDescent="0.25">
      <c r="A52" s="123"/>
      <c r="B52" s="122"/>
      <c r="C52" s="122"/>
      <c r="D52" s="121"/>
      <c r="E52" s="121"/>
    </row>
    <row r="53" spans="1:5" x14ac:dyDescent="0.25">
      <c r="A53" s="123"/>
      <c r="B53" s="122"/>
      <c r="C53" s="122"/>
      <c r="D53" s="121"/>
      <c r="E53" s="121"/>
    </row>
    <row r="54" spans="1:5" x14ac:dyDescent="0.25">
      <c r="A54" s="123"/>
      <c r="B54" s="122"/>
      <c r="C54" s="122"/>
      <c r="D54" s="121"/>
      <c r="E54" s="121"/>
    </row>
    <row r="55" spans="1:5" x14ac:dyDescent="0.25">
      <c r="A55" s="123"/>
      <c r="B55" s="122"/>
      <c r="C55" s="122"/>
      <c r="D55" s="121"/>
      <c r="E55" s="121"/>
    </row>
    <row r="56" spans="1:5" x14ac:dyDescent="0.25">
      <c r="A56" s="123"/>
      <c r="B56" s="122"/>
      <c r="C56" s="122"/>
      <c r="D56" s="121"/>
      <c r="E56" s="121"/>
    </row>
    <row r="57" spans="1:5" x14ac:dyDescent="0.25">
      <c r="A57" s="123"/>
      <c r="B57" s="122"/>
      <c r="C57" s="122"/>
      <c r="D57" s="121"/>
      <c r="E57" s="121"/>
    </row>
    <row r="58" spans="1:5" x14ac:dyDescent="0.25">
      <c r="A58" s="123"/>
      <c r="B58" s="122"/>
      <c r="C58" s="122"/>
      <c r="D58" s="121"/>
      <c r="E58" s="121"/>
    </row>
    <row r="59" spans="1:5" x14ac:dyDescent="0.25">
      <c r="A59" s="123"/>
      <c r="B59" s="122"/>
      <c r="C59" s="122"/>
      <c r="D59" s="121"/>
      <c r="E59" s="121"/>
    </row>
    <row r="60" spans="1:5" x14ac:dyDescent="0.25">
      <c r="A60" s="123"/>
      <c r="B60" s="122"/>
      <c r="C60" s="122"/>
      <c r="D60" s="121"/>
      <c r="E60" s="121"/>
    </row>
    <row r="61" spans="1:5" x14ac:dyDescent="0.25">
      <c r="A61" s="123"/>
      <c r="B61" s="122"/>
      <c r="C61" s="122"/>
      <c r="D61" s="121"/>
      <c r="E61" s="121"/>
    </row>
    <row r="62" spans="1:5" x14ac:dyDescent="0.25">
      <c r="A62" s="123"/>
      <c r="B62" s="122"/>
      <c r="C62" s="122"/>
      <c r="D62" s="121"/>
      <c r="E62" s="121"/>
    </row>
    <row r="63" spans="1:5" x14ac:dyDescent="0.25">
      <c r="A63" s="123"/>
      <c r="B63" s="122"/>
      <c r="C63" s="122"/>
      <c r="D63" s="121"/>
      <c r="E63" s="121"/>
    </row>
    <row r="64" spans="1:5" x14ac:dyDescent="0.25">
      <c r="A64" s="123"/>
      <c r="B64" s="122"/>
      <c r="C64" s="122"/>
      <c r="D64" s="121"/>
      <c r="E64" s="121"/>
    </row>
    <row r="65" spans="1:5" x14ac:dyDescent="0.25">
      <c r="A65" s="123"/>
      <c r="B65" s="122"/>
      <c r="C65" s="122"/>
      <c r="D65" s="121"/>
      <c r="E65" s="121"/>
    </row>
    <row r="66" spans="1:5" x14ac:dyDescent="0.25">
      <c r="A66" s="123"/>
      <c r="B66" s="122"/>
      <c r="C66" s="122"/>
      <c r="D66" s="121"/>
      <c r="E66" s="121"/>
    </row>
  </sheetData>
  <mergeCells count="2">
    <mergeCell ref="A2:C2"/>
    <mergeCell ref="D2:E2"/>
  </mergeCells>
  <conditionalFormatting sqref="E3">
    <cfRule type="cellIs" dxfId="245" priority="1" operator="equal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A4AB9-776B-43D8-91DC-A45FB2F4D6DF}">
  <sheetPr codeName="Sheet11">
    <tabColor rgb="FF00B0F0"/>
  </sheetPr>
  <dimension ref="A1:H296"/>
  <sheetViews>
    <sheetView showGridLines="0" zoomScale="205" zoomScaleNormal="205" zoomScaleSheetLayoutView="160" workbookViewId="0">
      <pane xSplit="2" ySplit="1" topLeftCell="C205" activePane="bottomRight" state="frozen"/>
      <selection pane="topRight" activeCell="C1" sqref="C1"/>
      <selection pane="bottomLeft" activeCell="A2" sqref="A2"/>
      <selection pane="bottomRight" activeCell="B206" sqref="B206:C207"/>
    </sheetView>
  </sheetViews>
  <sheetFormatPr defaultRowHeight="15" outlineLevelCol="1" x14ac:dyDescent="0.25"/>
  <cols>
    <col min="1" max="1" width="4" style="56" bestFit="1" customWidth="1"/>
    <col min="2" max="2" width="11.5703125" style="69" bestFit="1" customWidth="1"/>
    <col min="3" max="3" width="21.5703125" style="66" customWidth="1"/>
    <col min="4" max="4" width="10.42578125" style="60" bestFit="1" customWidth="1"/>
    <col min="5" max="5" width="19.28515625" style="66" customWidth="1"/>
    <col min="6" max="6" width="13.5703125" bestFit="1" customWidth="1"/>
    <col min="7" max="7" width="0" hidden="1" customWidth="1" outlineLevel="1"/>
    <col min="8" max="8" width="9.140625" collapsed="1"/>
  </cols>
  <sheetData>
    <row r="1" spans="1:7" x14ac:dyDescent="0.25">
      <c r="A1" s="57" t="s">
        <v>3199</v>
      </c>
      <c r="B1" s="57" t="s">
        <v>3262</v>
      </c>
      <c r="C1" s="57" t="s">
        <v>3261</v>
      </c>
      <c r="D1" s="58" t="s">
        <v>3266</v>
      </c>
      <c r="E1" s="57" t="s">
        <v>3269</v>
      </c>
      <c r="G1" s="12" t="s">
        <v>3266</v>
      </c>
    </row>
    <row r="2" spans="1:7" hidden="1" x14ac:dyDescent="0.25">
      <c r="A2" s="59">
        <f>IF(ISBLANK($C2),"",ROW()-1)</f>
        <v>1</v>
      </c>
      <c r="B2" s="68" t="s">
        <v>3270</v>
      </c>
      <c r="C2" s="65" t="s">
        <v>3263</v>
      </c>
      <c r="D2" s="59" t="s">
        <v>3268</v>
      </c>
      <c r="E2" s="55"/>
      <c r="G2" t="s">
        <v>3267</v>
      </c>
    </row>
    <row r="3" spans="1:7" hidden="1" x14ac:dyDescent="0.25">
      <c r="A3" s="59">
        <f t="shared" ref="A3:A66" si="0">IF(ISBLANK($C3),"",ROW()-1)</f>
        <v>2</v>
      </c>
      <c r="B3" s="68" t="s">
        <v>3265</v>
      </c>
      <c r="C3" s="65" t="s">
        <v>3264</v>
      </c>
      <c r="D3" s="59" t="s">
        <v>3268</v>
      </c>
      <c r="E3" s="55"/>
      <c r="G3" t="s">
        <v>3268</v>
      </c>
    </row>
    <row r="4" spans="1:7" hidden="1" x14ac:dyDescent="0.25">
      <c r="A4" s="59">
        <f t="shared" si="0"/>
        <v>3</v>
      </c>
      <c r="B4" s="68" t="s">
        <v>3265</v>
      </c>
      <c r="C4" s="65" t="s">
        <v>3271</v>
      </c>
      <c r="D4" s="59" t="s">
        <v>3268</v>
      </c>
      <c r="E4" s="55"/>
    </row>
    <row r="5" spans="1:7" hidden="1" x14ac:dyDescent="0.25">
      <c r="A5" s="59">
        <f t="shared" si="0"/>
        <v>4</v>
      </c>
      <c r="B5" s="68" t="s">
        <v>3272</v>
      </c>
      <c r="C5" s="65" t="s">
        <v>3273</v>
      </c>
      <c r="D5" s="59" t="s">
        <v>3268</v>
      </c>
      <c r="E5" s="55"/>
    </row>
    <row r="6" spans="1:7" hidden="1" x14ac:dyDescent="0.25">
      <c r="A6" s="59">
        <f t="shared" si="0"/>
        <v>5</v>
      </c>
      <c r="B6" s="68" t="s">
        <v>3276</v>
      </c>
      <c r="C6" s="65" t="s">
        <v>3274</v>
      </c>
      <c r="D6" s="59" t="s">
        <v>3268</v>
      </c>
      <c r="E6" s="55"/>
    </row>
    <row r="7" spans="1:7" hidden="1" x14ac:dyDescent="0.25">
      <c r="A7" s="59">
        <f t="shared" si="0"/>
        <v>6</v>
      </c>
      <c r="B7" s="68" t="s">
        <v>3276</v>
      </c>
      <c r="C7" s="65" t="s">
        <v>3275</v>
      </c>
      <c r="D7" s="59" t="s">
        <v>3268</v>
      </c>
      <c r="E7" s="55"/>
    </row>
    <row r="8" spans="1:7" hidden="1" x14ac:dyDescent="0.25">
      <c r="A8" s="59">
        <f t="shared" si="0"/>
        <v>7</v>
      </c>
      <c r="B8" s="68" t="s">
        <v>3277</v>
      </c>
      <c r="C8" s="65" t="s">
        <v>3278</v>
      </c>
      <c r="D8" s="59" t="s">
        <v>3268</v>
      </c>
      <c r="E8" s="55"/>
    </row>
    <row r="9" spans="1:7" hidden="1" x14ac:dyDescent="0.25">
      <c r="A9" s="59">
        <f t="shared" si="0"/>
        <v>8</v>
      </c>
      <c r="B9" s="68" t="s">
        <v>3277</v>
      </c>
      <c r="C9" s="65" t="s">
        <v>3279</v>
      </c>
      <c r="D9" s="59" t="s">
        <v>3268</v>
      </c>
      <c r="E9" s="55"/>
    </row>
    <row r="10" spans="1:7" hidden="1" x14ac:dyDescent="0.25">
      <c r="A10" s="59">
        <f t="shared" si="0"/>
        <v>9</v>
      </c>
      <c r="B10" s="68" t="s">
        <v>3277</v>
      </c>
      <c r="C10" s="65" t="s">
        <v>3280</v>
      </c>
      <c r="D10" s="59" t="s">
        <v>3268</v>
      </c>
      <c r="E10" s="55"/>
    </row>
    <row r="11" spans="1:7" hidden="1" x14ac:dyDescent="0.25">
      <c r="A11" s="59">
        <f t="shared" si="0"/>
        <v>10</v>
      </c>
      <c r="B11" s="68" t="s">
        <v>3281</v>
      </c>
      <c r="C11" s="65" t="s">
        <v>3282</v>
      </c>
      <c r="D11" s="59" t="s">
        <v>3268</v>
      </c>
      <c r="E11" s="55"/>
    </row>
    <row r="12" spans="1:7" hidden="1" x14ac:dyDescent="0.25">
      <c r="A12" s="59">
        <f t="shared" si="0"/>
        <v>11</v>
      </c>
      <c r="B12" s="68" t="s">
        <v>3281</v>
      </c>
      <c r="C12" s="65" t="s">
        <v>3283</v>
      </c>
      <c r="D12" s="59" t="s">
        <v>3268</v>
      </c>
      <c r="E12" s="55"/>
    </row>
    <row r="13" spans="1:7" hidden="1" x14ac:dyDescent="0.25">
      <c r="A13" s="59">
        <f t="shared" si="0"/>
        <v>12</v>
      </c>
      <c r="B13" s="68" t="s">
        <v>3281</v>
      </c>
      <c r="C13" s="65" t="s">
        <v>3284</v>
      </c>
      <c r="D13" s="59" t="s">
        <v>3268</v>
      </c>
      <c r="E13" s="55"/>
    </row>
    <row r="14" spans="1:7" hidden="1" x14ac:dyDescent="0.25">
      <c r="A14" s="59">
        <f t="shared" si="0"/>
        <v>13</v>
      </c>
      <c r="B14" s="68" t="s">
        <v>3285</v>
      </c>
      <c r="C14" s="65" t="s">
        <v>3289</v>
      </c>
      <c r="D14" s="59" t="s">
        <v>3268</v>
      </c>
      <c r="E14" s="55"/>
    </row>
    <row r="15" spans="1:7" hidden="1" x14ac:dyDescent="0.25">
      <c r="A15" s="59">
        <f t="shared" si="0"/>
        <v>14</v>
      </c>
      <c r="B15" s="68" t="s">
        <v>3285</v>
      </c>
      <c r="C15" s="65" t="s">
        <v>3286</v>
      </c>
      <c r="D15" s="59" t="s">
        <v>3268</v>
      </c>
      <c r="E15" s="65"/>
    </row>
    <row r="16" spans="1:7" hidden="1" x14ac:dyDescent="0.25">
      <c r="A16" s="59">
        <f t="shared" si="0"/>
        <v>15</v>
      </c>
      <c r="B16" s="68" t="s">
        <v>3285</v>
      </c>
      <c r="C16" s="65" t="s">
        <v>3287</v>
      </c>
      <c r="D16" s="59" t="s">
        <v>3268</v>
      </c>
      <c r="E16" s="65"/>
    </row>
    <row r="17" spans="1:5" hidden="1" x14ac:dyDescent="0.25">
      <c r="A17" s="59">
        <f t="shared" si="0"/>
        <v>16</v>
      </c>
      <c r="B17" s="68" t="s">
        <v>3288</v>
      </c>
      <c r="C17" s="65" t="s">
        <v>3302</v>
      </c>
      <c r="D17" s="59" t="s">
        <v>3268</v>
      </c>
      <c r="E17" s="55"/>
    </row>
    <row r="18" spans="1:5" hidden="1" x14ac:dyDescent="0.25">
      <c r="A18" s="59">
        <f t="shared" si="0"/>
        <v>17</v>
      </c>
      <c r="B18" s="68" t="s">
        <v>3288</v>
      </c>
      <c r="C18" s="65" t="s">
        <v>3290</v>
      </c>
      <c r="D18" s="59" t="s">
        <v>3268</v>
      </c>
      <c r="E18" s="55"/>
    </row>
    <row r="19" spans="1:5" hidden="1" x14ac:dyDescent="0.25">
      <c r="A19" s="59">
        <f t="shared" si="0"/>
        <v>18</v>
      </c>
      <c r="B19" s="68" t="s">
        <v>3288</v>
      </c>
      <c r="C19" s="65" t="s">
        <v>3291</v>
      </c>
      <c r="D19" s="59" t="s">
        <v>3268</v>
      </c>
      <c r="E19" s="55"/>
    </row>
    <row r="20" spans="1:5" hidden="1" x14ac:dyDescent="0.25">
      <c r="A20" s="59">
        <f t="shared" si="0"/>
        <v>19</v>
      </c>
      <c r="B20" s="68" t="s">
        <v>3299</v>
      </c>
      <c r="C20" s="65" t="s">
        <v>3292</v>
      </c>
      <c r="D20" s="59" t="s">
        <v>3268</v>
      </c>
      <c r="E20" s="55"/>
    </row>
    <row r="21" spans="1:5" hidden="1" x14ac:dyDescent="0.25">
      <c r="A21" s="59">
        <f t="shared" si="0"/>
        <v>20</v>
      </c>
      <c r="B21" s="68" t="s">
        <v>3299</v>
      </c>
      <c r="C21" s="65" t="s">
        <v>3300</v>
      </c>
      <c r="D21" s="59" t="s">
        <v>3268</v>
      </c>
      <c r="E21" s="55"/>
    </row>
    <row r="22" spans="1:5" hidden="1" x14ac:dyDescent="0.25">
      <c r="A22" s="59">
        <f t="shared" si="0"/>
        <v>21</v>
      </c>
      <c r="B22" s="68" t="s">
        <v>3299</v>
      </c>
      <c r="C22" s="65" t="s">
        <v>3303</v>
      </c>
      <c r="D22" s="59" t="s">
        <v>3268</v>
      </c>
      <c r="E22" s="55"/>
    </row>
    <row r="23" spans="1:5" hidden="1" x14ac:dyDescent="0.25">
      <c r="A23" s="59">
        <f t="shared" si="0"/>
        <v>22</v>
      </c>
      <c r="B23" s="68" t="s">
        <v>3299</v>
      </c>
      <c r="C23" s="65" t="s">
        <v>3304</v>
      </c>
      <c r="D23" s="59" t="s">
        <v>3268</v>
      </c>
      <c r="E23" s="55"/>
    </row>
    <row r="24" spans="1:5" hidden="1" x14ac:dyDescent="0.25">
      <c r="A24" s="59">
        <f t="shared" si="0"/>
        <v>23</v>
      </c>
      <c r="B24" s="68" t="s">
        <v>3299</v>
      </c>
      <c r="C24" s="65" t="s">
        <v>3305</v>
      </c>
      <c r="D24" s="59" t="s">
        <v>3268</v>
      </c>
      <c r="E24" s="55"/>
    </row>
    <row r="25" spans="1:5" hidden="1" x14ac:dyDescent="0.25">
      <c r="A25" s="59">
        <f t="shared" si="0"/>
        <v>24</v>
      </c>
      <c r="B25" s="68" t="s">
        <v>3306</v>
      </c>
      <c r="C25" s="65" t="s">
        <v>3307</v>
      </c>
      <c r="D25" s="59" t="s">
        <v>3268</v>
      </c>
      <c r="E25" s="55"/>
    </row>
    <row r="26" spans="1:5" hidden="1" x14ac:dyDescent="0.25">
      <c r="A26" s="59">
        <f t="shared" si="0"/>
        <v>25</v>
      </c>
      <c r="B26" s="68" t="s">
        <v>3306</v>
      </c>
      <c r="C26" s="65" t="s">
        <v>3308</v>
      </c>
      <c r="D26" s="59" t="s">
        <v>3268</v>
      </c>
      <c r="E26" s="55"/>
    </row>
    <row r="27" spans="1:5" hidden="1" x14ac:dyDescent="0.25">
      <c r="A27" s="59">
        <f t="shared" si="0"/>
        <v>26</v>
      </c>
      <c r="B27" s="68" t="s">
        <v>3306</v>
      </c>
      <c r="C27" s="65" t="s">
        <v>3309</v>
      </c>
      <c r="D27" s="59" t="s">
        <v>3268</v>
      </c>
      <c r="E27" s="55"/>
    </row>
    <row r="28" spans="1:5" hidden="1" x14ac:dyDescent="0.25">
      <c r="A28" s="59">
        <f t="shared" si="0"/>
        <v>27</v>
      </c>
      <c r="B28" s="68" t="s">
        <v>3311</v>
      </c>
      <c r="C28" s="65" t="s">
        <v>3310</v>
      </c>
      <c r="D28" s="59" t="s">
        <v>3268</v>
      </c>
      <c r="E28" s="55"/>
    </row>
    <row r="29" spans="1:5" hidden="1" x14ac:dyDescent="0.25">
      <c r="A29" s="59">
        <f t="shared" si="0"/>
        <v>28</v>
      </c>
      <c r="B29" s="68" t="s">
        <v>3313</v>
      </c>
      <c r="C29" s="65" t="s">
        <v>3312</v>
      </c>
      <c r="D29" s="59" t="s">
        <v>3268</v>
      </c>
      <c r="E29" s="55"/>
    </row>
    <row r="30" spans="1:5" hidden="1" x14ac:dyDescent="0.25">
      <c r="A30" s="59">
        <f t="shared" si="0"/>
        <v>29</v>
      </c>
      <c r="B30" s="68" t="s">
        <v>3314</v>
      </c>
      <c r="C30" s="65" t="s">
        <v>3315</v>
      </c>
      <c r="D30" s="59" t="s">
        <v>3268</v>
      </c>
      <c r="E30" s="55"/>
    </row>
    <row r="31" spans="1:5" hidden="1" x14ac:dyDescent="0.25">
      <c r="A31" s="59">
        <f t="shared" si="0"/>
        <v>30</v>
      </c>
      <c r="B31" s="68" t="s">
        <v>3314</v>
      </c>
      <c r="C31" s="65" t="s">
        <v>3316</v>
      </c>
      <c r="D31" s="59" t="s">
        <v>3268</v>
      </c>
      <c r="E31" s="55"/>
    </row>
    <row r="32" spans="1:5" hidden="1" x14ac:dyDescent="0.25">
      <c r="A32" s="59">
        <f t="shared" si="0"/>
        <v>31</v>
      </c>
      <c r="B32" s="68" t="s">
        <v>3314</v>
      </c>
      <c r="C32" s="65" t="s">
        <v>3290</v>
      </c>
      <c r="D32" s="59" t="s">
        <v>3268</v>
      </c>
      <c r="E32" s="55"/>
    </row>
    <row r="33" spans="1:5" hidden="1" x14ac:dyDescent="0.25">
      <c r="A33" s="59">
        <f t="shared" si="0"/>
        <v>32</v>
      </c>
      <c r="B33" s="68" t="s">
        <v>3318</v>
      </c>
      <c r="C33" s="65" t="s">
        <v>3317</v>
      </c>
      <c r="D33" s="59" t="s">
        <v>3268</v>
      </c>
      <c r="E33" s="55"/>
    </row>
    <row r="34" spans="1:5" hidden="1" x14ac:dyDescent="0.25">
      <c r="A34" s="59">
        <f t="shared" si="0"/>
        <v>33</v>
      </c>
      <c r="B34" s="68" t="s">
        <v>3318</v>
      </c>
      <c r="C34" s="65" t="s">
        <v>3317</v>
      </c>
      <c r="D34" s="59" t="s">
        <v>3268</v>
      </c>
      <c r="E34" s="55"/>
    </row>
    <row r="35" spans="1:5" hidden="1" x14ac:dyDescent="0.25">
      <c r="A35" s="59">
        <f t="shared" si="0"/>
        <v>34</v>
      </c>
      <c r="B35" s="68" t="s">
        <v>3318</v>
      </c>
      <c r="C35" s="65" t="s">
        <v>3319</v>
      </c>
      <c r="D35" s="59" t="s">
        <v>3268</v>
      </c>
      <c r="E35" s="55"/>
    </row>
    <row r="36" spans="1:5" hidden="1" x14ac:dyDescent="0.25">
      <c r="A36" s="59">
        <f t="shared" si="0"/>
        <v>35</v>
      </c>
      <c r="B36" s="68" t="s">
        <v>3320</v>
      </c>
      <c r="C36" s="65" t="s">
        <v>3321</v>
      </c>
      <c r="D36" s="59" t="s">
        <v>3268</v>
      </c>
      <c r="E36" s="55"/>
    </row>
    <row r="37" spans="1:5" hidden="1" x14ac:dyDescent="0.25">
      <c r="A37" s="59">
        <f t="shared" si="0"/>
        <v>36</v>
      </c>
      <c r="B37" s="68" t="s">
        <v>3320</v>
      </c>
      <c r="C37" s="65" t="s">
        <v>3322</v>
      </c>
      <c r="D37" s="59" t="s">
        <v>3268</v>
      </c>
      <c r="E37" s="55"/>
    </row>
    <row r="38" spans="1:5" hidden="1" x14ac:dyDescent="0.25">
      <c r="A38" s="59">
        <f t="shared" si="0"/>
        <v>37</v>
      </c>
      <c r="B38" s="68" t="s">
        <v>3320</v>
      </c>
      <c r="C38" s="65" t="s">
        <v>3323</v>
      </c>
      <c r="D38" s="59" t="s">
        <v>3268</v>
      </c>
      <c r="E38" s="55"/>
    </row>
    <row r="39" spans="1:5" hidden="1" x14ac:dyDescent="0.25">
      <c r="A39" s="59">
        <f t="shared" si="0"/>
        <v>38</v>
      </c>
      <c r="B39" s="68" t="s">
        <v>3324</v>
      </c>
      <c r="C39" s="65" t="s">
        <v>3325</v>
      </c>
      <c r="D39" s="59" t="s">
        <v>3268</v>
      </c>
      <c r="E39" s="55"/>
    </row>
    <row r="40" spans="1:5" hidden="1" x14ac:dyDescent="0.25">
      <c r="A40" s="59">
        <f t="shared" si="0"/>
        <v>39</v>
      </c>
      <c r="B40" s="68" t="s">
        <v>3324</v>
      </c>
      <c r="C40" s="65" t="s">
        <v>3326</v>
      </c>
      <c r="D40" s="59" t="s">
        <v>3268</v>
      </c>
      <c r="E40" s="55"/>
    </row>
    <row r="41" spans="1:5" hidden="1" x14ac:dyDescent="0.25">
      <c r="A41" s="59">
        <f t="shared" si="0"/>
        <v>40</v>
      </c>
      <c r="B41" s="68" t="s">
        <v>3329</v>
      </c>
      <c r="C41" s="65" t="s">
        <v>3330</v>
      </c>
      <c r="D41" s="59" t="s">
        <v>3268</v>
      </c>
      <c r="E41" s="55"/>
    </row>
    <row r="42" spans="1:5" hidden="1" x14ac:dyDescent="0.25">
      <c r="A42" s="59">
        <f t="shared" si="0"/>
        <v>41</v>
      </c>
      <c r="B42" s="68" t="s">
        <v>3329</v>
      </c>
      <c r="C42" s="65" t="s">
        <v>3334</v>
      </c>
      <c r="D42" s="59" t="s">
        <v>3268</v>
      </c>
      <c r="E42" s="55"/>
    </row>
    <row r="43" spans="1:5" hidden="1" x14ac:dyDescent="0.25">
      <c r="A43" s="59">
        <f t="shared" si="0"/>
        <v>42</v>
      </c>
      <c r="B43" s="68" t="s">
        <v>3329</v>
      </c>
      <c r="C43" s="65" t="s">
        <v>3338</v>
      </c>
      <c r="D43" s="59" t="s">
        <v>3268</v>
      </c>
      <c r="E43" s="55"/>
    </row>
    <row r="44" spans="1:5" hidden="1" x14ac:dyDescent="0.25">
      <c r="A44" s="59">
        <f t="shared" si="0"/>
        <v>43</v>
      </c>
      <c r="B44" s="68" t="s">
        <v>3337</v>
      </c>
      <c r="C44" s="65" t="s">
        <v>3339</v>
      </c>
      <c r="D44" s="59" t="s">
        <v>3268</v>
      </c>
      <c r="E44" s="55"/>
    </row>
    <row r="45" spans="1:5" hidden="1" x14ac:dyDescent="0.25">
      <c r="A45" s="59">
        <f t="shared" si="0"/>
        <v>44</v>
      </c>
      <c r="B45" s="68" t="s">
        <v>3337</v>
      </c>
      <c r="C45" s="65" t="s">
        <v>3340</v>
      </c>
      <c r="D45" s="59" t="s">
        <v>3268</v>
      </c>
      <c r="E45" s="55"/>
    </row>
    <row r="46" spans="1:5" hidden="1" x14ac:dyDescent="0.25">
      <c r="A46" s="59">
        <f t="shared" si="0"/>
        <v>45</v>
      </c>
      <c r="B46" s="68" t="s">
        <v>3341</v>
      </c>
      <c r="C46" s="65" t="s">
        <v>3342</v>
      </c>
      <c r="D46" s="59" t="s">
        <v>3268</v>
      </c>
      <c r="E46" s="55"/>
    </row>
    <row r="47" spans="1:5" hidden="1" x14ac:dyDescent="0.25">
      <c r="A47" s="59">
        <f t="shared" si="0"/>
        <v>46</v>
      </c>
      <c r="B47" s="68" t="s">
        <v>3341</v>
      </c>
      <c r="C47" s="65" t="s">
        <v>3343</v>
      </c>
      <c r="D47" s="59" t="s">
        <v>3268</v>
      </c>
      <c r="E47" s="55"/>
    </row>
    <row r="48" spans="1:5" hidden="1" x14ac:dyDescent="0.25">
      <c r="A48" s="59">
        <f t="shared" si="0"/>
        <v>47</v>
      </c>
      <c r="B48" s="68" t="s">
        <v>3341</v>
      </c>
      <c r="C48" s="65" t="s">
        <v>3290</v>
      </c>
      <c r="D48" s="59" t="s">
        <v>3268</v>
      </c>
      <c r="E48" s="55"/>
    </row>
    <row r="49" spans="1:5" hidden="1" x14ac:dyDescent="0.25">
      <c r="A49" s="59">
        <f t="shared" si="0"/>
        <v>48</v>
      </c>
      <c r="B49" s="68" t="s">
        <v>3341</v>
      </c>
      <c r="C49" s="65" t="s">
        <v>3347</v>
      </c>
      <c r="D49" s="59" t="s">
        <v>3268</v>
      </c>
      <c r="E49" s="55"/>
    </row>
    <row r="50" spans="1:5" hidden="1" x14ac:dyDescent="0.25">
      <c r="A50" s="59">
        <f t="shared" si="0"/>
        <v>49</v>
      </c>
      <c r="B50" s="68" t="s">
        <v>3341</v>
      </c>
      <c r="C50" s="65" t="s">
        <v>3348</v>
      </c>
      <c r="D50" s="59" t="s">
        <v>3268</v>
      </c>
      <c r="E50" s="55"/>
    </row>
    <row r="51" spans="1:5" hidden="1" x14ac:dyDescent="0.25">
      <c r="A51" s="59">
        <f t="shared" si="0"/>
        <v>50</v>
      </c>
      <c r="B51" s="68" t="s">
        <v>3341</v>
      </c>
      <c r="C51" s="65" t="s">
        <v>3349</v>
      </c>
      <c r="D51" s="59" t="s">
        <v>3268</v>
      </c>
      <c r="E51" s="55"/>
    </row>
    <row r="52" spans="1:5" hidden="1" x14ac:dyDescent="0.25">
      <c r="A52" s="59">
        <f t="shared" si="0"/>
        <v>51</v>
      </c>
      <c r="B52" s="68" t="s">
        <v>3350</v>
      </c>
      <c r="C52" s="65" t="s">
        <v>3351</v>
      </c>
      <c r="D52" s="59" t="s">
        <v>3268</v>
      </c>
      <c r="E52" s="55"/>
    </row>
    <row r="53" spans="1:5" hidden="1" x14ac:dyDescent="0.25">
      <c r="A53" s="59">
        <f t="shared" si="0"/>
        <v>52</v>
      </c>
      <c r="B53" s="68" t="s">
        <v>3350</v>
      </c>
      <c r="C53" s="65" t="s">
        <v>3353</v>
      </c>
      <c r="D53" s="59" t="s">
        <v>3268</v>
      </c>
      <c r="E53" s="55"/>
    </row>
    <row r="54" spans="1:5" hidden="1" x14ac:dyDescent="0.25">
      <c r="A54" s="59">
        <f t="shared" si="0"/>
        <v>53</v>
      </c>
      <c r="B54" s="68" t="s">
        <v>3352</v>
      </c>
      <c r="C54" s="65" t="s">
        <v>3354</v>
      </c>
      <c r="D54" s="59" t="s">
        <v>3268</v>
      </c>
      <c r="E54" s="55"/>
    </row>
    <row r="55" spans="1:5" hidden="1" x14ac:dyDescent="0.25">
      <c r="A55" s="59">
        <f t="shared" si="0"/>
        <v>54</v>
      </c>
      <c r="B55" s="68" t="s">
        <v>3352</v>
      </c>
      <c r="C55" s="65" t="s">
        <v>3355</v>
      </c>
      <c r="D55" s="59" t="s">
        <v>3268</v>
      </c>
      <c r="E55" s="55"/>
    </row>
    <row r="56" spans="1:5" hidden="1" x14ac:dyDescent="0.25">
      <c r="A56" s="59">
        <f t="shared" si="0"/>
        <v>55</v>
      </c>
      <c r="B56" s="68" t="s">
        <v>3352</v>
      </c>
      <c r="C56" s="65" t="s">
        <v>3356</v>
      </c>
      <c r="D56" s="59" t="s">
        <v>3268</v>
      </c>
      <c r="E56" s="55"/>
    </row>
    <row r="57" spans="1:5" hidden="1" x14ac:dyDescent="0.25">
      <c r="A57" s="59">
        <f t="shared" si="0"/>
        <v>56</v>
      </c>
      <c r="B57" s="68" t="s">
        <v>3357</v>
      </c>
      <c r="C57" s="65" t="s">
        <v>3358</v>
      </c>
      <c r="D57" s="59" t="s">
        <v>3268</v>
      </c>
      <c r="E57" s="55"/>
    </row>
    <row r="58" spans="1:5" hidden="1" x14ac:dyDescent="0.25">
      <c r="A58" s="59">
        <f t="shared" si="0"/>
        <v>57</v>
      </c>
      <c r="B58" s="68" t="s">
        <v>3357</v>
      </c>
      <c r="C58" s="65" t="s">
        <v>3359</v>
      </c>
      <c r="D58" s="59" t="s">
        <v>3268</v>
      </c>
      <c r="E58" s="55"/>
    </row>
    <row r="59" spans="1:5" hidden="1" x14ac:dyDescent="0.25">
      <c r="A59" s="59">
        <f t="shared" si="0"/>
        <v>58</v>
      </c>
      <c r="B59" s="68" t="s">
        <v>3361</v>
      </c>
      <c r="C59" s="65" t="s">
        <v>3360</v>
      </c>
      <c r="D59" s="59" t="s">
        <v>3268</v>
      </c>
      <c r="E59" s="55"/>
    </row>
    <row r="60" spans="1:5" hidden="1" x14ac:dyDescent="0.25">
      <c r="A60" s="59">
        <f t="shared" si="0"/>
        <v>59</v>
      </c>
      <c r="B60" s="68" t="s">
        <v>3361</v>
      </c>
      <c r="C60" s="65" t="s">
        <v>3363</v>
      </c>
      <c r="D60" s="59" t="s">
        <v>3268</v>
      </c>
      <c r="E60" s="55"/>
    </row>
    <row r="61" spans="1:5" hidden="1" x14ac:dyDescent="0.25">
      <c r="A61" s="59">
        <f t="shared" si="0"/>
        <v>60</v>
      </c>
      <c r="B61" s="68" t="s">
        <v>3362</v>
      </c>
      <c r="C61" s="65" t="s">
        <v>3364</v>
      </c>
      <c r="D61" s="59" t="s">
        <v>3268</v>
      </c>
      <c r="E61" s="55"/>
    </row>
    <row r="62" spans="1:5" hidden="1" x14ac:dyDescent="0.25">
      <c r="A62" s="59">
        <f t="shared" si="0"/>
        <v>61</v>
      </c>
      <c r="B62" s="68" t="s">
        <v>3362</v>
      </c>
      <c r="C62" s="65" t="s">
        <v>3365</v>
      </c>
      <c r="D62" s="59" t="s">
        <v>3268</v>
      </c>
      <c r="E62" s="55"/>
    </row>
    <row r="63" spans="1:5" hidden="1" x14ac:dyDescent="0.25">
      <c r="A63" s="59">
        <f t="shared" si="0"/>
        <v>62</v>
      </c>
      <c r="B63" s="68" t="s">
        <v>3366</v>
      </c>
      <c r="C63" s="65" t="s">
        <v>3367</v>
      </c>
      <c r="D63" s="59" t="s">
        <v>3268</v>
      </c>
      <c r="E63" s="55"/>
    </row>
    <row r="64" spans="1:5" hidden="1" x14ac:dyDescent="0.25">
      <c r="A64" s="59">
        <f t="shared" si="0"/>
        <v>63</v>
      </c>
      <c r="B64" s="68" t="s">
        <v>3366</v>
      </c>
      <c r="C64" s="65" t="s">
        <v>3368</v>
      </c>
      <c r="D64" s="59" t="s">
        <v>3268</v>
      </c>
      <c r="E64" s="55"/>
    </row>
    <row r="65" spans="1:5" hidden="1" x14ac:dyDescent="0.25">
      <c r="A65" s="59">
        <f t="shared" si="0"/>
        <v>64</v>
      </c>
      <c r="B65" s="68" t="s">
        <v>3366</v>
      </c>
      <c r="C65" s="65" t="s">
        <v>3373</v>
      </c>
      <c r="D65" s="59" t="s">
        <v>3268</v>
      </c>
      <c r="E65" s="55"/>
    </row>
    <row r="66" spans="1:5" hidden="1" x14ac:dyDescent="0.25">
      <c r="A66" s="59">
        <f t="shared" si="0"/>
        <v>65</v>
      </c>
      <c r="B66" s="68" t="s">
        <v>3374</v>
      </c>
      <c r="C66" s="65" t="s">
        <v>3368</v>
      </c>
      <c r="D66" s="59" t="s">
        <v>3268</v>
      </c>
      <c r="E66" s="55"/>
    </row>
    <row r="67" spans="1:5" hidden="1" x14ac:dyDescent="0.25">
      <c r="A67" s="59">
        <f t="shared" ref="A67:A130" si="1">IF(ISBLANK($C67),"",ROW()-1)</f>
        <v>66</v>
      </c>
      <c r="B67" s="68" t="s">
        <v>3374</v>
      </c>
      <c r="C67" s="65" t="s">
        <v>3375</v>
      </c>
      <c r="D67" s="59" t="s">
        <v>3268</v>
      </c>
      <c r="E67" s="55"/>
    </row>
    <row r="68" spans="1:5" hidden="1" x14ac:dyDescent="0.25">
      <c r="A68" s="59">
        <f t="shared" si="1"/>
        <v>67</v>
      </c>
      <c r="B68" s="68" t="s">
        <v>3377</v>
      </c>
      <c r="C68" s="65" t="s">
        <v>3378</v>
      </c>
      <c r="D68" s="59" t="s">
        <v>3268</v>
      </c>
      <c r="E68" s="55"/>
    </row>
    <row r="69" spans="1:5" hidden="1" x14ac:dyDescent="0.25">
      <c r="A69" s="59">
        <f t="shared" si="1"/>
        <v>68</v>
      </c>
      <c r="B69" s="68" t="s">
        <v>3377</v>
      </c>
      <c r="C69" s="65" t="s">
        <v>3379</v>
      </c>
      <c r="D69" s="59" t="s">
        <v>3268</v>
      </c>
      <c r="E69" s="55"/>
    </row>
    <row r="70" spans="1:5" hidden="1" x14ac:dyDescent="0.25">
      <c r="A70" s="59">
        <f t="shared" si="1"/>
        <v>69</v>
      </c>
      <c r="B70" s="68" t="s">
        <v>3381</v>
      </c>
      <c r="C70" s="65" t="s">
        <v>3380</v>
      </c>
      <c r="D70" s="59" t="s">
        <v>3268</v>
      </c>
      <c r="E70" s="55"/>
    </row>
    <row r="71" spans="1:5" hidden="1" x14ac:dyDescent="0.25">
      <c r="A71" s="59">
        <f t="shared" si="1"/>
        <v>70</v>
      </c>
      <c r="B71" s="68" t="s">
        <v>3381</v>
      </c>
      <c r="C71" s="65" t="s">
        <v>3382</v>
      </c>
      <c r="D71" s="59" t="s">
        <v>3268</v>
      </c>
      <c r="E71" s="55"/>
    </row>
    <row r="72" spans="1:5" hidden="1" x14ac:dyDescent="0.25">
      <c r="A72" s="59">
        <f t="shared" si="1"/>
        <v>71</v>
      </c>
      <c r="B72" s="68" t="s">
        <v>3383</v>
      </c>
      <c r="C72" s="65" t="s">
        <v>3384</v>
      </c>
      <c r="D72" s="59" t="s">
        <v>3268</v>
      </c>
      <c r="E72" s="55"/>
    </row>
    <row r="73" spans="1:5" hidden="1" x14ac:dyDescent="0.25">
      <c r="A73" s="59">
        <f t="shared" si="1"/>
        <v>72</v>
      </c>
      <c r="B73" s="68" t="s">
        <v>3383</v>
      </c>
      <c r="C73" s="65" t="s">
        <v>3385</v>
      </c>
      <c r="D73" s="59" t="s">
        <v>3268</v>
      </c>
      <c r="E73" s="55"/>
    </row>
    <row r="74" spans="1:5" hidden="1" x14ac:dyDescent="0.25">
      <c r="A74" s="59">
        <f t="shared" si="1"/>
        <v>73</v>
      </c>
      <c r="B74" s="68" t="s">
        <v>3386</v>
      </c>
      <c r="C74" s="65" t="s">
        <v>3387</v>
      </c>
      <c r="D74" s="59" t="s">
        <v>3268</v>
      </c>
      <c r="E74" s="55"/>
    </row>
    <row r="75" spans="1:5" hidden="1" x14ac:dyDescent="0.25">
      <c r="A75" s="59">
        <f t="shared" si="1"/>
        <v>74</v>
      </c>
      <c r="B75" s="68" t="s">
        <v>3386</v>
      </c>
      <c r="C75" s="65" t="s">
        <v>3290</v>
      </c>
      <c r="D75" s="59" t="s">
        <v>3268</v>
      </c>
      <c r="E75" s="55"/>
    </row>
    <row r="76" spans="1:5" hidden="1" x14ac:dyDescent="0.25">
      <c r="A76" s="59">
        <f t="shared" si="1"/>
        <v>75</v>
      </c>
      <c r="B76" s="68" t="s">
        <v>3388</v>
      </c>
      <c r="C76" s="65" t="s">
        <v>3389</v>
      </c>
      <c r="D76" s="59" t="s">
        <v>3268</v>
      </c>
      <c r="E76" s="55"/>
    </row>
    <row r="77" spans="1:5" hidden="1" x14ac:dyDescent="0.25">
      <c r="A77" s="59">
        <f t="shared" si="1"/>
        <v>76</v>
      </c>
      <c r="B77" s="68" t="s">
        <v>3388</v>
      </c>
      <c r="C77" s="65" t="s">
        <v>3390</v>
      </c>
      <c r="D77" s="59" t="s">
        <v>3268</v>
      </c>
      <c r="E77" s="55"/>
    </row>
    <row r="78" spans="1:5" hidden="1" x14ac:dyDescent="0.25">
      <c r="A78" s="59">
        <f t="shared" si="1"/>
        <v>77</v>
      </c>
      <c r="B78" s="68" t="s">
        <v>3391</v>
      </c>
      <c r="C78" s="65" t="s">
        <v>3392</v>
      </c>
      <c r="D78" s="59" t="s">
        <v>3268</v>
      </c>
      <c r="E78" s="55"/>
    </row>
    <row r="79" spans="1:5" hidden="1" x14ac:dyDescent="0.25">
      <c r="A79" s="59">
        <f t="shared" si="1"/>
        <v>78</v>
      </c>
      <c r="B79" s="68" t="s">
        <v>3391</v>
      </c>
      <c r="C79" s="65" t="s">
        <v>3393</v>
      </c>
      <c r="D79" s="59" t="s">
        <v>3268</v>
      </c>
      <c r="E79" s="55"/>
    </row>
    <row r="80" spans="1:5" hidden="1" x14ac:dyDescent="0.25">
      <c r="A80" s="59">
        <f t="shared" si="1"/>
        <v>79</v>
      </c>
      <c r="B80" s="68" t="s">
        <v>3396</v>
      </c>
      <c r="C80" s="65" t="s">
        <v>3397</v>
      </c>
      <c r="D80" s="59" t="s">
        <v>3268</v>
      </c>
      <c r="E80" s="55"/>
    </row>
    <row r="81" spans="1:5" hidden="1" x14ac:dyDescent="0.25">
      <c r="A81" s="59">
        <f t="shared" si="1"/>
        <v>80</v>
      </c>
      <c r="B81" s="68" t="s">
        <v>3396</v>
      </c>
      <c r="C81" s="65" t="s">
        <v>3398</v>
      </c>
      <c r="D81" s="59" t="s">
        <v>3268</v>
      </c>
      <c r="E81" s="55"/>
    </row>
    <row r="82" spans="1:5" hidden="1" x14ac:dyDescent="0.25">
      <c r="A82" s="59">
        <f t="shared" si="1"/>
        <v>81</v>
      </c>
      <c r="B82" s="68" t="s">
        <v>3399</v>
      </c>
      <c r="C82" s="65" t="s">
        <v>3400</v>
      </c>
      <c r="D82" s="59" t="s">
        <v>3268</v>
      </c>
      <c r="E82" s="55"/>
    </row>
    <row r="83" spans="1:5" hidden="1" x14ac:dyDescent="0.25">
      <c r="A83" s="59">
        <f t="shared" si="1"/>
        <v>82</v>
      </c>
      <c r="B83" s="68" t="s">
        <v>3399</v>
      </c>
      <c r="C83" s="65" t="s">
        <v>3401</v>
      </c>
      <c r="D83" s="59" t="s">
        <v>3268</v>
      </c>
      <c r="E83" s="55"/>
    </row>
    <row r="84" spans="1:5" hidden="1" x14ac:dyDescent="0.25">
      <c r="A84" s="59">
        <f t="shared" si="1"/>
        <v>83</v>
      </c>
      <c r="B84" s="68" t="s">
        <v>3402</v>
      </c>
      <c r="C84" s="65" t="s">
        <v>3403</v>
      </c>
      <c r="D84" s="59" t="s">
        <v>3268</v>
      </c>
      <c r="E84" s="55"/>
    </row>
    <row r="85" spans="1:5" hidden="1" x14ac:dyDescent="0.25">
      <c r="A85" s="59">
        <f t="shared" si="1"/>
        <v>84</v>
      </c>
      <c r="B85" s="68" t="s">
        <v>3402</v>
      </c>
      <c r="C85" s="76" t="s">
        <v>3404</v>
      </c>
      <c r="D85" s="59" t="s">
        <v>3268</v>
      </c>
      <c r="E85" s="55"/>
    </row>
    <row r="86" spans="1:5" hidden="1" x14ac:dyDescent="0.25">
      <c r="A86" s="59">
        <f t="shared" si="1"/>
        <v>85</v>
      </c>
      <c r="B86" s="68" t="s">
        <v>3402</v>
      </c>
      <c r="C86" s="65" t="s">
        <v>3405</v>
      </c>
      <c r="D86" s="59" t="s">
        <v>3268</v>
      </c>
      <c r="E86" s="55"/>
    </row>
    <row r="87" spans="1:5" hidden="1" x14ac:dyDescent="0.25">
      <c r="A87" s="59">
        <f t="shared" si="1"/>
        <v>86</v>
      </c>
      <c r="B87" s="68" t="s">
        <v>3408</v>
      </c>
      <c r="C87" s="65" t="s">
        <v>3409</v>
      </c>
      <c r="D87" s="59" t="s">
        <v>3268</v>
      </c>
      <c r="E87" s="55"/>
    </row>
    <row r="88" spans="1:5" hidden="1" x14ac:dyDescent="0.25">
      <c r="A88" s="59">
        <f t="shared" si="1"/>
        <v>87</v>
      </c>
      <c r="B88" s="68" t="s">
        <v>3408</v>
      </c>
      <c r="C88" s="65" t="s">
        <v>3410</v>
      </c>
      <c r="D88" s="59" t="s">
        <v>3268</v>
      </c>
      <c r="E88" s="55"/>
    </row>
    <row r="89" spans="1:5" hidden="1" x14ac:dyDescent="0.25">
      <c r="A89" s="59">
        <f t="shared" si="1"/>
        <v>88</v>
      </c>
      <c r="B89" s="68" t="s">
        <v>3411</v>
      </c>
      <c r="C89" s="65" t="s">
        <v>3412</v>
      </c>
      <c r="D89" s="59" t="s">
        <v>3268</v>
      </c>
      <c r="E89" s="55"/>
    </row>
    <row r="90" spans="1:5" hidden="1" x14ac:dyDescent="0.25">
      <c r="A90" s="59">
        <f t="shared" si="1"/>
        <v>89</v>
      </c>
      <c r="B90" s="68" t="s">
        <v>3411</v>
      </c>
      <c r="C90" s="65" t="s">
        <v>3413</v>
      </c>
      <c r="D90" s="59" t="s">
        <v>3268</v>
      </c>
      <c r="E90" s="55"/>
    </row>
    <row r="91" spans="1:5" hidden="1" x14ac:dyDescent="0.25">
      <c r="A91" s="59">
        <f t="shared" si="1"/>
        <v>90</v>
      </c>
      <c r="B91" s="68" t="s">
        <v>3414</v>
      </c>
      <c r="C91" s="65" t="s">
        <v>3415</v>
      </c>
      <c r="D91" s="59" t="s">
        <v>3268</v>
      </c>
      <c r="E91" s="55"/>
    </row>
    <row r="92" spans="1:5" hidden="1" x14ac:dyDescent="0.25">
      <c r="A92" s="59">
        <f t="shared" si="1"/>
        <v>91</v>
      </c>
      <c r="B92" s="68" t="s">
        <v>3414</v>
      </c>
      <c r="C92" s="65" t="s">
        <v>3416</v>
      </c>
      <c r="D92" s="59" t="s">
        <v>3268</v>
      </c>
      <c r="E92" s="55"/>
    </row>
    <row r="93" spans="1:5" hidden="1" x14ac:dyDescent="0.25">
      <c r="A93" s="59">
        <f t="shared" si="1"/>
        <v>92</v>
      </c>
      <c r="B93" s="68" t="s">
        <v>3417</v>
      </c>
      <c r="C93" s="65" t="s">
        <v>3418</v>
      </c>
      <c r="D93" s="59" t="s">
        <v>3268</v>
      </c>
      <c r="E93" s="55" t="s">
        <v>3419</v>
      </c>
    </row>
    <row r="94" spans="1:5" hidden="1" x14ac:dyDescent="0.25">
      <c r="A94" s="59">
        <f t="shared" si="1"/>
        <v>93</v>
      </c>
      <c r="B94" s="68" t="s">
        <v>3417</v>
      </c>
      <c r="C94" s="65" t="s">
        <v>3283</v>
      </c>
      <c r="D94" s="59" t="s">
        <v>3268</v>
      </c>
      <c r="E94" s="55"/>
    </row>
    <row r="95" spans="1:5" hidden="1" x14ac:dyDescent="0.25">
      <c r="A95" s="59">
        <f t="shared" si="1"/>
        <v>94</v>
      </c>
      <c r="B95" s="68" t="s">
        <v>3417</v>
      </c>
      <c r="C95" s="65" t="s">
        <v>3422</v>
      </c>
      <c r="D95" s="59" t="s">
        <v>3268</v>
      </c>
      <c r="E95" s="55"/>
    </row>
    <row r="96" spans="1:5" hidden="1" x14ac:dyDescent="0.25">
      <c r="A96" s="59">
        <f t="shared" si="1"/>
        <v>95</v>
      </c>
      <c r="B96" s="68" t="s">
        <v>3423</v>
      </c>
      <c r="C96" s="65" t="s">
        <v>3424</v>
      </c>
      <c r="D96" s="59" t="s">
        <v>3268</v>
      </c>
      <c r="E96" s="55"/>
    </row>
    <row r="97" spans="1:5" hidden="1" x14ac:dyDescent="0.25">
      <c r="A97" s="59">
        <f t="shared" si="1"/>
        <v>96</v>
      </c>
      <c r="B97" s="68" t="s">
        <v>3425</v>
      </c>
      <c r="C97" s="65" t="s">
        <v>3426</v>
      </c>
      <c r="D97" s="59" t="s">
        <v>3268</v>
      </c>
      <c r="E97" s="55"/>
    </row>
    <row r="98" spans="1:5" hidden="1" x14ac:dyDescent="0.25">
      <c r="A98" s="59">
        <f t="shared" si="1"/>
        <v>97</v>
      </c>
      <c r="B98" s="68" t="s">
        <v>3425</v>
      </c>
      <c r="C98" s="65" t="s">
        <v>3427</v>
      </c>
      <c r="D98" s="59" t="s">
        <v>3268</v>
      </c>
      <c r="E98" s="55"/>
    </row>
    <row r="99" spans="1:5" hidden="1" x14ac:dyDescent="0.25">
      <c r="A99" s="59">
        <f t="shared" si="1"/>
        <v>98</v>
      </c>
      <c r="B99" s="68" t="s">
        <v>3425</v>
      </c>
      <c r="C99" s="65" t="s">
        <v>3422</v>
      </c>
      <c r="D99" s="59" t="s">
        <v>3268</v>
      </c>
      <c r="E99" s="55"/>
    </row>
    <row r="100" spans="1:5" hidden="1" x14ac:dyDescent="0.25">
      <c r="A100" s="59">
        <f t="shared" si="1"/>
        <v>99</v>
      </c>
      <c r="B100" s="68" t="s">
        <v>3428</v>
      </c>
      <c r="C100" s="65" t="s">
        <v>3429</v>
      </c>
      <c r="D100" s="59" t="s">
        <v>3268</v>
      </c>
      <c r="E100" s="55"/>
    </row>
    <row r="101" spans="1:5" hidden="1" x14ac:dyDescent="0.25">
      <c r="A101" s="59">
        <f t="shared" si="1"/>
        <v>100</v>
      </c>
      <c r="B101" s="68" t="s">
        <v>3428</v>
      </c>
      <c r="C101" s="65" t="s">
        <v>3430</v>
      </c>
      <c r="D101" s="59" t="s">
        <v>3268</v>
      </c>
      <c r="E101" s="55"/>
    </row>
    <row r="102" spans="1:5" hidden="1" x14ac:dyDescent="0.25">
      <c r="A102" s="59">
        <f t="shared" si="1"/>
        <v>101</v>
      </c>
      <c r="B102" s="68" t="s">
        <v>3439</v>
      </c>
      <c r="C102" s="65" t="s">
        <v>3438</v>
      </c>
      <c r="D102" s="59" t="s">
        <v>3268</v>
      </c>
      <c r="E102" s="55"/>
    </row>
    <row r="103" spans="1:5" hidden="1" x14ac:dyDescent="0.25">
      <c r="A103" s="59">
        <f t="shared" si="1"/>
        <v>102</v>
      </c>
      <c r="B103" s="68" t="s">
        <v>3439</v>
      </c>
      <c r="C103" s="65" t="s">
        <v>3440</v>
      </c>
      <c r="D103" s="59" t="s">
        <v>3268</v>
      </c>
      <c r="E103" s="55"/>
    </row>
    <row r="104" spans="1:5" hidden="1" x14ac:dyDescent="0.25">
      <c r="A104" s="59">
        <f t="shared" si="1"/>
        <v>103</v>
      </c>
      <c r="B104" s="68" t="s">
        <v>3442</v>
      </c>
      <c r="C104" s="65" t="s">
        <v>3441</v>
      </c>
      <c r="D104" s="59" t="s">
        <v>3268</v>
      </c>
      <c r="E104" s="55"/>
    </row>
    <row r="105" spans="1:5" hidden="1" x14ac:dyDescent="0.25">
      <c r="A105" s="59">
        <f t="shared" si="1"/>
        <v>104</v>
      </c>
      <c r="B105" s="68" t="s">
        <v>3442</v>
      </c>
      <c r="C105" s="65" t="s">
        <v>3443</v>
      </c>
      <c r="D105" s="59" t="s">
        <v>3268</v>
      </c>
      <c r="E105" s="55"/>
    </row>
    <row r="106" spans="1:5" hidden="1" x14ac:dyDescent="0.25">
      <c r="A106" s="59">
        <f t="shared" si="1"/>
        <v>105</v>
      </c>
      <c r="B106" s="68" t="s">
        <v>3442</v>
      </c>
      <c r="C106" s="65" t="s">
        <v>3444</v>
      </c>
      <c r="D106" s="59" t="s">
        <v>3268</v>
      </c>
      <c r="E106" s="55"/>
    </row>
    <row r="107" spans="1:5" hidden="1" x14ac:dyDescent="0.25">
      <c r="A107" s="59">
        <f t="shared" si="1"/>
        <v>106</v>
      </c>
      <c r="B107" s="68" t="s">
        <v>3445</v>
      </c>
      <c r="C107" s="65" t="s">
        <v>3446</v>
      </c>
      <c r="D107" s="59" t="s">
        <v>3268</v>
      </c>
      <c r="E107" s="55"/>
    </row>
    <row r="108" spans="1:5" hidden="1" x14ac:dyDescent="0.25">
      <c r="A108" s="59">
        <f t="shared" si="1"/>
        <v>107</v>
      </c>
      <c r="B108" s="68" t="s">
        <v>3445</v>
      </c>
      <c r="C108" s="65" t="s">
        <v>3447</v>
      </c>
      <c r="D108" s="59" t="s">
        <v>3268</v>
      </c>
      <c r="E108" s="55"/>
    </row>
    <row r="109" spans="1:5" hidden="1" x14ac:dyDescent="0.25">
      <c r="A109" s="59">
        <f t="shared" si="1"/>
        <v>108</v>
      </c>
      <c r="B109" s="68" t="s">
        <v>3448</v>
      </c>
      <c r="C109" s="65" t="s">
        <v>3449</v>
      </c>
      <c r="D109" s="59" t="s">
        <v>3268</v>
      </c>
      <c r="E109" s="55"/>
    </row>
    <row r="110" spans="1:5" hidden="1" x14ac:dyDescent="0.25">
      <c r="A110" s="59">
        <f t="shared" si="1"/>
        <v>109</v>
      </c>
      <c r="B110" s="68" t="s">
        <v>3448</v>
      </c>
      <c r="C110" s="65" t="s">
        <v>3450</v>
      </c>
      <c r="D110" s="59" t="s">
        <v>3268</v>
      </c>
      <c r="E110" s="55" t="s">
        <v>3419</v>
      </c>
    </row>
    <row r="111" spans="1:5" hidden="1" x14ac:dyDescent="0.25">
      <c r="A111" s="59">
        <f t="shared" si="1"/>
        <v>110</v>
      </c>
      <c r="B111" s="68" t="s">
        <v>3448</v>
      </c>
      <c r="C111" s="65" t="s">
        <v>3451</v>
      </c>
      <c r="D111" s="59" t="s">
        <v>3268</v>
      </c>
      <c r="E111" s="55"/>
    </row>
    <row r="112" spans="1:5" hidden="1" x14ac:dyDescent="0.25">
      <c r="A112" s="59">
        <f t="shared" si="1"/>
        <v>111</v>
      </c>
      <c r="B112" s="68" t="s">
        <v>3448</v>
      </c>
      <c r="C112" s="65" t="s">
        <v>3422</v>
      </c>
      <c r="D112" s="59" t="s">
        <v>3268</v>
      </c>
      <c r="E112" s="55" t="s">
        <v>3453</v>
      </c>
    </row>
    <row r="113" spans="1:5" hidden="1" x14ac:dyDescent="0.25">
      <c r="A113" s="59">
        <f t="shared" si="1"/>
        <v>112</v>
      </c>
      <c r="B113" s="68" t="s">
        <v>3448</v>
      </c>
      <c r="C113" s="65" t="s">
        <v>3452</v>
      </c>
      <c r="D113" s="59" t="s">
        <v>3268</v>
      </c>
      <c r="E113" s="55" t="s">
        <v>3419</v>
      </c>
    </row>
    <row r="114" spans="1:5" hidden="1" x14ac:dyDescent="0.25">
      <c r="A114" s="59">
        <f t="shared" si="1"/>
        <v>113</v>
      </c>
      <c r="B114" s="68" t="s">
        <v>3454</v>
      </c>
      <c r="C114" s="65" t="s">
        <v>3455</v>
      </c>
      <c r="D114" s="59" t="s">
        <v>3268</v>
      </c>
      <c r="E114" s="55"/>
    </row>
    <row r="115" spans="1:5" hidden="1" x14ac:dyDescent="0.25">
      <c r="A115" s="59">
        <f t="shared" si="1"/>
        <v>114</v>
      </c>
      <c r="B115" s="68" t="s">
        <v>3454</v>
      </c>
      <c r="C115" s="65" t="s">
        <v>3462</v>
      </c>
      <c r="D115" s="59" t="s">
        <v>3268</v>
      </c>
      <c r="E115" s="55"/>
    </row>
    <row r="116" spans="1:5" hidden="1" x14ac:dyDescent="0.25">
      <c r="A116" s="59">
        <f t="shared" si="1"/>
        <v>115</v>
      </c>
      <c r="B116" s="68" t="s">
        <v>3454</v>
      </c>
      <c r="C116" s="65" t="s">
        <v>3463</v>
      </c>
      <c r="D116" s="59" t="s">
        <v>3268</v>
      </c>
      <c r="E116" s="55"/>
    </row>
    <row r="117" spans="1:5" hidden="1" x14ac:dyDescent="0.25">
      <c r="A117" s="59">
        <f t="shared" si="1"/>
        <v>116</v>
      </c>
      <c r="B117" s="68" t="s">
        <v>3464</v>
      </c>
      <c r="C117" s="65" t="s">
        <v>3465</v>
      </c>
      <c r="D117" s="59" t="s">
        <v>3268</v>
      </c>
      <c r="E117" s="55"/>
    </row>
    <row r="118" spans="1:5" hidden="1" x14ac:dyDescent="0.25">
      <c r="A118" s="59">
        <f t="shared" si="1"/>
        <v>117</v>
      </c>
      <c r="B118" s="68" t="s">
        <v>3464</v>
      </c>
      <c r="C118" s="65" t="s">
        <v>3466</v>
      </c>
      <c r="D118" s="59" t="s">
        <v>3268</v>
      </c>
      <c r="E118" s="55"/>
    </row>
    <row r="119" spans="1:5" hidden="1" x14ac:dyDescent="0.25">
      <c r="A119" s="59">
        <f t="shared" si="1"/>
        <v>118</v>
      </c>
      <c r="B119" s="68" t="s">
        <v>3464</v>
      </c>
      <c r="C119" s="65" t="s">
        <v>3468</v>
      </c>
      <c r="D119" s="59" t="s">
        <v>3268</v>
      </c>
      <c r="E119" s="55"/>
    </row>
    <row r="120" spans="1:5" hidden="1" x14ac:dyDescent="0.25">
      <c r="A120" s="59">
        <f t="shared" si="1"/>
        <v>119</v>
      </c>
      <c r="B120" s="68" t="s">
        <v>3467</v>
      </c>
      <c r="C120" s="65" t="s">
        <v>3469</v>
      </c>
      <c r="D120" s="59" t="s">
        <v>3268</v>
      </c>
      <c r="E120" s="55"/>
    </row>
    <row r="121" spans="1:5" hidden="1" x14ac:dyDescent="0.25">
      <c r="A121" s="59">
        <f t="shared" si="1"/>
        <v>120</v>
      </c>
      <c r="B121" s="68" t="s">
        <v>3467</v>
      </c>
      <c r="C121" s="65" t="s">
        <v>3470</v>
      </c>
      <c r="D121" s="59" t="s">
        <v>3268</v>
      </c>
      <c r="E121" s="55"/>
    </row>
    <row r="122" spans="1:5" hidden="1" x14ac:dyDescent="0.25">
      <c r="A122" s="59">
        <f t="shared" si="1"/>
        <v>121</v>
      </c>
      <c r="B122" s="68" t="s">
        <v>3467</v>
      </c>
      <c r="C122" s="65" t="s">
        <v>3474</v>
      </c>
      <c r="D122" s="59" t="s">
        <v>3268</v>
      </c>
      <c r="E122" s="55"/>
    </row>
    <row r="123" spans="1:5" hidden="1" x14ac:dyDescent="0.25">
      <c r="A123" s="59">
        <f t="shared" si="1"/>
        <v>122</v>
      </c>
      <c r="B123" s="68" t="s">
        <v>3467</v>
      </c>
      <c r="C123" s="65" t="s">
        <v>3422</v>
      </c>
      <c r="D123" s="59" t="s">
        <v>3268</v>
      </c>
      <c r="E123" s="55"/>
    </row>
    <row r="124" spans="1:5" hidden="1" x14ac:dyDescent="0.25">
      <c r="A124" s="59">
        <f t="shared" si="1"/>
        <v>123</v>
      </c>
      <c r="B124" s="68" t="s">
        <v>3475</v>
      </c>
      <c r="C124" s="65" t="s">
        <v>3476</v>
      </c>
      <c r="D124" s="59" t="s">
        <v>3268</v>
      </c>
      <c r="E124" s="55"/>
    </row>
    <row r="125" spans="1:5" hidden="1" x14ac:dyDescent="0.25">
      <c r="A125" s="59">
        <f t="shared" si="1"/>
        <v>124</v>
      </c>
      <c r="B125" s="68" t="s">
        <v>3475</v>
      </c>
      <c r="C125" s="65" t="s">
        <v>3477</v>
      </c>
      <c r="D125" s="59" t="s">
        <v>3268</v>
      </c>
      <c r="E125" s="55"/>
    </row>
    <row r="126" spans="1:5" hidden="1" x14ac:dyDescent="0.25">
      <c r="A126" s="59">
        <f t="shared" si="1"/>
        <v>125</v>
      </c>
      <c r="B126" s="68" t="s">
        <v>3475</v>
      </c>
      <c r="C126" s="65" t="s">
        <v>3478</v>
      </c>
      <c r="D126" s="59" t="s">
        <v>3268</v>
      </c>
      <c r="E126" s="55"/>
    </row>
    <row r="127" spans="1:5" hidden="1" x14ac:dyDescent="0.25">
      <c r="A127" s="59">
        <f t="shared" si="1"/>
        <v>126</v>
      </c>
      <c r="B127" s="68" t="s">
        <v>3482</v>
      </c>
      <c r="C127" s="65" t="s">
        <v>3483</v>
      </c>
      <c r="D127" s="59" t="s">
        <v>3268</v>
      </c>
      <c r="E127" s="55"/>
    </row>
    <row r="128" spans="1:5" hidden="1" x14ac:dyDescent="0.25">
      <c r="A128" s="59">
        <f t="shared" si="1"/>
        <v>127</v>
      </c>
      <c r="B128" s="68" t="s">
        <v>3482</v>
      </c>
      <c r="C128" s="65" t="s">
        <v>3484</v>
      </c>
      <c r="D128" s="59" t="s">
        <v>3268</v>
      </c>
      <c r="E128" s="55"/>
    </row>
    <row r="129" spans="1:5" hidden="1" x14ac:dyDescent="0.25">
      <c r="A129" s="59">
        <f t="shared" si="1"/>
        <v>128</v>
      </c>
      <c r="B129" s="68" t="s">
        <v>3482</v>
      </c>
      <c r="C129" s="65" t="s">
        <v>3422</v>
      </c>
      <c r="D129" s="59" t="s">
        <v>3268</v>
      </c>
      <c r="E129" s="55"/>
    </row>
    <row r="130" spans="1:5" hidden="1" x14ac:dyDescent="0.25">
      <c r="A130" s="59">
        <f t="shared" si="1"/>
        <v>129</v>
      </c>
      <c r="B130" s="68" t="s">
        <v>3487</v>
      </c>
      <c r="C130" s="65" t="s">
        <v>3488</v>
      </c>
      <c r="D130" s="59" t="s">
        <v>3268</v>
      </c>
      <c r="E130" s="55"/>
    </row>
    <row r="131" spans="1:5" hidden="1" x14ac:dyDescent="0.25">
      <c r="A131" s="59">
        <f t="shared" ref="A131:A194" si="2">IF(ISBLANK($C131),"",ROW()-1)</f>
        <v>130</v>
      </c>
      <c r="B131" s="68" t="s">
        <v>3487</v>
      </c>
      <c r="C131" s="65" t="s">
        <v>3489</v>
      </c>
      <c r="D131" s="59" t="s">
        <v>3268</v>
      </c>
      <c r="E131" s="55"/>
    </row>
    <row r="132" spans="1:5" hidden="1" x14ac:dyDescent="0.25">
      <c r="A132" s="59">
        <f t="shared" si="2"/>
        <v>131</v>
      </c>
      <c r="B132" s="68" t="s">
        <v>3487</v>
      </c>
      <c r="C132" s="65" t="s">
        <v>3490</v>
      </c>
      <c r="D132" s="59" t="s">
        <v>3268</v>
      </c>
      <c r="E132" s="55"/>
    </row>
    <row r="133" spans="1:5" hidden="1" x14ac:dyDescent="0.25">
      <c r="A133" s="59">
        <f t="shared" si="2"/>
        <v>132</v>
      </c>
      <c r="B133" s="68" t="s">
        <v>3491</v>
      </c>
      <c r="C133" s="65" t="s">
        <v>3492</v>
      </c>
      <c r="D133" s="59" t="s">
        <v>3268</v>
      </c>
      <c r="E133" s="55"/>
    </row>
    <row r="134" spans="1:5" hidden="1" x14ac:dyDescent="0.25">
      <c r="A134" s="59">
        <f t="shared" si="2"/>
        <v>133</v>
      </c>
      <c r="B134" s="68" t="s">
        <v>3491</v>
      </c>
      <c r="C134" s="65" t="s">
        <v>3493</v>
      </c>
      <c r="D134" s="59" t="s">
        <v>3268</v>
      </c>
      <c r="E134" s="55"/>
    </row>
    <row r="135" spans="1:5" hidden="1" x14ac:dyDescent="0.25">
      <c r="A135" s="59">
        <f t="shared" si="2"/>
        <v>134</v>
      </c>
      <c r="B135" s="68" t="s">
        <v>3494</v>
      </c>
      <c r="C135" s="65" t="s">
        <v>3495</v>
      </c>
      <c r="D135" s="59" t="s">
        <v>3268</v>
      </c>
      <c r="E135" s="55"/>
    </row>
    <row r="136" spans="1:5" hidden="1" x14ac:dyDescent="0.25">
      <c r="A136" s="59">
        <f t="shared" si="2"/>
        <v>135</v>
      </c>
      <c r="B136" s="68" t="s">
        <v>3494</v>
      </c>
      <c r="C136" s="65" t="s">
        <v>3493</v>
      </c>
      <c r="D136" s="59" t="s">
        <v>3268</v>
      </c>
      <c r="E136" s="55"/>
    </row>
    <row r="137" spans="1:5" hidden="1" x14ac:dyDescent="0.25">
      <c r="A137" s="59">
        <f t="shared" si="2"/>
        <v>136</v>
      </c>
      <c r="B137" s="68" t="s">
        <v>3496</v>
      </c>
      <c r="C137" s="65" t="s">
        <v>3497</v>
      </c>
      <c r="D137" s="59" t="s">
        <v>3268</v>
      </c>
      <c r="E137" s="55"/>
    </row>
    <row r="138" spans="1:5" hidden="1" x14ac:dyDescent="0.25">
      <c r="A138" s="59">
        <f t="shared" si="2"/>
        <v>137</v>
      </c>
      <c r="B138" s="68" t="s">
        <v>3496</v>
      </c>
      <c r="C138" s="65" t="s">
        <v>3498</v>
      </c>
      <c r="D138" s="59" t="s">
        <v>3268</v>
      </c>
      <c r="E138" s="55"/>
    </row>
    <row r="139" spans="1:5" hidden="1" x14ac:dyDescent="0.25">
      <c r="A139" s="59">
        <f t="shared" si="2"/>
        <v>138</v>
      </c>
      <c r="B139" s="68" t="s">
        <v>3496</v>
      </c>
      <c r="C139" s="76" t="s">
        <v>3499</v>
      </c>
      <c r="D139" s="59" t="s">
        <v>3268</v>
      </c>
      <c r="E139" s="55"/>
    </row>
    <row r="140" spans="1:5" hidden="1" x14ac:dyDescent="0.25">
      <c r="A140" s="59">
        <f t="shared" si="2"/>
        <v>139</v>
      </c>
      <c r="B140" s="68" t="s">
        <v>3500</v>
      </c>
      <c r="C140" s="65" t="s">
        <v>3501</v>
      </c>
      <c r="D140" s="59" t="s">
        <v>3268</v>
      </c>
      <c r="E140" s="55"/>
    </row>
    <row r="141" spans="1:5" hidden="1" x14ac:dyDescent="0.25">
      <c r="A141" s="59">
        <f t="shared" si="2"/>
        <v>140</v>
      </c>
      <c r="B141" s="68" t="s">
        <v>3500</v>
      </c>
      <c r="C141" s="65" t="s">
        <v>3502</v>
      </c>
      <c r="D141" s="59" t="s">
        <v>3268</v>
      </c>
      <c r="E141" s="55"/>
    </row>
    <row r="142" spans="1:5" hidden="1" x14ac:dyDescent="0.25">
      <c r="A142" s="59">
        <f t="shared" si="2"/>
        <v>141</v>
      </c>
      <c r="B142" s="68" t="s">
        <v>3503</v>
      </c>
      <c r="C142" s="65" t="s">
        <v>3504</v>
      </c>
      <c r="D142" s="59" t="s">
        <v>3268</v>
      </c>
      <c r="E142" s="55"/>
    </row>
    <row r="143" spans="1:5" hidden="1" x14ac:dyDescent="0.25">
      <c r="A143" s="59">
        <f t="shared" si="2"/>
        <v>142</v>
      </c>
      <c r="B143" s="68" t="s">
        <v>3500</v>
      </c>
      <c r="C143" s="65" t="s">
        <v>3505</v>
      </c>
      <c r="D143" s="59" t="s">
        <v>3268</v>
      </c>
      <c r="E143" s="55"/>
    </row>
    <row r="144" spans="1:5" hidden="1" x14ac:dyDescent="0.25">
      <c r="A144" s="59">
        <f t="shared" si="2"/>
        <v>143</v>
      </c>
      <c r="B144" s="68" t="s">
        <v>3512</v>
      </c>
      <c r="C144" s="65" t="s">
        <v>3513</v>
      </c>
      <c r="D144" s="59" t="s">
        <v>3268</v>
      </c>
      <c r="E144" s="55"/>
    </row>
    <row r="145" spans="1:5" hidden="1" x14ac:dyDescent="0.25">
      <c r="A145" s="59">
        <f t="shared" si="2"/>
        <v>144</v>
      </c>
      <c r="B145" s="68" t="s">
        <v>3519</v>
      </c>
      <c r="C145" s="65" t="s">
        <v>3520</v>
      </c>
      <c r="D145" s="59" t="s">
        <v>3268</v>
      </c>
      <c r="E145" s="55"/>
    </row>
    <row r="146" spans="1:5" hidden="1" x14ac:dyDescent="0.25">
      <c r="A146" s="59">
        <f t="shared" si="2"/>
        <v>145</v>
      </c>
      <c r="B146" s="68" t="s">
        <v>3519</v>
      </c>
      <c r="C146" s="65" t="s">
        <v>3521</v>
      </c>
      <c r="D146" s="59" t="s">
        <v>3268</v>
      </c>
      <c r="E146" s="55"/>
    </row>
    <row r="147" spans="1:5" hidden="1" x14ac:dyDescent="0.25">
      <c r="A147" s="59">
        <f t="shared" si="2"/>
        <v>146</v>
      </c>
      <c r="B147" s="68" t="s">
        <v>3522</v>
      </c>
      <c r="C147" s="65" t="s">
        <v>3523</v>
      </c>
      <c r="D147" s="59" t="s">
        <v>3268</v>
      </c>
      <c r="E147" s="55"/>
    </row>
    <row r="148" spans="1:5" hidden="1" x14ac:dyDescent="0.25">
      <c r="A148" s="59">
        <f t="shared" si="2"/>
        <v>147</v>
      </c>
      <c r="B148" s="68" t="s">
        <v>3522</v>
      </c>
      <c r="C148" s="65" t="s">
        <v>3524</v>
      </c>
      <c r="D148" s="59" t="s">
        <v>3268</v>
      </c>
      <c r="E148" s="55"/>
    </row>
    <row r="149" spans="1:5" hidden="1" x14ac:dyDescent="0.25">
      <c r="A149" s="59">
        <f t="shared" si="2"/>
        <v>148</v>
      </c>
      <c r="B149" s="68" t="s">
        <v>3522</v>
      </c>
      <c r="C149" s="65" t="s">
        <v>3422</v>
      </c>
      <c r="D149" s="59" t="s">
        <v>3268</v>
      </c>
      <c r="E149" s="55"/>
    </row>
    <row r="150" spans="1:5" hidden="1" x14ac:dyDescent="0.25">
      <c r="A150" s="59">
        <f t="shared" si="2"/>
        <v>149</v>
      </c>
      <c r="B150" s="68" t="s">
        <v>3525</v>
      </c>
      <c r="C150" s="65" t="s">
        <v>3526</v>
      </c>
      <c r="D150" s="59" t="s">
        <v>3268</v>
      </c>
      <c r="E150" s="55"/>
    </row>
    <row r="151" spans="1:5" hidden="1" x14ac:dyDescent="0.25">
      <c r="A151" s="59">
        <f t="shared" si="2"/>
        <v>150</v>
      </c>
      <c r="B151" s="68" t="s">
        <v>3525</v>
      </c>
      <c r="C151" s="65" t="s">
        <v>3527</v>
      </c>
      <c r="D151" s="59" t="s">
        <v>3268</v>
      </c>
      <c r="E151" s="55"/>
    </row>
    <row r="152" spans="1:5" hidden="1" x14ac:dyDescent="0.25">
      <c r="A152" s="59">
        <f t="shared" si="2"/>
        <v>151</v>
      </c>
      <c r="B152" s="68" t="s">
        <v>3528</v>
      </c>
      <c r="C152" s="65" t="s">
        <v>3529</v>
      </c>
      <c r="D152" s="59" t="s">
        <v>3268</v>
      </c>
      <c r="E152" s="55"/>
    </row>
    <row r="153" spans="1:5" hidden="1" x14ac:dyDescent="0.25">
      <c r="A153" s="59">
        <f t="shared" si="2"/>
        <v>152</v>
      </c>
      <c r="B153" s="68" t="s">
        <v>3528</v>
      </c>
      <c r="C153" s="65" t="s">
        <v>3530</v>
      </c>
      <c r="D153" s="59" t="s">
        <v>3268</v>
      </c>
      <c r="E153" s="55"/>
    </row>
    <row r="154" spans="1:5" hidden="1" x14ac:dyDescent="0.25">
      <c r="A154" s="59">
        <f t="shared" si="2"/>
        <v>153</v>
      </c>
      <c r="B154" s="68" t="s">
        <v>3531</v>
      </c>
      <c r="C154" s="65" t="s">
        <v>3530</v>
      </c>
      <c r="D154" s="59" t="s">
        <v>3268</v>
      </c>
      <c r="E154" s="55"/>
    </row>
    <row r="155" spans="1:5" hidden="1" x14ac:dyDescent="0.25">
      <c r="A155" s="59">
        <f t="shared" si="2"/>
        <v>154</v>
      </c>
      <c r="B155" s="68" t="s">
        <v>3531</v>
      </c>
      <c r="C155" s="65" t="s">
        <v>3533</v>
      </c>
      <c r="D155" s="59" t="s">
        <v>3268</v>
      </c>
      <c r="E155" s="55"/>
    </row>
    <row r="156" spans="1:5" hidden="1" x14ac:dyDescent="0.25">
      <c r="A156" s="59">
        <f t="shared" si="2"/>
        <v>155</v>
      </c>
      <c r="B156" s="68" t="s">
        <v>3531</v>
      </c>
      <c r="C156" s="65" t="s">
        <v>3422</v>
      </c>
      <c r="D156" s="59" t="s">
        <v>3268</v>
      </c>
      <c r="E156" s="55"/>
    </row>
    <row r="157" spans="1:5" hidden="1" x14ac:dyDescent="0.25">
      <c r="A157" s="59">
        <f t="shared" si="2"/>
        <v>156</v>
      </c>
      <c r="B157" s="68" t="s">
        <v>3532</v>
      </c>
      <c r="C157" s="65" t="s">
        <v>3533</v>
      </c>
      <c r="D157" s="59" t="s">
        <v>3268</v>
      </c>
      <c r="E157" s="55"/>
    </row>
    <row r="158" spans="1:5" hidden="1" x14ac:dyDescent="0.25">
      <c r="A158" s="59">
        <f t="shared" si="2"/>
        <v>157</v>
      </c>
      <c r="B158" s="68" t="s">
        <v>3532</v>
      </c>
      <c r="C158" s="65" t="s">
        <v>3476</v>
      </c>
      <c r="D158" s="59" t="s">
        <v>3268</v>
      </c>
      <c r="E158" s="55"/>
    </row>
    <row r="159" spans="1:5" hidden="1" x14ac:dyDescent="0.25">
      <c r="A159" s="59">
        <f t="shared" si="2"/>
        <v>158</v>
      </c>
      <c r="B159" s="68" t="s">
        <v>3532</v>
      </c>
      <c r="C159" s="65" t="s">
        <v>3535</v>
      </c>
      <c r="D159" s="59" t="s">
        <v>3268</v>
      </c>
      <c r="E159" s="55"/>
    </row>
    <row r="160" spans="1:5" hidden="1" x14ac:dyDescent="0.25">
      <c r="A160" s="59">
        <f t="shared" si="2"/>
        <v>159</v>
      </c>
      <c r="B160" s="68" t="s">
        <v>3534</v>
      </c>
      <c r="C160" s="65" t="s">
        <v>3536</v>
      </c>
      <c r="D160" s="59" t="s">
        <v>3268</v>
      </c>
      <c r="E160" s="55"/>
    </row>
    <row r="161" spans="1:5" x14ac:dyDescent="0.25">
      <c r="A161" s="59">
        <f t="shared" si="2"/>
        <v>160</v>
      </c>
      <c r="B161" s="68" t="s">
        <v>3539</v>
      </c>
      <c r="C161" s="65" t="s">
        <v>3540</v>
      </c>
      <c r="D161" s="59" t="s">
        <v>3268</v>
      </c>
      <c r="E161" s="55"/>
    </row>
    <row r="162" spans="1:5" x14ac:dyDescent="0.25">
      <c r="A162" s="59">
        <f t="shared" si="2"/>
        <v>161</v>
      </c>
      <c r="B162" s="68" t="s">
        <v>3541</v>
      </c>
      <c r="C162" s="65" t="s">
        <v>3542</v>
      </c>
      <c r="D162" s="59" t="s">
        <v>3268</v>
      </c>
      <c r="E162" s="55"/>
    </row>
    <row r="163" spans="1:5" x14ac:dyDescent="0.25">
      <c r="A163" s="59">
        <f t="shared" si="2"/>
        <v>162</v>
      </c>
      <c r="B163" s="68" t="s">
        <v>3541</v>
      </c>
      <c r="C163" s="65" t="s">
        <v>3543</v>
      </c>
      <c r="D163" s="59" t="s">
        <v>3268</v>
      </c>
      <c r="E163" s="55"/>
    </row>
    <row r="164" spans="1:5" x14ac:dyDescent="0.25">
      <c r="A164" s="59">
        <f t="shared" si="2"/>
        <v>163</v>
      </c>
      <c r="B164" s="68" t="s">
        <v>3544</v>
      </c>
      <c r="C164" s="65" t="s">
        <v>3545</v>
      </c>
      <c r="D164" s="59" t="s">
        <v>3268</v>
      </c>
      <c r="E164" s="55"/>
    </row>
    <row r="165" spans="1:5" x14ac:dyDescent="0.25">
      <c r="A165" s="59">
        <f t="shared" si="2"/>
        <v>164</v>
      </c>
      <c r="B165" s="68" t="s">
        <v>3547</v>
      </c>
      <c r="C165" s="65" t="s">
        <v>3548</v>
      </c>
      <c r="D165" s="59" t="s">
        <v>3268</v>
      </c>
      <c r="E165" s="55"/>
    </row>
    <row r="166" spans="1:5" x14ac:dyDescent="0.25">
      <c r="A166" s="59">
        <f t="shared" si="2"/>
        <v>165</v>
      </c>
      <c r="B166" s="68" t="s">
        <v>3549</v>
      </c>
      <c r="C166" s="65" t="s">
        <v>3550</v>
      </c>
      <c r="D166" s="59" t="s">
        <v>3268</v>
      </c>
      <c r="E166" s="55"/>
    </row>
    <row r="167" spans="1:5" x14ac:dyDescent="0.25">
      <c r="A167" s="59">
        <f t="shared" si="2"/>
        <v>166</v>
      </c>
      <c r="B167" s="68" t="s">
        <v>3551</v>
      </c>
      <c r="C167" s="65" t="s">
        <v>3552</v>
      </c>
      <c r="D167" s="59" t="s">
        <v>3268</v>
      </c>
      <c r="E167" s="55"/>
    </row>
    <row r="168" spans="1:5" x14ac:dyDescent="0.25">
      <c r="A168" s="59">
        <f t="shared" si="2"/>
        <v>167</v>
      </c>
      <c r="B168" s="68" t="s">
        <v>3553</v>
      </c>
      <c r="C168" s="65" t="s">
        <v>3554</v>
      </c>
      <c r="D168" s="59" t="s">
        <v>3268</v>
      </c>
      <c r="E168" s="55"/>
    </row>
    <row r="169" spans="1:5" x14ac:dyDescent="0.25">
      <c r="A169" s="59">
        <f t="shared" si="2"/>
        <v>168</v>
      </c>
      <c r="B169" s="68" t="s">
        <v>3553</v>
      </c>
      <c r="C169" s="65" t="s">
        <v>3556</v>
      </c>
      <c r="D169" s="59" t="s">
        <v>3268</v>
      </c>
      <c r="E169" s="55"/>
    </row>
    <row r="170" spans="1:5" x14ac:dyDescent="0.25">
      <c r="A170" s="59">
        <f t="shared" si="2"/>
        <v>169</v>
      </c>
      <c r="B170" s="68" t="s">
        <v>3555</v>
      </c>
      <c r="C170" s="65" t="s">
        <v>3557</v>
      </c>
      <c r="D170" s="59" t="s">
        <v>3268</v>
      </c>
      <c r="E170" s="55"/>
    </row>
    <row r="171" spans="1:5" x14ac:dyDescent="0.25">
      <c r="A171" s="59">
        <f t="shared" si="2"/>
        <v>170</v>
      </c>
      <c r="B171" s="68" t="s">
        <v>3560</v>
      </c>
      <c r="C171" s="65" t="s">
        <v>3561</v>
      </c>
      <c r="D171" s="59" t="s">
        <v>3268</v>
      </c>
      <c r="E171" s="55"/>
    </row>
    <row r="172" spans="1:5" x14ac:dyDescent="0.25">
      <c r="A172" s="59">
        <f t="shared" si="2"/>
        <v>171</v>
      </c>
      <c r="B172" s="68" t="s">
        <v>3562</v>
      </c>
      <c r="C172" s="65" t="s">
        <v>3563</v>
      </c>
      <c r="D172" s="59" t="s">
        <v>3268</v>
      </c>
      <c r="E172" s="55"/>
    </row>
    <row r="173" spans="1:5" x14ac:dyDescent="0.25">
      <c r="A173" s="59">
        <f t="shared" si="2"/>
        <v>172</v>
      </c>
      <c r="B173" s="68" t="s">
        <v>3564</v>
      </c>
      <c r="C173" s="65" t="s">
        <v>3565</v>
      </c>
      <c r="D173" s="59" t="s">
        <v>3268</v>
      </c>
      <c r="E173" s="55"/>
    </row>
    <row r="174" spans="1:5" x14ac:dyDescent="0.25">
      <c r="A174" s="59">
        <f t="shared" si="2"/>
        <v>173</v>
      </c>
      <c r="B174" s="68" t="s">
        <v>3564</v>
      </c>
      <c r="C174" s="65" t="s">
        <v>3566</v>
      </c>
      <c r="D174" s="59" t="s">
        <v>3268</v>
      </c>
      <c r="E174" s="55"/>
    </row>
    <row r="175" spans="1:5" x14ac:dyDescent="0.25">
      <c r="A175" s="59">
        <f t="shared" si="2"/>
        <v>174</v>
      </c>
      <c r="B175" s="68" t="s">
        <v>3567</v>
      </c>
      <c r="C175" s="65" t="s">
        <v>3568</v>
      </c>
      <c r="D175" s="59" t="s">
        <v>3268</v>
      </c>
      <c r="E175" s="55"/>
    </row>
    <row r="176" spans="1:5" x14ac:dyDescent="0.25">
      <c r="A176" s="59">
        <f t="shared" si="2"/>
        <v>175</v>
      </c>
      <c r="B176" s="68" t="s">
        <v>3567</v>
      </c>
      <c r="C176" s="65" t="s">
        <v>3570</v>
      </c>
      <c r="D176" s="59" t="s">
        <v>3268</v>
      </c>
      <c r="E176" s="55" t="s">
        <v>3569</v>
      </c>
    </row>
    <row r="177" spans="1:5" x14ac:dyDescent="0.25">
      <c r="A177" s="59">
        <f t="shared" si="2"/>
        <v>176</v>
      </c>
      <c r="B177" s="68" t="s">
        <v>3571</v>
      </c>
      <c r="C177" s="65" t="s">
        <v>3572</v>
      </c>
      <c r="D177" s="59" t="s">
        <v>3268</v>
      </c>
      <c r="E177" s="55"/>
    </row>
    <row r="178" spans="1:5" x14ac:dyDescent="0.25">
      <c r="A178" s="59">
        <f t="shared" si="2"/>
        <v>177</v>
      </c>
      <c r="B178" s="68" t="s">
        <v>3574</v>
      </c>
      <c r="C178" s="65" t="s">
        <v>3575</v>
      </c>
      <c r="D178" s="59" t="s">
        <v>3268</v>
      </c>
      <c r="E178" s="55"/>
    </row>
    <row r="179" spans="1:5" x14ac:dyDescent="0.25">
      <c r="A179" s="59">
        <f t="shared" si="2"/>
        <v>178</v>
      </c>
      <c r="B179" s="68" t="s">
        <v>3574</v>
      </c>
      <c r="C179" s="65" t="s">
        <v>3576</v>
      </c>
      <c r="D179" s="59" t="s">
        <v>3268</v>
      </c>
      <c r="E179" s="55"/>
    </row>
    <row r="180" spans="1:5" x14ac:dyDescent="0.25">
      <c r="A180" s="59">
        <f t="shared" si="2"/>
        <v>179</v>
      </c>
      <c r="B180" s="68" t="s">
        <v>3574</v>
      </c>
      <c r="C180" s="65" t="s">
        <v>3573</v>
      </c>
      <c r="D180" s="59" t="s">
        <v>3268</v>
      </c>
      <c r="E180" s="55"/>
    </row>
    <row r="181" spans="1:5" x14ac:dyDescent="0.25">
      <c r="A181" s="59">
        <f t="shared" si="2"/>
        <v>180</v>
      </c>
      <c r="B181" s="68" t="s">
        <v>3579</v>
      </c>
      <c r="C181" s="65" t="s">
        <v>3580</v>
      </c>
      <c r="D181" s="59" t="s">
        <v>3268</v>
      </c>
      <c r="E181" s="55"/>
    </row>
    <row r="182" spans="1:5" x14ac:dyDescent="0.25">
      <c r="A182" s="59">
        <f t="shared" si="2"/>
        <v>181</v>
      </c>
      <c r="B182" s="68" t="s">
        <v>3579</v>
      </c>
      <c r="C182" s="65" t="s">
        <v>3581</v>
      </c>
      <c r="D182" s="59" t="s">
        <v>3268</v>
      </c>
      <c r="E182" s="55"/>
    </row>
    <row r="183" spans="1:5" x14ac:dyDescent="0.25">
      <c r="A183" s="59">
        <f t="shared" si="2"/>
        <v>182</v>
      </c>
      <c r="B183" s="68" t="s">
        <v>3588</v>
      </c>
      <c r="C183" s="65" t="s">
        <v>3589</v>
      </c>
      <c r="D183" s="59" t="s">
        <v>3268</v>
      </c>
      <c r="E183" s="55"/>
    </row>
    <row r="184" spans="1:5" x14ac:dyDescent="0.25">
      <c r="A184" s="59">
        <f t="shared" si="2"/>
        <v>183</v>
      </c>
      <c r="B184" s="68" t="s">
        <v>3588</v>
      </c>
      <c r="C184" s="65" t="s">
        <v>3591</v>
      </c>
      <c r="D184" s="59" t="s">
        <v>3268</v>
      </c>
      <c r="E184" s="55"/>
    </row>
    <row r="185" spans="1:5" x14ac:dyDescent="0.25">
      <c r="A185" s="59">
        <f t="shared" si="2"/>
        <v>184</v>
      </c>
      <c r="B185" s="68" t="s">
        <v>3588</v>
      </c>
      <c r="C185" s="65" t="s">
        <v>3592</v>
      </c>
      <c r="D185" s="59" t="s">
        <v>3268</v>
      </c>
      <c r="E185" s="55"/>
    </row>
    <row r="186" spans="1:5" x14ac:dyDescent="0.25">
      <c r="A186" s="59">
        <f t="shared" si="2"/>
        <v>185</v>
      </c>
      <c r="B186" s="68" t="s">
        <v>3593</v>
      </c>
      <c r="C186" s="65" t="s">
        <v>3594</v>
      </c>
      <c r="D186" s="59" t="s">
        <v>3268</v>
      </c>
      <c r="E186" s="55"/>
    </row>
    <row r="187" spans="1:5" x14ac:dyDescent="0.25">
      <c r="A187" s="59">
        <f t="shared" si="2"/>
        <v>186</v>
      </c>
      <c r="B187" s="68" t="s">
        <v>3595</v>
      </c>
      <c r="C187" s="65" t="s">
        <v>3596</v>
      </c>
      <c r="D187" s="59" t="s">
        <v>3268</v>
      </c>
      <c r="E187" s="55"/>
    </row>
    <row r="188" spans="1:5" x14ac:dyDescent="0.25">
      <c r="A188" s="59">
        <f t="shared" si="2"/>
        <v>187</v>
      </c>
      <c r="B188" s="68" t="s">
        <v>3595</v>
      </c>
      <c r="C188" s="65" t="s">
        <v>3597</v>
      </c>
      <c r="D188" s="59" t="s">
        <v>3268</v>
      </c>
      <c r="E188" s="55"/>
    </row>
    <row r="189" spans="1:5" x14ac:dyDescent="0.25">
      <c r="A189" s="59">
        <f t="shared" si="2"/>
        <v>188</v>
      </c>
      <c r="B189" s="68" t="s">
        <v>3602</v>
      </c>
      <c r="C189" s="65" t="s">
        <v>3603</v>
      </c>
      <c r="D189" s="59" t="s">
        <v>3268</v>
      </c>
      <c r="E189" s="55"/>
    </row>
    <row r="190" spans="1:5" x14ac:dyDescent="0.25">
      <c r="A190" s="59">
        <f t="shared" si="2"/>
        <v>189</v>
      </c>
      <c r="B190" s="68" t="s">
        <v>3602</v>
      </c>
      <c r="C190" s="65" t="s">
        <v>3489</v>
      </c>
      <c r="D190" s="59" t="s">
        <v>3268</v>
      </c>
      <c r="E190" s="55"/>
    </row>
    <row r="191" spans="1:5" x14ac:dyDescent="0.25">
      <c r="A191" s="59">
        <f t="shared" si="2"/>
        <v>190</v>
      </c>
      <c r="B191" s="68" t="s">
        <v>3604</v>
      </c>
      <c r="C191" s="65" t="s">
        <v>3605</v>
      </c>
      <c r="D191" s="59" t="s">
        <v>3268</v>
      </c>
      <c r="E191" s="55"/>
    </row>
    <row r="192" spans="1:5" x14ac:dyDescent="0.25">
      <c r="A192" s="59">
        <f t="shared" si="2"/>
        <v>191</v>
      </c>
      <c r="B192" s="68" t="s">
        <v>3606</v>
      </c>
      <c r="C192" s="65" t="s">
        <v>3587</v>
      </c>
      <c r="D192" s="59" t="s">
        <v>3268</v>
      </c>
      <c r="E192" s="55"/>
    </row>
    <row r="193" spans="1:5" x14ac:dyDescent="0.25">
      <c r="A193" s="59">
        <f t="shared" si="2"/>
        <v>192</v>
      </c>
      <c r="B193" s="68" t="s">
        <v>3606</v>
      </c>
      <c r="C193" s="65" t="s">
        <v>3607</v>
      </c>
      <c r="D193" s="59" t="s">
        <v>3268</v>
      </c>
      <c r="E193" s="55"/>
    </row>
    <row r="194" spans="1:5" x14ac:dyDescent="0.25">
      <c r="A194" s="59">
        <f t="shared" si="2"/>
        <v>193</v>
      </c>
      <c r="B194" s="68" t="s">
        <v>3608</v>
      </c>
      <c r="C194" s="65" t="s">
        <v>3609</v>
      </c>
      <c r="D194" s="59" t="s">
        <v>3268</v>
      </c>
      <c r="E194" s="55"/>
    </row>
    <row r="195" spans="1:5" x14ac:dyDescent="0.25">
      <c r="A195" s="59">
        <f t="shared" ref="A195:A258" si="3">IF(ISBLANK($C195),"",ROW()-1)</f>
        <v>194</v>
      </c>
      <c r="B195" s="68" t="s">
        <v>3608</v>
      </c>
      <c r="C195" s="65" t="s">
        <v>3610</v>
      </c>
      <c r="D195" s="59" t="s">
        <v>3268</v>
      </c>
      <c r="E195" s="55"/>
    </row>
    <row r="196" spans="1:5" x14ac:dyDescent="0.25">
      <c r="A196" s="59">
        <f t="shared" si="3"/>
        <v>195</v>
      </c>
      <c r="B196" s="68" t="s">
        <v>3612</v>
      </c>
      <c r="C196" s="65" t="s">
        <v>3611</v>
      </c>
      <c r="D196" s="59" t="s">
        <v>3268</v>
      </c>
      <c r="E196" s="55"/>
    </row>
    <row r="197" spans="1:5" x14ac:dyDescent="0.25">
      <c r="A197" s="59">
        <f t="shared" si="3"/>
        <v>196</v>
      </c>
      <c r="B197" s="68" t="s">
        <v>3612</v>
      </c>
      <c r="C197" s="65" t="s">
        <v>3613</v>
      </c>
      <c r="D197" s="59" t="s">
        <v>3268</v>
      </c>
      <c r="E197" s="55"/>
    </row>
    <row r="198" spans="1:5" x14ac:dyDescent="0.25">
      <c r="A198" s="59">
        <f t="shared" si="3"/>
        <v>197</v>
      </c>
      <c r="B198" s="68" t="s">
        <v>3614</v>
      </c>
      <c r="C198" s="65" t="s">
        <v>3615</v>
      </c>
      <c r="D198" s="59" t="s">
        <v>3268</v>
      </c>
      <c r="E198" s="55"/>
    </row>
    <row r="199" spans="1:5" x14ac:dyDescent="0.25">
      <c r="A199" s="59">
        <f t="shared" si="3"/>
        <v>198</v>
      </c>
      <c r="B199" s="68" t="s">
        <v>3614</v>
      </c>
      <c r="C199" s="65" t="s">
        <v>3615</v>
      </c>
      <c r="D199" s="59" t="s">
        <v>3268</v>
      </c>
      <c r="E199" s="55"/>
    </row>
    <row r="200" spans="1:5" x14ac:dyDescent="0.25">
      <c r="A200" s="59">
        <f t="shared" si="3"/>
        <v>199</v>
      </c>
      <c r="B200" s="68" t="s">
        <v>3616</v>
      </c>
      <c r="C200" s="65" t="s">
        <v>3617</v>
      </c>
      <c r="D200" s="59" t="s">
        <v>3268</v>
      </c>
      <c r="E200" s="55"/>
    </row>
    <row r="201" spans="1:5" x14ac:dyDescent="0.25">
      <c r="A201" s="59">
        <f t="shared" si="3"/>
        <v>200</v>
      </c>
      <c r="B201" s="68" t="s">
        <v>3616</v>
      </c>
      <c r="C201" s="65" t="s">
        <v>3615</v>
      </c>
      <c r="D201" s="59" t="s">
        <v>3268</v>
      </c>
      <c r="E201" s="55"/>
    </row>
    <row r="202" spans="1:5" x14ac:dyDescent="0.25">
      <c r="A202" s="59">
        <f t="shared" si="3"/>
        <v>201</v>
      </c>
      <c r="B202" s="68" t="s">
        <v>3618</v>
      </c>
      <c r="C202" s="65" t="s">
        <v>3619</v>
      </c>
      <c r="D202" s="59" t="s">
        <v>3268</v>
      </c>
      <c r="E202" s="55"/>
    </row>
    <row r="203" spans="1:5" x14ac:dyDescent="0.25">
      <c r="A203" s="59">
        <f t="shared" si="3"/>
        <v>202</v>
      </c>
      <c r="B203" s="68" t="s">
        <v>3618</v>
      </c>
      <c r="C203" s="65" t="s">
        <v>3621</v>
      </c>
      <c r="D203" s="59" t="s">
        <v>3268</v>
      </c>
      <c r="E203" s="55"/>
    </row>
    <row r="204" spans="1:5" x14ac:dyDescent="0.25">
      <c r="A204" s="59">
        <f t="shared" si="3"/>
        <v>203</v>
      </c>
      <c r="B204" s="68" t="s">
        <v>3620</v>
      </c>
      <c r="C204" s="65" t="s">
        <v>3622</v>
      </c>
      <c r="D204" s="59" t="s">
        <v>3268</v>
      </c>
      <c r="E204" s="55"/>
    </row>
    <row r="205" spans="1:5" x14ac:dyDescent="0.25">
      <c r="A205" s="59">
        <f t="shared" si="3"/>
        <v>204</v>
      </c>
      <c r="B205" s="68" t="s">
        <v>3620</v>
      </c>
      <c r="C205" s="65" t="s">
        <v>3623</v>
      </c>
      <c r="D205" s="59" t="s">
        <v>3268</v>
      </c>
      <c r="E205" s="55"/>
    </row>
    <row r="206" spans="1:5" x14ac:dyDescent="0.25">
      <c r="A206" s="59">
        <f t="shared" si="3"/>
        <v>205</v>
      </c>
      <c r="B206" s="68" t="s">
        <v>3624</v>
      </c>
      <c r="C206" s="65" t="s">
        <v>3625</v>
      </c>
      <c r="D206" s="59" t="s">
        <v>3268</v>
      </c>
      <c r="E206" s="55"/>
    </row>
    <row r="207" spans="1:5" x14ac:dyDescent="0.25">
      <c r="A207" s="59">
        <f t="shared" si="3"/>
        <v>206</v>
      </c>
      <c r="B207" s="68" t="s">
        <v>3626</v>
      </c>
      <c r="C207" s="65" t="s">
        <v>3627</v>
      </c>
      <c r="D207" s="59" t="s">
        <v>3267</v>
      </c>
      <c r="E207" s="55"/>
    </row>
    <row r="208" spans="1:5" x14ac:dyDescent="0.25">
      <c r="A208" s="59" t="str">
        <f t="shared" si="3"/>
        <v/>
      </c>
      <c r="B208" s="68"/>
      <c r="C208" s="65"/>
      <c r="D208" s="59"/>
      <c r="E208" s="55"/>
    </row>
    <row r="209" spans="1:5" x14ac:dyDescent="0.25">
      <c r="A209" s="59" t="str">
        <f t="shared" si="3"/>
        <v/>
      </c>
      <c r="B209" s="68"/>
      <c r="C209" s="65"/>
      <c r="D209" s="59"/>
      <c r="E209" s="55"/>
    </row>
    <row r="210" spans="1:5" x14ac:dyDescent="0.25">
      <c r="A210" s="59" t="str">
        <f t="shared" si="3"/>
        <v/>
      </c>
      <c r="B210" s="68"/>
      <c r="C210" s="65"/>
      <c r="D210" s="59"/>
      <c r="E210" s="55"/>
    </row>
    <row r="211" spans="1:5" x14ac:dyDescent="0.25">
      <c r="A211" s="59" t="str">
        <f t="shared" si="3"/>
        <v/>
      </c>
      <c r="B211" s="68"/>
      <c r="C211" s="65"/>
      <c r="D211" s="59"/>
      <c r="E211" s="55"/>
    </row>
    <row r="212" spans="1:5" x14ac:dyDescent="0.25">
      <c r="A212" s="59" t="str">
        <f t="shared" si="3"/>
        <v/>
      </c>
      <c r="B212" s="68"/>
      <c r="C212" s="65"/>
      <c r="D212" s="59"/>
      <c r="E212" s="55"/>
    </row>
    <row r="213" spans="1:5" x14ac:dyDescent="0.25">
      <c r="A213" s="59" t="str">
        <f t="shared" si="3"/>
        <v/>
      </c>
      <c r="B213" s="68"/>
      <c r="C213" s="65"/>
      <c r="D213" s="59"/>
      <c r="E213" s="55"/>
    </row>
    <row r="214" spans="1:5" x14ac:dyDescent="0.25">
      <c r="A214" s="59" t="str">
        <f t="shared" si="3"/>
        <v/>
      </c>
      <c r="B214" s="68"/>
      <c r="C214" s="65"/>
      <c r="D214" s="59"/>
      <c r="E214" s="55"/>
    </row>
    <row r="215" spans="1:5" x14ac:dyDescent="0.25">
      <c r="A215" s="59" t="str">
        <f t="shared" si="3"/>
        <v/>
      </c>
      <c r="B215" s="68"/>
      <c r="C215" s="65"/>
      <c r="D215" s="59"/>
      <c r="E215" s="55"/>
    </row>
    <row r="216" spans="1:5" x14ac:dyDescent="0.25">
      <c r="A216" s="59" t="str">
        <f t="shared" si="3"/>
        <v/>
      </c>
      <c r="B216" s="68"/>
      <c r="C216" s="65"/>
      <c r="D216" s="59"/>
      <c r="E216" s="55"/>
    </row>
    <row r="217" spans="1:5" x14ac:dyDescent="0.25">
      <c r="A217" s="59" t="str">
        <f t="shared" si="3"/>
        <v/>
      </c>
      <c r="B217" s="68"/>
      <c r="C217" s="65"/>
      <c r="D217" s="59"/>
      <c r="E217" s="55"/>
    </row>
    <row r="218" spans="1:5" x14ac:dyDescent="0.25">
      <c r="A218" s="59" t="str">
        <f t="shared" si="3"/>
        <v/>
      </c>
      <c r="B218" s="68"/>
      <c r="C218" s="65"/>
      <c r="D218" s="59"/>
      <c r="E218" s="55"/>
    </row>
    <row r="219" spans="1:5" x14ac:dyDescent="0.25">
      <c r="A219" s="59" t="str">
        <f t="shared" si="3"/>
        <v/>
      </c>
      <c r="B219" s="68"/>
      <c r="C219" s="65"/>
      <c r="D219" s="59"/>
      <c r="E219" s="55"/>
    </row>
    <row r="220" spans="1:5" x14ac:dyDescent="0.25">
      <c r="A220" s="59" t="str">
        <f t="shared" si="3"/>
        <v/>
      </c>
      <c r="B220" s="68"/>
      <c r="C220" s="65"/>
      <c r="D220" s="59"/>
      <c r="E220" s="55"/>
    </row>
    <row r="221" spans="1:5" x14ac:dyDescent="0.25">
      <c r="A221" s="59" t="str">
        <f t="shared" si="3"/>
        <v/>
      </c>
      <c r="B221" s="68"/>
      <c r="C221" s="65"/>
      <c r="D221" s="59"/>
      <c r="E221" s="55"/>
    </row>
    <row r="222" spans="1:5" x14ac:dyDescent="0.25">
      <c r="A222" s="59" t="str">
        <f t="shared" si="3"/>
        <v/>
      </c>
      <c r="B222" s="68"/>
      <c r="C222" s="65"/>
      <c r="D222" s="59"/>
      <c r="E222" s="55"/>
    </row>
    <row r="223" spans="1:5" x14ac:dyDescent="0.25">
      <c r="A223" s="59" t="str">
        <f t="shared" si="3"/>
        <v/>
      </c>
      <c r="B223" s="68"/>
      <c r="C223" s="65"/>
      <c r="D223" s="59"/>
      <c r="E223" s="55"/>
    </row>
    <row r="224" spans="1:5" x14ac:dyDescent="0.25">
      <c r="A224" s="59" t="str">
        <f t="shared" si="3"/>
        <v/>
      </c>
      <c r="B224" s="68"/>
      <c r="C224" s="65"/>
      <c r="D224" s="59"/>
      <c r="E224" s="55"/>
    </row>
    <row r="225" spans="1:5" x14ac:dyDescent="0.25">
      <c r="A225" s="59" t="str">
        <f t="shared" si="3"/>
        <v/>
      </c>
      <c r="B225" s="68"/>
      <c r="C225" s="65"/>
      <c r="D225" s="59"/>
      <c r="E225" s="55"/>
    </row>
    <row r="226" spans="1:5" x14ac:dyDescent="0.25">
      <c r="A226" s="59" t="str">
        <f t="shared" si="3"/>
        <v/>
      </c>
      <c r="B226" s="68"/>
      <c r="C226" s="65"/>
      <c r="D226" s="59"/>
      <c r="E226" s="55"/>
    </row>
    <row r="227" spans="1:5" x14ac:dyDescent="0.25">
      <c r="A227" s="59" t="str">
        <f t="shared" si="3"/>
        <v/>
      </c>
      <c r="B227" s="68"/>
      <c r="C227" s="65"/>
      <c r="D227" s="59"/>
      <c r="E227" s="55"/>
    </row>
    <row r="228" spans="1:5" x14ac:dyDescent="0.25">
      <c r="A228" s="59" t="str">
        <f t="shared" si="3"/>
        <v/>
      </c>
      <c r="B228" s="68"/>
      <c r="C228" s="65"/>
      <c r="D228" s="59"/>
      <c r="E228" s="55"/>
    </row>
    <row r="229" spans="1:5" x14ac:dyDescent="0.25">
      <c r="A229" s="59" t="str">
        <f t="shared" si="3"/>
        <v/>
      </c>
      <c r="B229" s="68"/>
      <c r="C229" s="65"/>
      <c r="D229" s="59"/>
      <c r="E229" s="55"/>
    </row>
    <row r="230" spans="1:5" x14ac:dyDescent="0.25">
      <c r="A230" s="59" t="str">
        <f t="shared" si="3"/>
        <v/>
      </c>
      <c r="B230" s="68"/>
      <c r="C230" s="65"/>
      <c r="D230" s="59"/>
      <c r="E230" s="55"/>
    </row>
    <row r="231" spans="1:5" x14ac:dyDescent="0.25">
      <c r="A231" s="59" t="str">
        <f t="shared" si="3"/>
        <v/>
      </c>
      <c r="B231" s="68"/>
      <c r="C231" s="65"/>
      <c r="D231" s="59"/>
      <c r="E231" s="55"/>
    </row>
    <row r="232" spans="1:5" x14ac:dyDescent="0.25">
      <c r="A232" s="59" t="str">
        <f t="shared" si="3"/>
        <v/>
      </c>
      <c r="B232" s="68"/>
      <c r="C232" s="65"/>
      <c r="D232" s="59"/>
      <c r="E232" s="55"/>
    </row>
    <row r="233" spans="1:5" x14ac:dyDescent="0.25">
      <c r="A233" s="59" t="str">
        <f t="shared" si="3"/>
        <v/>
      </c>
      <c r="B233" s="68"/>
      <c r="C233" s="65"/>
      <c r="D233" s="59"/>
      <c r="E233" s="55"/>
    </row>
    <row r="234" spans="1:5" x14ac:dyDescent="0.25">
      <c r="A234" s="59" t="str">
        <f t="shared" si="3"/>
        <v/>
      </c>
      <c r="B234" s="68"/>
      <c r="C234" s="65"/>
      <c r="D234" s="59"/>
      <c r="E234" s="55"/>
    </row>
    <row r="235" spans="1:5" x14ac:dyDescent="0.25">
      <c r="A235" s="59" t="str">
        <f t="shared" si="3"/>
        <v/>
      </c>
      <c r="B235" s="68"/>
      <c r="C235" s="65"/>
      <c r="D235" s="59"/>
      <c r="E235" s="55"/>
    </row>
    <row r="236" spans="1:5" x14ac:dyDescent="0.25">
      <c r="A236" s="59" t="str">
        <f t="shared" si="3"/>
        <v/>
      </c>
      <c r="B236" s="68"/>
      <c r="C236" s="65"/>
      <c r="D236" s="59"/>
      <c r="E236" s="55"/>
    </row>
    <row r="237" spans="1:5" x14ac:dyDescent="0.25">
      <c r="A237" s="59" t="str">
        <f t="shared" si="3"/>
        <v/>
      </c>
      <c r="B237" s="68"/>
      <c r="C237" s="65"/>
      <c r="D237" s="59"/>
      <c r="E237" s="55"/>
    </row>
    <row r="238" spans="1:5" x14ac:dyDescent="0.25">
      <c r="A238" s="59" t="str">
        <f t="shared" si="3"/>
        <v/>
      </c>
      <c r="B238" s="68"/>
      <c r="C238" s="65"/>
      <c r="D238" s="59"/>
      <c r="E238" s="55"/>
    </row>
    <row r="239" spans="1:5" x14ac:dyDescent="0.25">
      <c r="A239" s="59" t="str">
        <f t="shared" si="3"/>
        <v/>
      </c>
      <c r="B239" s="68"/>
      <c r="C239" s="65"/>
      <c r="D239" s="59"/>
      <c r="E239" s="55"/>
    </row>
    <row r="240" spans="1:5" x14ac:dyDescent="0.25">
      <c r="A240" s="59" t="str">
        <f t="shared" si="3"/>
        <v/>
      </c>
      <c r="B240" s="68"/>
      <c r="C240" s="65"/>
      <c r="D240" s="59"/>
      <c r="E240" s="55"/>
    </row>
    <row r="241" spans="1:5" x14ac:dyDescent="0.25">
      <c r="A241" s="59" t="str">
        <f t="shared" si="3"/>
        <v/>
      </c>
      <c r="B241" s="68"/>
      <c r="C241" s="65"/>
      <c r="D241" s="59"/>
      <c r="E241" s="55"/>
    </row>
    <row r="242" spans="1:5" x14ac:dyDescent="0.25">
      <c r="A242" s="59" t="str">
        <f t="shared" si="3"/>
        <v/>
      </c>
      <c r="B242" s="68"/>
      <c r="C242" s="65"/>
      <c r="D242" s="59"/>
      <c r="E242" s="55"/>
    </row>
    <row r="243" spans="1:5" x14ac:dyDescent="0.25">
      <c r="A243" s="59" t="str">
        <f t="shared" si="3"/>
        <v/>
      </c>
      <c r="B243" s="68"/>
      <c r="C243" s="65"/>
      <c r="D243" s="59"/>
      <c r="E243" s="55"/>
    </row>
    <row r="244" spans="1:5" x14ac:dyDescent="0.25">
      <c r="A244" s="59" t="str">
        <f t="shared" si="3"/>
        <v/>
      </c>
      <c r="B244" s="68"/>
      <c r="C244" s="65"/>
      <c r="D244" s="59"/>
      <c r="E244" s="55"/>
    </row>
    <row r="245" spans="1:5" x14ac:dyDescent="0.25">
      <c r="A245" s="59" t="str">
        <f t="shared" si="3"/>
        <v/>
      </c>
      <c r="B245" s="68"/>
      <c r="C245" s="65"/>
      <c r="D245" s="59"/>
      <c r="E245" s="55"/>
    </row>
    <row r="246" spans="1:5" x14ac:dyDescent="0.25">
      <c r="A246" s="59" t="str">
        <f t="shared" si="3"/>
        <v/>
      </c>
      <c r="B246" s="68"/>
      <c r="C246" s="65"/>
      <c r="D246" s="59"/>
      <c r="E246" s="55"/>
    </row>
    <row r="247" spans="1:5" x14ac:dyDescent="0.25">
      <c r="A247" s="59" t="str">
        <f t="shared" si="3"/>
        <v/>
      </c>
      <c r="B247" s="68"/>
      <c r="C247" s="65"/>
      <c r="D247" s="59"/>
      <c r="E247" s="55"/>
    </row>
    <row r="248" spans="1:5" x14ac:dyDescent="0.25">
      <c r="A248" s="59" t="str">
        <f t="shared" si="3"/>
        <v/>
      </c>
      <c r="B248" s="68"/>
      <c r="C248" s="65"/>
      <c r="D248" s="59"/>
      <c r="E248" s="55"/>
    </row>
    <row r="249" spans="1:5" x14ac:dyDescent="0.25">
      <c r="A249" s="59" t="str">
        <f t="shared" si="3"/>
        <v/>
      </c>
      <c r="B249" s="68"/>
      <c r="C249" s="65"/>
      <c r="D249" s="59"/>
      <c r="E249" s="55"/>
    </row>
    <row r="250" spans="1:5" x14ac:dyDescent="0.25">
      <c r="A250" s="59" t="str">
        <f t="shared" si="3"/>
        <v/>
      </c>
      <c r="B250" s="68"/>
      <c r="C250" s="65"/>
      <c r="D250" s="59"/>
      <c r="E250" s="55"/>
    </row>
    <row r="251" spans="1:5" x14ac:dyDescent="0.25">
      <c r="A251" s="59" t="str">
        <f t="shared" si="3"/>
        <v/>
      </c>
      <c r="B251" s="68"/>
      <c r="C251" s="65"/>
      <c r="D251" s="59"/>
      <c r="E251" s="55"/>
    </row>
    <row r="252" spans="1:5" x14ac:dyDescent="0.25">
      <c r="A252" s="59" t="str">
        <f t="shared" si="3"/>
        <v/>
      </c>
      <c r="B252" s="68"/>
      <c r="C252" s="65"/>
      <c r="D252" s="59"/>
      <c r="E252" s="55"/>
    </row>
    <row r="253" spans="1:5" x14ac:dyDescent="0.25">
      <c r="A253" s="59" t="str">
        <f t="shared" si="3"/>
        <v/>
      </c>
      <c r="B253" s="68"/>
      <c r="C253" s="65"/>
      <c r="D253" s="59"/>
      <c r="E253" s="55"/>
    </row>
    <row r="254" spans="1:5" x14ac:dyDescent="0.25">
      <c r="A254" s="59" t="str">
        <f t="shared" si="3"/>
        <v/>
      </c>
      <c r="B254" s="68"/>
      <c r="C254" s="65"/>
      <c r="D254" s="59"/>
      <c r="E254" s="55"/>
    </row>
    <row r="255" spans="1:5" x14ac:dyDescent="0.25">
      <c r="A255" s="59" t="str">
        <f t="shared" si="3"/>
        <v/>
      </c>
      <c r="B255" s="68"/>
      <c r="C255" s="65"/>
      <c r="D255" s="59"/>
      <c r="E255" s="55"/>
    </row>
    <row r="256" spans="1:5" x14ac:dyDescent="0.25">
      <c r="A256" s="59" t="str">
        <f t="shared" si="3"/>
        <v/>
      </c>
      <c r="B256" s="68"/>
      <c r="C256" s="65"/>
      <c r="D256" s="59"/>
      <c r="E256" s="55"/>
    </row>
    <row r="257" spans="1:5" x14ac:dyDescent="0.25">
      <c r="A257" s="59" t="str">
        <f t="shared" si="3"/>
        <v/>
      </c>
      <c r="B257" s="68"/>
      <c r="C257" s="65"/>
      <c r="D257" s="59"/>
      <c r="E257" s="55"/>
    </row>
    <row r="258" spans="1:5" x14ac:dyDescent="0.25">
      <c r="A258" s="59" t="str">
        <f t="shared" si="3"/>
        <v/>
      </c>
      <c r="B258" s="68"/>
      <c r="C258" s="65"/>
      <c r="D258" s="59"/>
      <c r="E258" s="55"/>
    </row>
    <row r="259" spans="1:5" x14ac:dyDescent="0.25">
      <c r="A259" s="59" t="str">
        <f t="shared" ref="A259:A260" si="4">IF(ISBLANK($C259),"",ROW()-1)</f>
        <v/>
      </c>
      <c r="B259" s="68"/>
      <c r="C259" s="65"/>
      <c r="D259" s="59"/>
      <c r="E259" s="55"/>
    </row>
    <row r="260" spans="1:5" x14ac:dyDescent="0.25">
      <c r="A260" s="59" t="str">
        <f t="shared" si="4"/>
        <v/>
      </c>
      <c r="B260" s="68"/>
      <c r="C260" s="65"/>
      <c r="D260" s="59"/>
      <c r="E260" s="55"/>
    </row>
    <row r="261" spans="1:5" x14ac:dyDescent="0.25">
      <c r="A261" s="59" t="str">
        <f t="shared" ref="A261:A296" si="5">IF(ISBLANK($C261),"",ROW()-1)</f>
        <v/>
      </c>
      <c r="B261" s="68"/>
      <c r="C261" s="65"/>
      <c r="D261" s="59"/>
      <c r="E261" s="55"/>
    </row>
    <row r="262" spans="1:5" x14ac:dyDescent="0.25">
      <c r="A262" s="59" t="str">
        <f t="shared" si="5"/>
        <v/>
      </c>
      <c r="B262" s="68"/>
      <c r="C262" s="65"/>
      <c r="D262" s="59"/>
      <c r="E262" s="55"/>
    </row>
    <row r="263" spans="1:5" x14ac:dyDescent="0.25">
      <c r="A263" s="59" t="str">
        <f t="shared" si="5"/>
        <v/>
      </c>
      <c r="B263" s="68"/>
      <c r="C263" s="65"/>
      <c r="D263" s="59"/>
      <c r="E263" s="55"/>
    </row>
    <row r="264" spans="1:5" x14ac:dyDescent="0.25">
      <c r="A264" s="59" t="str">
        <f t="shared" si="5"/>
        <v/>
      </c>
      <c r="B264" s="68"/>
      <c r="C264" s="65"/>
      <c r="D264" s="59"/>
      <c r="E264" s="55"/>
    </row>
    <row r="265" spans="1:5" x14ac:dyDescent="0.25">
      <c r="A265" s="59" t="str">
        <f t="shared" si="5"/>
        <v/>
      </c>
      <c r="B265" s="68"/>
      <c r="C265" s="65"/>
      <c r="D265" s="59"/>
      <c r="E265" s="55"/>
    </row>
    <row r="266" spans="1:5" x14ac:dyDescent="0.25">
      <c r="A266" s="59" t="str">
        <f t="shared" si="5"/>
        <v/>
      </c>
      <c r="B266" s="68"/>
      <c r="C266" s="65"/>
      <c r="D266" s="59"/>
      <c r="E266" s="55"/>
    </row>
    <row r="267" spans="1:5" x14ac:dyDescent="0.25">
      <c r="A267" s="59" t="str">
        <f t="shared" si="5"/>
        <v/>
      </c>
      <c r="B267" s="68"/>
      <c r="C267" s="65"/>
      <c r="D267" s="59"/>
      <c r="E267" s="55"/>
    </row>
    <row r="268" spans="1:5" x14ac:dyDescent="0.25">
      <c r="A268" s="59" t="str">
        <f t="shared" si="5"/>
        <v/>
      </c>
      <c r="B268" s="68"/>
      <c r="C268" s="65"/>
      <c r="D268" s="59"/>
      <c r="E268" s="55"/>
    </row>
    <row r="269" spans="1:5" x14ac:dyDescent="0.25">
      <c r="A269" s="59" t="str">
        <f t="shared" si="5"/>
        <v/>
      </c>
      <c r="B269" s="68"/>
      <c r="C269" s="65"/>
      <c r="D269" s="59"/>
      <c r="E269" s="55"/>
    </row>
    <row r="270" spans="1:5" x14ac:dyDescent="0.25">
      <c r="A270" s="59" t="str">
        <f t="shared" si="5"/>
        <v/>
      </c>
      <c r="B270" s="68"/>
      <c r="C270" s="65"/>
      <c r="D270" s="59"/>
      <c r="E270" s="55"/>
    </row>
    <row r="271" spans="1:5" x14ac:dyDescent="0.25">
      <c r="A271" s="59" t="str">
        <f t="shared" si="5"/>
        <v/>
      </c>
      <c r="B271" s="68"/>
      <c r="C271" s="65"/>
      <c r="D271" s="59"/>
      <c r="E271" s="55"/>
    </row>
    <row r="272" spans="1:5" x14ac:dyDescent="0.25">
      <c r="A272" s="59" t="str">
        <f t="shared" si="5"/>
        <v/>
      </c>
      <c r="B272" s="68"/>
      <c r="C272" s="65"/>
      <c r="D272" s="59"/>
      <c r="E272" s="55"/>
    </row>
    <row r="273" spans="1:5" x14ac:dyDescent="0.25">
      <c r="A273" s="59" t="str">
        <f t="shared" si="5"/>
        <v/>
      </c>
      <c r="B273" s="68"/>
      <c r="C273" s="65"/>
      <c r="D273" s="59"/>
      <c r="E273" s="55"/>
    </row>
    <row r="274" spans="1:5" x14ac:dyDescent="0.25">
      <c r="A274" s="59" t="str">
        <f t="shared" si="5"/>
        <v/>
      </c>
      <c r="B274" s="68"/>
      <c r="C274" s="65"/>
      <c r="D274" s="59"/>
      <c r="E274" s="55"/>
    </row>
    <row r="275" spans="1:5" x14ac:dyDescent="0.25">
      <c r="A275" s="59" t="str">
        <f t="shared" si="5"/>
        <v/>
      </c>
      <c r="B275" s="68"/>
      <c r="C275" s="65"/>
      <c r="D275" s="59"/>
      <c r="E275" s="55"/>
    </row>
    <row r="276" spans="1:5" x14ac:dyDescent="0.25">
      <c r="A276" s="59" t="str">
        <f t="shared" si="5"/>
        <v/>
      </c>
      <c r="B276" s="68"/>
      <c r="C276" s="65"/>
      <c r="D276" s="59"/>
      <c r="E276" s="55"/>
    </row>
    <row r="277" spans="1:5" x14ac:dyDescent="0.25">
      <c r="A277" s="59" t="str">
        <f t="shared" si="5"/>
        <v/>
      </c>
      <c r="B277" s="68"/>
      <c r="C277" s="65"/>
      <c r="D277" s="59"/>
      <c r="E277" s="55"/>
    </row>
    <row r="278" spans="1:5" x14ac:dyDescent="0.25">
      <c r="A278" s="59" t="str">
        <f t="shared" si="5"/>
        <v/>
      </c>
      <c r="B278" s="68"/>
      <c r="C278" s="65"/>
      <c r="D278" s="59"/>
      <c r="E278" s="55"/>
    </row>
    <row r="279" spans="1:5" x14ac:dyDescent="0.25">
      <c r="A279" s="59" t="str">
        <f t="shared" si="5"/>
        <v/>
      </c>
      <c r="B279" s="68"/>
      <c r="C279" s="65"/>
      <c r="D279" s="59"/>
      <c r="E279" s="55"/>
    </row>
    <row r="280" spans="1:5" x14ac:dyDescent="0.25">
      <c r="A280" s="59" t="str">
        <f t="shared" si="5"/>
        <v/>
      </c>
      <c r="B280" s="68"/>
      <c r="C280" s="65"/>
      <c r="D280" s="59"/>
      <c r="E280" s="55"/>
    </row>
    <row r="281" spans="1:5" x14ac:dyDescent="0.25">
      <c r="A281" s="59" t="str">
        <f t="shared" si="5"/>
        <v/>
      </c>
      <c r="B281" s="68"/>
      <c r="C281" s="65"/>
      <c r="D281" s="59"/>
      <c r="E281" s="55"/>
    </row>
    <row r="282" spans="1:5" x14ac:dyDescent="0.25">
      <c r="A282" s="59" t="str">
        <f t="shared" si="5"/>
        <v/>
      </c>
      <c r="B282" s="68"/>
      <c r="C282" s="65"/>
      <c r="D282" s="59"/>
      <c r="E282" s="55"/>
    </row>
    <row r="283" spans="1:5" x14ac:dyDescent="0.25">
      <c r="A283" s="59" t="str">
        <f t="shared" si="5"/>
        <v/>
      </c>
      <c r="B283" s="68"/>
      <c r="C283" s="65"/>
      <c r="D283" s="59"/>
      <c r="E283" s="55"/>
    </row>
    <row r="284" spans="1:5" x14ac:dyDescent="0.25">
      <c r="A284" s="59" t="str">
        <f t="shared" si="5"/>
        <v/>
      </c>
      <c r="B284" s="68"/>
      <c r="C284" s="65"/>
      <c r="D284" s="59"/>
      <c r="E284" s="55"/>
    </row>
    <row r="285" spans="1:5" x14ac:dyDescent="0.25">
      <c r="A285" s="59" t="str">
        <f t="shared" si="5"/>
        <v/>
      </c>
      <c r="B285" s="68"/>
      <c r="C285" s="65"/>
      <c r="D285" s="59"/>
      <c r="E285" s="55"/>
    </row>
    <row r="286" spans="1:5" x14ac:dyDescent="0.25">
      <c r="A286" s="59" t="str">
        <f t="shared" si="5"/>
        <v/>
      </c>
      <c r="B286" s="68"/>
      <c r="C286" s="65"/>
      <c r="D286" s="59"/>
      <c r="E286" s="55"/>
    </row>
    <row r="287" spans="1:5" x14ac:dyDescent="0.25">
      <c r="A287" s="59" t="str">
        <f t="shared" si="5"/>
        <v/>
      </c>
      <c r="B287" s="68"/>
      <c r="C287" s="65"/>
      <c r="D287" s="59"/>
      <c r="E287" s="55"/>
    </row>
    <row r="288" spans="1:5" x14ac:dyDescent="0.25">
      <c r="A288" s="59" t="str">
        <f t="shared" si="5"/>
        <v/>
      </c>
      <c r="B288" s="68"/>
      <c r="C288" s="65"/>
      <c r="D288" s="59"/>
      <c r="E288" s="55"/>
    </row>
    <row r="289" spans="1:5" x14ac:dyDescent="0.25">
      <c r="A289" s="59" t="str">
        <f t="shared" si="5"/>
        <v/>
      </c>
      <c r="B289" s="68"/>
      <c r="C289" s="65"/>
      <c r="D289" s="59"/>
      <c r="E289" s="55"/>
    </row>
    <row r="290" spans="1:5" x14ac:dyDescent="0.25">
      <c r="A290" s="59" t="str">
        <f t="shared" si="5"/>
        <v/>
      </c>
      <c r="B290" s="68"/>
      <c r="C290" s="65"/>
      <c r="D290" s="59"/>
      <c r="E290" s="55"/>
    </row>
    <row r="291" spans="1:5" x14ac:dyDescent="0.25">
      <c r="A291" s="59" t="str">
        <f t="shared" si="5"/>
        <v/>
      </c>
      <c r="B291" s="68"/>
      <c r="C291" s="65"/>
      <c r="D291" s="59"/>
      <c r="E291" s="55"/>
    </row>
    <row r="292" spans="1:5" x14ac:dyDescent="0.25">
      <c r="A292" s="59" t="str">
        <f t="shared" si="5"/>
        <v/>
      </c>
      <c r="B292" s="68"/>
      <c r="C292" s="65"/>
      <c r="D292" s="59"/>
      <c r="E292" s="55"/>
    </row>
    <row r="293" spans="1:5" x14ac:dyDescent="0.25">
      <c r="A293" s="59" t="str">
        <f t="shared" si="5"/>
        <v/>
      </c>
      <c r="B293" s="68"/>
      <c r="C293" s="65"/>
      <c r="D293" s="59"/>
      <c r="E293" s="55"/>
    </row>
    <row r="294" spans="1:5" x14ac:dyDescent="0.25">
      <c r="A294" s="59" t="str">
        <f t="shared" si="5"/>
        <v/>
      </c>
      <c r="B294" s="68"/>
      <c r="C294" s="65"/>
      <c r="D294" s="59"/>
      <c r="E294" s="55"/>
    </row>
    <row r="295" spans="1:5" x14ac:dyDescent="0.25">
      <c r="A295" s="59" t="str">
        <f t="shared" si="5"/>
        <v/>
      </c>
      <c r="B295" s="68"/>
      <c r="C295" s="65"/>
      <c r="D295" s="59"/>
      <c r="E295" s="55"/>
    </row>
    <row r="296" spans="1:5" x14ac:dyDescent="0.25">
      <c r="A296" s="59" t="str">
        <f t="shared" si="5"/>
        <v/>
      </c>
      <c r="B296" s="68"/>
      <c r="C296" s="65"/>
      <c r="D296" s="59"/>
      <c r="E296" s="55"/>
    </row>
  </sheetData>
  <autoFilter ref="A1:E60" xr:uid="{15EB8B7A-1E09-4EAF-AA6E-A4C577A29AE5}"/>
  <phoneticPr fontId="55" type="noConversion"/>
  <conditionalFormatting sqref="A84 A2:E83 A85:C86 D84:E86 A87:E1001">
    <cfRule type="expression" dxfId="244" priority="5">
      <formula>$D2="DONE"</formula>
    </cfRule>
    <cfRule type="expression" dxfId="243" priority="6">
      <formula>$D2="NOT"</formula>
    </cfRule>
  </conditionalFormatting>
  <conditionalFormatting sqref="C84">
    <cfRule type="expression" dxfId="242" priority="3">
      <formula>$D84="DONE"</formula>
    </cfRule>
    <cfRule type="expression" dxfId="241" priority="4">
      <formula>$D84="NOT"</formula>
    </cfRule>
  </conditionalFormatting>
  <conditionalFormatting sqref="B84">
    <cfRule type="expression" dxfId="240" priority="1">
      <formula>$D84="DONE"</formula>
    </cfRule>
    <cfRule type="expression" dxfId="239" priority="2">
      <formula>$D84="NOT"</formula>
    </cfRule>
  </conditionalFormatting>
  <dataValidations count="1">
    <dataValidation type="list" allowBlank="1" showInputMessage="1" showErrorMessage="1" sqref="D2:D296" xr:uid="{435CD133-DD22-4956-AC7B-3D8D11796B5E}">
      <formula1>$G$2:$G$3</formula1>
    </dataValidation>
  </dataValidations>
  <pageMargins left="0.7" right="0.7" top="0.75" bottom="0.75" header="0.3" footer="0.3"/>
  <pageSetup paperSize="11" scale="90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9575C-0F2B-4D4D-81DD-75974377350E}">
  <sheetPr codeName="Sheet12">
    <tabColor theme="9" tint="-0.249977111117893"/>
  </sheetPr>
  <dimension ref="A1:F29"/>
  <sheetViews>
    <sheetView showGridLines="0" tabSelected="1" zoomScaleNormal="100" workbookViewId="0">
      <selection sqref="A1:C16"/>
    </sheetView>
  </sheetViews>
  <sheetFormatPr defaultRowHeight="15" outlineLevelCol="1" x14ac:dyDescent="0.25"/>
  <cols>
    <col min="1" max="1" width="18.28515625" style="112" bestFit="1" customWidth="1"/>
    <col min="2" max="2" width="20.28515625" style="136" customWidth="1"/>
    <col min="3" max="3" width="30.28515625" style="131" bestFit="1" customWidth="1"/>
    <col min="4" max="4" width="21.28515625" style="112" hidden="1" customWidth="1" outlineLevel="1"/>
    <col min="5" max="5" width="13.140625" hidden="1" customWidth="1" outlineLevel="1"/>
    <col min="6" max="6" width="9.140625" collapsed="1"/>
  </cols>
  <sheetData>
    <row r="1" spans="1:5" ht="52.5" customHeight="1" x14ac:dyDescent="0.25">
      <c r="A1" s="174" t="s">
        <v>4329</v>
      </c>
      <c r="B1" s="133"/>
      <c r="C1" s="172">
        <f>COUNTA(B4:B100)</f>
        <v>13</v>
      </c>
      <c r="D1" s="170"/>
    </row>
    <row r="2" spans="1:5" ht="18.75" customHeight="1" x14ac:dyDescent="0.25">
      <c r="A2" s="175"/>
      <c r="B2" s="133"/>
      <c r="C2" s="173"/>
      <c r="D2" s="171"/>
    </row>
    <row r="3" spans="1:5" x14ac:dyDescent="0.25">
      <c r="A3" s="113" t="s">
        <v>3514</v>
      </c>
      <c r="B3" s="134" t="s">
        <v>3516</v>
      </c>
      <c r="C3" s="132" t="s">
        <v>3515</v>
      </c>
      <c r="D3" s="114" t="s">
        <v>3518</v>
      </c>
      <c r="E3" s="127" t="s">
        <v>3559</v>
      </c>
    </row>
    <row r="4" spans="1:5" x14ac:dyDescent="0.25">
      <c r="A4" s="114" t="s">
        <v>3999</v>
      </c>
      <c r="B4" s="114" t="s">
        <v>4003</v>
      </c>
      <c r="C4" s="114" t="s">
        <v>4002</v>
      </c>
      <c r="D4" s="115">
        <v>1</v>
      </c>
      <c r="E4" s="21"/>
    </row>
    <row r="5" spans="1:5" x14ac:dyDescent="0.25">
      <c r="A5" s="114" t="s">
        <v>4008</v>
      </c>
      <c r="B5" s="114" t="s">
        <v>4012</v>
      </c>
      <c r="C5" s="114" t="s">
        <v>4011</v>
      </c>
      <c r="D5" s="115">
        <v>1</v>
      </c>
      <c r="E5" s="128"/>
    </row>
    <row r="6" spans="1:5" x14ac:dyDescent="0.25">
      <c r="A6" s="114" t="s">
        <v>4042</v>
      </c>
      <c r="B6" s="114" t="s">
        <v>4051</v>
      </c>
      <c r="C6" s="114" t="s">
        <v>4198</v>
      </c>
      <c r="D6" s="115">
        <v>1</v>
      </c>
      <c r="E6" s="128"/>
    </row>
    <row r="7" spans="1:5" x14ac:dyDescent="0.25">
      <c r="A7" s="114" t="s">
        <v>4040</v>
      </c>
      <c r="B7" s="114" t="s">
        <v>4055</v>
      </c>
      <c r="C7" s="114" t="s">
        <v>4054</v>
      </c>
      <c r="D7" s="115">
        <v>1</v>
      </c>
      <c r="E7" s="128"/>
    </row>
    <row r="8" spans="1:5" x14ac:dyDescent="0.25">
      <c r="A8" s="114" t="s">
        <v>4023</v>
      </c>
      <c r="B8" s="114" t="s">
        <v>4059</v>
      </c>
      <c r="C8" s="114" t="s">
        <v>4058</v>
      </c>
      <c r="D8" s="115">
        <v>1</v>
      </c>
      <c r="E8" s="128"/>
    </row>
    <row r="9" spans="1:5" x14ac:dyDescent="0.25">
      <c r="A9" s="114" t="s">
        <v>4066</v>
      </c>
      <c r="B9" s="114" t="s">
        <v>4069</v>
      </c>
      <c r="C9" s="114" t="s">
        <v>4088</v>
      </c>
      <c r="D9" s="115">
        <v>1</v>
      </c>
      <c r="E9" s="128"/>
    </row>
    <row r="10" spans="1:5" x14ac:dyDescent="0.25">
      <c r="A10" s="114" t="s">
        <v>4064</v>
      </c>
      <c r="B10" s="114" t="s">
        <v>4074</v>
      </c>
      <c r="C10" s="114" t="s">
        <v>4092</v>
      </c>
      <c r="D10" s="115">
        <v>1</v>
      </c>
      <c r="E10" s="128"/>
    </row>
    <row r="11" spans="1:5" x14ac:dyDescent="0.25">
      <c r="A11" s="114" t="s">
        <v>4153</v>
      </c>
      <c r="B11" s="114" t="s">
        <v>4163</v>
      </c>
      <c r="C11" s="114" t="s">
        <v>4162</v>
      </c>
      <c r="D11" s="115">
        <v>1</v>
      </c>
      <c r="E11" s="128"/>
    </row>
    <row r="12" spans="1:5" x14ac:dyDescent="0.25">
      <c r="A12" s="114" t="s">
        <v>4167</v>
      </c>
      <c r="B12" s="114" t="s">
        <v>4171</v>
      </c>
      <c r="C12" s="114" t="s">
        <v>4170</v>
      </c>
      <c r="D12" s="115">
        <v>1</v>
      </c>
      <c r="E12" s="128"/>
    </row>
    <row r="13" spans="1:5" x14ac:dyDescent="0.25">
      <c r="A13" s="114" t="s">
        <v>4176</v>
      </c>
      <c r="B13" s="114" t="s">
        <v>4180</v>
      </c>
      <c r="C13" s="114" t="s">
        <v>4179</v>
      </c>
      <c r="D13" s="115">
        <v>1</v>
      </c>
      <c r="E13" s="128"/>
    </row>
    <row r="14" spans="1:5" x14ac:dyDescent="0.25">
      <c r="A14" s="114" t="s">
        <v>4182</v>
      </c>
      <c r="B14" s="114" t="s">
        <v>4186</v>
      </c>
      <c r="C14" s="114" t="s">
        <v>4185</v>
      </c>
      <c r="D14" s="115">
        <v>1</v>
      </c>
      <c r="E14" s="128"/>
    </row>
    <row r="15" spans="1:5" x14ac:dyDescent="0.25">
      <c r="A15" s="114" t="s">
        <v>4191</v>
      </c>
      <c r="B15" s="114" t="s">
        <v>24</v>
      </c>
      <c r="C15" s="114" t="s">
        <v>4194</v>
      </c>
      <c r="D15" s="115">
        <v>1</v>
      </c>
      <c r="E15" s="128"/>
    </row>
    <row r="16" spans="1:5" x14ac:dyDescent="0.25">
      <c r="A16" s="114" t="s">
        <v>4320</v>
      </c>
      <c r="B16" s="114" t="s">
        <v>4327</v>
      </c>
      <c r="C16" s="114" t="s">
        <v>4326</v>
      </c>
      <c r="D16" s="115">
        <v>1</v>
      </c>
      <c r="E16" s="128"/>
    </row>
    <row r="17" spans="1:4" x14ac:dyDescent="0.25">
      <c r="A17" s="114" t="s">
        <v>3172</v>
      </c>
      <c r="B17" s="114"/>
      <c r="C17" s="114"/>
      <c r="D17" s="115">
        <v>13</v>
      </c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 s="135"/>
      <c r="C26"/>
      <c r="D26"/>
    </row>
    <row r="27" spans="1:4" x14ac:dyDescent="0.25">
      <c r="A27"/>
      <c r="B27" s="135"/>
      <c r="C27"/>
      <c r="D27"/>
    </row>
    <row r="28" spans="1:4" x14ac:dyDescent="0.25">
      <c r="A28"/>
      <c r="B28" s="135"/>
      <c r="C28"/>
      <c r="D28"/>
    </row>
    <row r="29" spans="1:4" x14ac:dyDescent="0.25">
      <c r="A29"/>
      <c r="B29" s="135"/>
      <c r="C29"/>
      <c r="D29"/>
    </row>
  </sheetData>
  <autoFilter ref="A3:E27" xr:uid="{51952996-4602-48BF-A010-D0E844B503EB}"/>
  <mergeCells count="3">
    <mergeCell ref="D1:D2"/>
    <mergeCell ref="C1:C2"/>
    <mergeCell ref="A1:A2"/>
  </mergeCells>
  <conditionalFormatting sqref="B1:B1048576">
    <cfRule type="duplicateValues" dxfId="238" priority="1"/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IMPORTXLSXCONT">
                <anchor moveWithCells="1" sizeWithCells="1">
                  <from>
                    <xdr:col>1</xdr:col>
                    <xdr:colOff>171450</xdr:colOff>
                    <xdr:row>0</xdr:row>
                    <xdr:rowOff>152400</xdr:rowOff>
                  </from>
                  <to>
                    <xdr:col>1</xdr:col>
                    <xdr:colOff>1057275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3039-2DC6-4E98-9765-B179C673B24B}">
  <sheetPr codeName="Sheet3"/>
  <dimension ref="A1:F3356"/>
  <sheetViews>
    <sheetView topLeftCell="A3263" workbookViewId="0">
      <selection activeCell="I3247" sqref="I3247"/>
    </sheetView>
  </sheetViews>
  <sheetFormatPr defaultRowHeight="15" x14ac:dyDescent="0.25"/>
  <cols>
    <col min="1" max="1" width="30.28515625" bestFit="1" customWidth="1"/>
    <col min="2" max="2" width="11.140625" bestFit="1" customWidth="1"/>
    <col min="3" max="3" width="13.42578125" bestFit="1" customWidth="1"/>
    <col min="4" max="4" width="14.42578125" bestFit="1" customWidth="1"/>
    <col min="5" max="5" width="6" customWidth="1"/>
    <col min="6" max="6" width="26.85546875" bestFit="1" customWidth="1"/>
  </cols>
  <sheetData>
    <row r="1" spans="1:6" x14ac:dyDescent="0.25">
      <c r="A1" s="21" t="s">
        <v>58</v>
      </c>
      <c r="B1" s="21" t="s">
        <v>59</v>
      </c>
      <c r="C1" s="21" t="s">
        <v>60</v>
      </c>
      <c r="D1" s="21" t="s">
        <v>61</v>
      </c>
      <c r="E1" s="21" t="s">
        <v>62</v>
      </c>
      <c r="F1" s="21" t="s">
        <v>3194</v>
      </c>
    </row>
    <row r="2" spans="1:6" x14ac:dyDescent="0.25">
      <c r="A2" s="21" t="s">
        <v>63</v>
      </c>
      <c r="B2" s="21" t="s">
        <v>64</v>
      </c>
      <c r="C2" s="21" t="s">
        <v>65</v>
      </c>
      <c r="D2" s="21" t="s">
        <v>66</v>
      </c>
      <c r="E2" s="21"/>
      <c r="F2" s="21"/>
    </row>
    <row r="3" spans="1:6" x14ac:dyDescent="0.25">
      <c r="A3" s="21" t="s">
        <v>67</v>
      </c>
      <c r="B3" s="21" t="s">
        <v>22</v>
      </c>
      <c r="C3" s="21">
        <v>160</v>
      </c>
      <c r="D3" s="21">
        <v>5120</v>
      </c>
      <c r="E3" s="21">
        <v>32</v>
      </c>
      <c r="F3" s="21"/>
    </row>
    <row r="4" spans="1:6" x14ac:dyDescent="0.25">
      <c r="A4" s="21" t="s">
        <v>68</v>
      </c>
      <c r="B4" s="21" t="s">
        <v>22</v>
      </c>
      <c r="C4" s="21">
        <v>20</v>
      </c>
      <c r="D4" s="21">
        <v>400</v>
      </c>
      <c r="E4" s="21">
        <v>20</v>
      </c>
      <c r="F4" s="21"/>
    </row>
    <row r="5" spans="1:6" x14ac:dyDescent="0.25">
      <c r="A5" s="21" t="s">
        <v>69</v>
      </c>
      <c r="B5" s="21" t="s">
        <v>22</v>
      </c>
      <c r="C5" s="21">
        <v>270</v>
      </c>
      <c r="D5" s="21">
        <v>8640</v>
      </c>
      <c r="E5" s="21">
        <v>32</v>
      </c>
      <c r="F5" s="21"/>
    </row>
    <row r="6" spans="1:6" x14ac:dyDescent="0.25">
      <c r="A6" s="21" t="s">
        <v>70</v>
      </c>
      <c r="B6" s="21" t="s">
        <v>22</v>
      </c>
      <c r="C6" s="21">
        <v>210</v>
      </c>
      <c r="D6" s="21">
        <v>2496</v>
      </c>
      <c r="E6" s="21">
        <v>12</v>
      </c>
      <c r="F6" s="21"/>
    </row>
    <row r="7" spans="1:6" x14ac:dyDescent="0.25">
      <c r="A7" s="21" t="s">
        <v>71</v>
      </c>
      <c r="B7" s="21" t="s">
        <v>22</v>
      </c>
      <c r="C7" s="21">
        <v>75</v>
      </c>
      <c r="D7" s="52">
        <v>0</v>
      </c>
      <c r="E7" s="21"/>
      <c r="F7" s="21"/>
    </row>
    <row r="8" spans="1:6" x14ac:dyDescent="0.25">
      <c r="A8" s="21" t="s">
        <v>72</v>
      </c>
      <c r="B8" s="21" t="s">
        <v>22</v>
      </c>
      <c r="C8" s="21">
        <v>170</v>
      </c>
      <c r="D8" s="21">
        <v>2040</v>
      </c>
      <c r="E8" s="21">
        <v>12</v>
      </c>
      <c r="F8" s="21"/>
    </row>
    <row r="9" spans="1:6" x14ac:dyDescent="0.25">
      <c r="A9" s="21" t="s">
        <v>73</v>
      </c>
      <c r="B9" s="21" t="s">
        <v>22</v>
      </c>
      <c r="C9" s="21">
        <v>250</v>
      </c>
      <c r="D9" s="21">
        <v>8000</v>
      </c>
      <c r="E9" s="21">
        <v>32</v>
      </c>
      <c r="F9" s="21"/>
    </row>
    <row r="10" spans="1:6" x14ac:dyDescent="0.25">
      <c r="A10" s="21" t="s">
        <v>74</v>
      </c>
      <c r="B10" s="21" t="s">
        <v>22</v>
      </c>
      <c r="C10" s="21">
        <v>0</v>
      </c>
      <c r="D10" s="52">
        <v>0</v>
      </c>
      <c r="E10" s="21"/>
      <c r="F10" s="21"/>
    </row>
    <row r="11" spans="1:6" x14ac:dyDescent="0.25">
      <c r="A11" s="21" t="s">
        <v>75</v>
      </c>
      <c r="B11" s="21" t="s">
        <v>22</v>
      </c>
      <c r="C11" s="21">
        <v>0</v>
      </c>
      <c r="D11" s="52">
        <v>0</v>
      </c>
      <c r="E11" s="21"/>
      <c r="F11" s="21"/>
    </row>
    <row r="12" spans="1:6" x14ac:dyDescent="0.25">
      <c r="A12" s="21" t="s">
        <v>76</v>
      </c>
      <c r="B12" s="21" t="s">
        <v>22</v>
      </c>
      <c r="C12" s="21">
        <v>250</v>
      </c>
      <c r="D12" s="21">
        <v>8000</v>
      </c>
      <c r="E12" s="21">
        <v>32</v>
      </c>
      <c r="F12" s="21"/>
    </row>
    <row r="13" spans="1:6" x14ac:dyDescent="0.25">
      <c r="A13" s="21" t="s">
        <v>77</v>
      </c>
      <c r="B13" s="21" t="s">
        <v>22</v>
      </c>
      <c r="C13" s="21">
        <v>0</v>
      </c>
      <c r="D13" s="52">
        <v>0</v>
      </c>
      <c r="E13" s="21"/>
      <c r="F13" s="21"/>
    </row>
    <row r="14" spans="1:6" x14ac:dyDescent="0.25">
      <c r="A14" s="21" t="s">
        <v>78</v>
      </c>
      <c r="B14" s="21" t="s">
        <v>22</v>
      </c>
      <c r="C14" s="21">
        <v>250</v>
      </c>
      <c r="D14" s="21">
        <v>8000</v>
      </c>
      <c r="E14" s="21">
        <v>32</v>
      </c>
      <c r="F14" s="21"/>
    </row>
    <row r="15" spans="1:6" x14ac:dyDescent="0.25">
      <c r="A15" s="21" t="s">
        <v>79</v>
      </c>
      <c r="B15" s="21" t="s">
        <v>22</v>
      </c>
      <c r="C15" s="21">
        <v>250</v>
      </c>
      <c r="D15" s="21">
        <v>8000</v>
      </c>
      <c r="E15" s="21">
        <v>32</v>
      </c>
      <c r="F15" s="21"/>
    </row>
    <row r="16" spans="1:6" x14ac:dyDescent="0.25">
      <c r="A16" s="21" t="s">
        <v>80</v>
      </c>
      <c r="B16" s="21" t="s">
        <v>22</v>
      </c>
      <c r="C16" s="21">
        <v>552</v>
      </c>
      <c r="D16" s="21">
        <v>11040</v>
      </c>
      <c r="E16" s="21">
        <v>20</v>
      </c>
      <c r="F16" s="21"/>
    </row>
    <row r="17" spans="1:6" x14ac:dyDescent="0.25">
      <c r="A17" s="21" t="s">
        <v>81</v>
      </c>
      <c r="B17" s="21" t="s">
        <v>22</v>
      </c>
      <c r="C17" s="21">
        <v>600</v>
      </c>
      <c r="D17" s="21">
        <v>12000</v>
      </c>
      <c r="E17" s="21">
        <v>20</v>
      </c>
      <c r="F17" s="21"/>
    </row>
    <row r="18" spans="1:6" x14ac:dyDescent="0.25">
      <c r="A18" s="21" t="s">
        <v>82</v>
      </c>
      <c r="B18" s="21" t="s">
        <v>22</v>
      </c>
      <c r="C18" s="21">
        <v>552</v>
      </c>
      <c r="D18" s="21">
        <v>11040</v>
      </c>
      <c r="E18" s="21">
        <v>20</v>
      </c>
      <c r="F18" s="21"/>
    </row>
    <row r="19" spans="1:6" x14ac:dyDescent="0.25">
      <c r="A19" s="21" t="s">
        <v>83</v>
      </c>
      <c r="B19" s="21" t="s">
        <v>22</v>
      </c>
      <c r="C19" s="21">
        <v>250</v>
      </c>
      <c r="D19" s="21">
        <v>8000</v>
      </c>
      <c r="E19" s="21">
        <v>32</v>
      </c>
      <c r="F19" s="21"/>
    </row>
    <row r="20" spans="1:6" x14ac:dyDescent="0.25">
      <c r="A20" s="21" t="s">
        <v>84</v>
      </c>
      <c r="B20" s="21" t="s">
        <v>22</v>
      </c>
      <c r="C20" s="21">
        <v>0</v>
      </c>
      <c r="D20" s="52">
        <v>0</v>
      </c>
      <c r="E20" s="21"/>
      <c r="F20" s="21"/>
    </row>
    <row r="21" spans="1:6" x14ac:dyDescent="0.25">
      <c r="A21" s="21" t="s">
        <v>85</v>
      </c>
      <c r="B21" s="21" t="s">
        <v>22</v>
      </c>
      <c r="C21" s="21">
        <v>0</v>
      </c>
      <c r="D21" s="52">
        <v>0</v>
      </c>
      <c r="E21" s="21"/>
      <c r="F21" s="21"/>
    </row>
    <row r="22" spans="1:6" x14ac:dyDescent="0.25">
      <c r="A22" s="21" t="s">
        <v>86</v>
      </c>
      <c r="B22" s="21" t="s">
        <v>22</v>
      </c>
      <c r="C22" s="21">
        <v>250</v>
      </c>
      <c r="D22" s="21">
        <v>8000</v>
      </c>
      <c r="E22" s="21">
        <v>32</v>
      </c>
      <c r="F22" s="21"/>
    </row>
    <row r="23" spans="1:6" x14ac:dyDescent="0.25">
      <c r="A23" s="21" t="s">
        <v>87</v>
      </c>
      <c r="B23" s="21" t="s">
        <v>22</v>
      </c>
      <c r="C23" s="21">
        <v>0</v>
      </c>
      <c r="D23" s="52">
        <v>0</v>
      </c>
      <c r="E23" s="21"/>
      <c r="F23" s="21"/>
    </row>
    <row r="24" spans="1:6" x14ac:dyDescent="0.25">
      <c r="A24" s="21" t="s">
        <v>88</v>
      </c>
      <c r="B24" s="21" t="s">
        <v>22</v>
      </c>
      <c r="C24" s="21">
        <v>250</v>
      </c>
      <c r="D24" s="21">
        <v>8000</v>
      </c>
      <c r="E24" s="21">
        <v>32</v>
      </c>
      <c r="F24" s="21"/>
    </row>
    <row r="25" spans="1:6" x14ac:dyDescent="0.25">
      <c r="A25" s="21" t="s">
        <v>89</v>
      </c>
      <c r="B25" s="21" t="s">
        <v>22</v>
      </c>
      <c r="C25" s="21">
        <v>250</v>
      </c>
      <c r="D25" s="21">
        <v>8000</v>
      </c>
      <c r="E25" s="21">
        <v>32</v>
      </c>
      <c r="F25" s="21"/>
    </row>
    <row r="26" spans="1:6" x14ac:dyDescent="0.25">
      <c r="A26" s="21" t="s">
        <v>90</v>
      </c>
      <c r="B26" s="21" t="s">
        <v>22</v>
      </c>
      <c r="C26" s="21">
        <v>250</v>
      </c>
      <c r="D26" s="52">
        <v>0</v>
      </c>
      <c r="E26" s="21"/>
      <c r="F26" s="21"/>
    </row>
    <row r="27" spans="1:6" x14ac:dyDescent="0.25">
      <c r="A27" s="21" t="s">
        <v>91</v>
      </c>
      <c r="B27" s="21" t="s">
        <v>22</v>
      </c>
      <c r="C27" s="21">
        <v>552</v>
      </c>
      <c r="D27" s="21">
        <v>11040</v>
      </c>
      <c r="E27" s="21">
        <v>20</v>
      </c>
      <c r="F27" s="21"/>
    </row>
    <row r="28" spans="1:6" x14ac:dyDescent="0.25">
      <c r="A28" s="21" t="s">
        <v>92</v>
      </c>
      <c r="B28" s="21" t="s">
        <v>22</v>
      </c>
      <c r="C28" s="21">
        <v>250</v>
      </c>
      <c r="D28" s="21">
        <v>8000</v>
      </c>
      <c r="E28" s="21">
        <v>32</v>
      </c>
      <c r="F28" s="21"/>
    </row>
    <row r="29" spans="1:6" x14ac:dyDescent="0.25">
      <c r="A29" s="21" t="s">
        <v>93</v>
      </c>
      <c r="B29" s="21" t="s">
        <v>22</v>
      </c>
      <c r="C29" s="21">
        <v>0</v>
      </c>
      <c r="D29" s="52">
        <v>0</v>
      </c>
      <c r="E29" s="21"/>
      <c r="F29" s="21"/>
    </row>
    <row r="30" spans="1:6" x14ac:dyDescent="0.25">
      <c r="A30" s="21" t="s">
        <v>94</v>
      </c>
      <c r="B30" s="21" t="s">
        <v>22</v>
      </c>
      <c r="C30" s="21">
        <v>0</v>
      </c>
      <c r="D30" s="52">
        <v>0</v>
      </c>
      <c r="E30" s="21"/>
      <c r="F30" s="21"/>
    </row>
    <row r="31" spans="1:6" x14ac:dyDescent="0.25">
      <c r="A31" s="21" t="s">
        <v>95</v>
      </c>
      <c r="B31" s="21" t="s">
        <v>22</v>
      </c>
      <c r="C31" s="21">
        <v>250</v>
      </c>
      <c r="D31" s="21">
        <v>8000</v>
      </c>
      <c r="E31" s="21">
        <v>32</v>
      </c>
      <c r="F31" s="21"/>
    </row>
    <row r="32" spans="1:6" x14ac:dyDescent="0.25">
      <c r="A32" s="21" t="s">
        <v>96</v>
      </c>
      <c r="B32" s="21" t="s">
        <v>22</v>
      </c>
      <c r="C32" s="21">
        <v>0</v>
      </c>
      <c r="D32" s="52">
        <v>0</v>
      </c>
      <c r="E32" s="21"/>
      <c r="F32" s="21"/>
    </row>
    <row r="33" spans="1:6" x14ac:dyDescent="0.25">
      <c r="A33" s="21" t="s">
        <v>97</v>
      </c>
      <c r="B33" s="21" t="s">
        <v>22</v>
      </c>
      <c r="C33" s="21">
        <v>250</v>
      </c>
      <c r="D33" s="21">
        <v>8000</v>
      </c>
      <c r="E33" s="21">
        <v>32</v>
      </c>
      <c r="F33" s="21"/>
    </row>
    <row r="34" spans="1:6" x14ac:dyDescent="0.25">
      <c r="A34" s="21" t="s">
        <v>98</v>
      </c>
      <c r="B34" s="21" t="s">
        <v>22</v>
      </c>
      <c r="C34" s="21">
        <v>250</v>
      </c>
      <c r="D34" s="21">
        <v>8000</v>
      </c>
      <c r="E34" s="21">
        <v>32</v>
      </c>
      <c r="F34" s="21"/>
    </row>
    <row r="35" spans="1:6" x14ac:dyDescent="0.25">
      <c r="A35" s="21" t="s">
        <v>99</v>
      </c>
      <c r="B35" s="21" t="s">
        <v>22</v>
      </c>
      <c r="C35" s="21">
        <v>250</v>
      </c>
      <c r="D35" s="52">
        <v>0</v>
      </c>
      <c r="E35" s="21"/>
      <c r="F35" s="21"/>
    </row>
    <row r="36" spans="1:6" x14ac:dyDescent="0.25">
      <c r="A36" s="21" t="s">
        <v>100</v>
      </c>
      <c r="B36" s="21" t="s">
        <v>22</v>
      </c>
      <c r="C36" s="21">
        <v>552</v>
      </c>
      <c r="D36" s="21">
        <v>11040</v>
      </c>
      <c r="E36" s="21">
        <v>20</v>
      </c>
      <c r="F36" s="21"/>
    </row>
    <row r="37" spans="1:6" x14ac:dyDescent="0.25">
      <c r="A37" s="21" t="s">
        <v>101</v>
      </c>
      <c r="B37" s="21" t="s">
        <v>22</v>
      </c>
      <c r="C37" s="21">
        <v>250</v>
      </c>
      <c r="D37" s="21">
        <v>8000</v>
      </c>
      <c r="E37" s="21">
        <v>32</v>
      </c>
      <c r="F37" s="21"/>
    </row>
    <row r="38" spans="1:6" x14ac:dyDescent="0.25">
      <c r="A38" s="21" t="s">
        <v>102</v>
      </c>
      <c r="B38" s="21" t="s">
        <v>22</v>
      </c>
      <c r="C38" s="21">
        <v>0</v>
      </c>
      <c r="D38" s="52">
        <v>0</v>
      </c>
      <c r="E38" s="21"/>
      <c r="F38" s="21"/>
    </row>
    <row r="39" spans="1:6" x14ac:dyDescent="0.25">
      <c r="A39" s="21" t="s">
        <v>103</v>
      </c>
      <c r="B39" s="21" t="s">
        <v>22</v>
      </c>
      <c r="C39" s="21">
        <v>0</v>
      </c>
      <c r="D39" s="52">
        <v>0</v>
      </c>
      <c r="E39" s="21"/>
      <c r="F39" s="21"/>
    </row>
    <row r="40" spans="1:6" x14ac:dyDescent="0.25">
      <c r="A40" s="21" t="s">
        <v>104</v>
      </c>
      <c r="B40" s="21" t="s">
        <v>22</v>
      </c>
      <c r="C40" s="21">
        <v>250</v>
      </c>
      <c r="D40" s="21">
        <v>8000</v>
      </c>
      <c r="E40" s="21">
        <v>32</v>
      </c>
      <c r="F40" s="21"/>
    </row>
    <row r="41" spans="1:6" x14ac:dyDescent="0.25">
      <c r="A41" s="21" t="s">
        <v>105</v>
      </c>
      <c r="B41" s="21" t="s">
        <v>22</v>
      </c>
      <c r="C41" s="21">
        <v>0</v>
      </c>
      <c r="D41" s="52">
        <v>0</v>
      </c>
      <c r="E41" s="21"/>
      <c r="F41" s="21"/>
    </row>
    <row r="42" spans="1:6" x14ac:dyDescent="0.25">
      <c r="A42" s="21" t="s">
        <v>106</v>
      </c>
      <c r="B42" s="21" t="s">
        <v>22</v>
      </c>
      <c r="C42" s="21">
        <v>250</v>
      </c>
      <c r="D42" s="21">
        <v>8000</v>
      </c>
      <c r="E42" s="21">
        <v>32</v>
      </c>
      <c r="F42" s="21"/>
    </row>
    <row r="43" spans="1:6" x14ac:dyDescent="0.25">
      <c r="A43" s="21" t="s">
        <v>107</v>
      </c>
      <c r="B43" s="21" t="s">
        <v>22</v>
      </c>
      <c r="C43" s="21">
        <v>250</v>
      </c>
      <c r="D43" s="21">
        <v>8000</v>
      </c>
      <c r="E43" s="21">
        <v>32</v>
      </c>
      <c r="F43" s="21"/>
    </row>
    <row r="44" spans="1:6" x14ac:dyDescent="0.25">
      <c r="A44" s="21" t="s">
        <v>108</v>
      </c>
      <c r="B44" s="21" t="s">
        <v>22</v>
      </c>
      <c r="C44" s="21">
        <v>250</v>
      </c>
      <c r="D44" s="52">
        <v>0</v>
      </c>
      <c r="E44" s="21"/>
      <c r="F44" s="21"/>
    </row>
    <row r="45" spans="1:6" x14ac:dyDescent="0.25">
      <c r="A45" s="21" t="s">
        <v>109</v>
      </c>
      <c r="B45" s="21" t="s">
        <v>22</v>
      </c>
      <c r="C45" s="21">
        <v>552</v>
      </c>
      <c r="D45" s="21">
        <v>11040</v>
      </c>
      <c r="E45" s="21">
        <v>20</v>
      </c>
      <c r="F45" s="21"/>
    </row>
    <row r="46" spans="1:6" x14ac:dyDescent="0.25">
      <c r="A46" s="21" t="s">
        <v>110</v>
      </c>
      <c r="B46" s="21" t="s">
        <v>22</v>
      </c>
      <c r="C46" s="21">
        <v>250</v>
      </c>
      <c r="D46" s="21">
        <v>8000</v>
      </c>
      <c r="E46" s="21">
        <v>32</v>
      </c>
      <c r="F46" s="21"/>
    </row>
    <row r="47" spans="1:6" x14ac:dyDescent="0.25">
      <c r="A47" s="21" t="s">
        <v>111</v>
      </c>
      <c r="B47" s="21" t="s">
        <v>22</v>
      </c>
      <c r="C47" s="21">
        <v>0</v>
      </c>
      <c r="D47" s="52">
        <v>0</v>
      </c>
      <c r="E47" s="21"/>
      <c r="F47" s="21"/>
    </row>
    <row r="48" spans="1:6" x14ac:dyDescent="0.25">
      <c r="A48" s="21" t="s">
        <v>112</v>
      </c>
      <c r="B48" s="21" t="s">
        <v>22</v>
      </c>
      <c r="C48" s="21">
        <v>0</v>
      </c>
      <c r="D48" s="52">
        <v>0</v>
      </c>
      <c r="E48" s="21"/>
      <c r="F48" s="21"/>
    </row>
    <row r="49" spans="1:6" x14ac:dyDescent="0.25">
      <c r="A49" s="21" t="s">
        <v>113</v>
      </c>
      <c r="B49" s="21" t="s">
        <v>22</v>
      </c>
      <c r="C49" s="21">
        <v>250</v>
      </c>
      <c r="D49" s="21">
        <v>8000</v>
      </c>
      <c r="E49" s="21">
        <v>32</v>
      </c>
      <c r="F49" s="21"/>
    </row>
    <row r="50" spans="1:6" x14ac:dyDescent="0.25">
      <c r="A50" s="21" t="s">
        <v>114</v>
      </c>
      <c r="B50" s="21" t="s">
        <v>22</v>
      </c>
      <c r="C50" s="21">
        <v>0</v>
      </c>
      <c r="D50" s="52">
        <v>0</v>
      </c>
      <c r="E50" s="21"/>
      <c r="F50" s="21"/>
    </row>
    <row r="51" spans="1:6" x14ac:dyDescent="0.25">
      <c r="A51" s="21" t="s">
        <v>115</v>
      </c>
      <c r="B51" s="21" t="s">
        <v>22</v>
      </c>
      <c r="C51" s="21">
        <v>250</v>
      </c>
      <c r="D51" s="21">
        <v>8000</v>
      </c>
      <c r="E51" s="21">
        <v>32</v>
      </c>
      <c r="F51" s="21"/>
    </row>
    <row r="52" spans="1:6" x14ac:dyDescent="0.25">
      <c r="A52" s="21" t="s">
        <v>116</v>
      </c>
      <c r="B52" s="21" t="s">
        <v>22</v>
      </c>
      <c r="C52" s="21">
        <v>250</v>
      </c>
      <c r="D52" s="21">
        <v>8000</v>
      </c>
      <c r="E52" s="21">
        <v>32</v>
      </c>
      <c r="F52" s="21"/>
    </row>
    <row r="53" spans="1:6" x14ac:dyDescent="0.25">
      <c r="A53" s="21" t="s">
        <v>117</v>
      </c>
      <c r="B53" s="21" t="s">
        <v>22</v>
      </c>
      <c r="C53" s="21">
        <v>250</v>
      </c>
      <c r="D53" s="52">
        <v>0</v>
      </c>
      <c r="E53" s="21"/>
      <c r="F53" s="21"/>
    </row>
    <row r="54" spans="1:6" x14ac:dyDescent="0.25">
      <c r="A54" s="21" t="s">
        <v>118</v>
      </c>
      <c r="B54" s="21" t="s">
        <v>22</v>
      </c>
      <c r="C54" s="21">
        <v>552</v>
      </c>
      <c r="D54" s="21">
        <v>11040</v>
      </c>
      <c r="E54" s="21">
        <v>20</v>
      </c>
      <c r="F54" s="21"/>
    </row>
    <row r="55" spans="1:6" x14ac:dyDescent="0.25">
      <c r="A55" s="21" t="s">
        <v>119</v>
      </c>
      <c r="B55" s="21" t="s">
        <v>22</v>
      </c>
      <c r="C55" s="21">
        <v>250</v>
      </c>
      <c r="D55" s="21">
        <v>8000</v>
      </c>
      <c r="E55" s="21">
        <v>32</v>
      </c>
      <c r="F55" s="21"/>
    </row>
    <row r="56" spans="1:6" x14ac:dyDescent="0.25">
      <c r="A56" s="21" t="s">
        <v>120</v>
      </c>
      <c r="B56" s="21" t="s">
        <v>22</v>
      </c>
      <c r="C56" s="21">
        <v>0</v>
      </c>
      <c r="D56" s="52">
        <v>0</v>
      </c>
      <c r="E56" s="21"/>
      <c r="F56" s="21"/>
    </row>
    <row r="57" spans="1:6" x14ac:dyDescent="0.25">
      <c r="A57" s="21" t="s">
        <v>121</v>
      </c>
      <c r="B57" s="21" t="s">
        <v>22</v>
      </c>
      <c r="C57" s="21">
        <v>0</v>
      </c>
      <c r="D57" s="52">
        <v>0</v>
      </c>
      <c r="E57" s="21"/>
      <c r="F57" s="21"/>
    </row>
    <row r="58" spans="1:6" x14ac:dyDescent="0.25">
      <c r="A58" s="21" t="s">
        <v>122</v>
      </c>
      <c r="B58" s="21" t="s">
        <v>22</v>
      </c>
      <c r="C58" s="21">
        <v>250</v>
      </c>
      <c r="D58" s="21">
        <v>8000</v>
      </c>
      <c r="E58" s="21">
        <v>32</v>
      </c>
      <c r="F58" s="21"/>
    </row>
    <row r="59" spans="1:6" x14ac:dyDescent="0.25">
      <c r="A59" s="21" t="s">
        <v>123</v>
      </c>
      <c r="B59" s="21" t="s">
        <v>22</v>
      </c>
      <c r="C59" s="21">
        <v>0</v>
      </c>
      <c r="D59" s="52">
        <v>0</v>
      </c>
      <c r="E59" s="21"/>
      <c r="F59" s="21"/>
    </row>
    <row r="60" spans="1:6" x14ac:dyDescent="0.25">
      <c r="A60" s="21" t="s">
        <v>124</v>
      </c>
      <c r="B60" s="21" t="s">
        <v>22</v>
      </c>
      <c r="C60" s="21">
        <v>250</v>
      </c>
      <c r="D60" s="21">
        <v>8000</v>
      </c>
      <c r="E60" s="21">
        <v>32</v>
      </c>
      <c r="F60" s="21"/>
    </row>
    <row r="61" spans="1:6" x14ac:dyDescent="0.25">
      <c r="A61" s="21" t="s">
        <v>125</v>
      </c>
      <c r="B61" s="21" t="s">
        <v>22</v>
      </c>
      <c r="C61" s="21">
        <v>250</v>
      </c>
      <c r="D61" s="21">
        <v>8000</v>
      </c>
      <c r="E61" s="21">
        <v>32</v>
      </c>
      <c r="F61" s="21"/>
    </row>
    <row r="62" spans="1:6" x14ac:dyDescent="0.25">
      <c r="A62" s="21" t="s">
        <v>126</v>
      </c>
      <c r="B62" s="21" t="s">
        <v>22</v>
      </c>
      <c r="C62" s="21">
        <v>250</v>
      </c>
      <c r="D62" s="52">
        <v>0</v>
      </c>
      <c r="E62" s="21"/>
      <c r="F62" s="21"/>
    </row>
    <row r="63" spans="1:6" x14ac:dyDescent="0.25">
      <c r="A63" s="21" t="s">
        <v>127</v>
      </c>
      <c r="B63" s="21" t="s">
        <v>22</v>
      </c>
      <c r="C63" s="21">
        <v>552</v>
      </c>
      <c r="D63" s="21">
        <v>11040</v>
      </c>
      <c r="E63" s="21">
        <v>20</v>
      </c>
      <c r="F63" s="21"/>
    </row>
    <row r="64" spans="1:6" x14ac:dyDescent="0.25">
      <c r="A64" s="21" t="s">
        <v>128</v>
      </c>
      <c r="B64" s="21" t="s">
        <v>22</v>
      </c>
      <c r="C64" s="21">
        <v>0</v>
      </c>
      <c r="D64" s="52">
        <v>0</v>
      </c>
      <c r="E64" s="21"/>
      <c r="F64" s="21"/>
    </row>
    <row r="65" spans="1:6" x14ac:dyDescent="0.25">
      <c r="A65" s="21" t="s">
        <v>129</v>
      </c>
      <c r="B65" s="21" t="s">
        <v>22</v>
      </c>
      <c r="C65" s="21">
        <v>260</v>
      </c>
      <c r="D65" s="21">
        <v>5200</v>
      </c>
      <c r="E65" s="21">
        <v>20</v>
      </c>
      <c r="F65" s="21"/>
    </row>
    <row r="66" spans="1:6" x14ac:dyDescent="0.25">
      <c r="A66" s="21" t="s">
        <v>130</v>
      </c>
      <c r="B66" s="21" t="s">
        <v>22</v>
      </c>
      <c r="C66" s="21">
        <v>1600</v>
      </c>
      <c r="D66" s="21">
        <v>32000</v>
      </c>
      <c r="E66" s="21">
        <v>20</v>
      </c>
      <c r="F66" s="21"/>
    </row>
    <row r="67" spans="1:6" x14ac:dyDescent="0.25">
      <c r="A67" s="21" t="s">
        <v>131</v>
      </c>
      <c r="B67" s="21" t="s">
        <v>22</v>
      </c>
      <c r="C67" s="21">
        <v>80</v>
      </c>
      <c r="D67" s="21">
        <v>2560</v>
      </c>
      <c r="E67" s="21">
        <v>32</v>
      </c>
      <c r="F67" s="21"/>
    </row>
    <row r="68" spans="1:6" x14ac:dyDescent="0.25">
      <c r="A68" s="21" t="s">
        <v>132</v>
      </c>
      <c r="B68" s="21" t="s">
        <v>22</v>
      </c>
      <c r="C68" s="21">
        <v>100</v>
      </c>
      <c r="D68" s="52">
        <v>0</v>
      </c>
      <c r="E68" s="21"/>
      <c r="F68" s="21"/>
    </row>
    <row r="69" spans="1:6" x14ac:dyDescent="0.25">
      <c r="A69" s="21" t="s">
        <v>133</v>
      </c>
      <c r="B69" s="21" t="s">
        <v>22</v>
      </c>
      <c r="C69" s="21">
        <v>100</v>
      </c>
      <c r="D69" s="21">
        <v>3200</v>
      </c>
      <c r="E69" s="21">
        <v>32</v>
      </c>
      <c r="F69" s="21"/>
    </row>
    <row r="70" spans="1:6" x14ac:dyDescent="0.25">
      <c r="A70" s="21" t="s">
        <v>134</v>
      </c>
      <c r="B70" s="21" t="s">
        <v>22</v>
      </c>
      <c r="C70" s="21">
        <v>100</v>
      </c>
      <c r="D70" s="21">
        <v>3200</v>
      </c>
      <c r="E70" s="21">
        <v>32</v>
      </c>
      <c r="F70" s="21"/>
    </row>
    <row r="71" spans="1:6" x14ac:dyDescent="0.25">
      <c r="A71" s="21" t="s">
        <v>135</v>
      </c>
      <c r="B71" s="21" t="s">
        <v>22</v>
      </c>
      <c r="C71" s="21">
        <v>100</v>
      </c>
      <c r="D71" s="21">
        <v>3200</v>
      </c>
      <c r="E71" s="21">
        <v>32</v>
      </c>
      <c r="F71" s="21"/>
    </row>
    <row r="72" spans="1:6" x14ac:dyDescent="0.25">
      <c r="A72" s="21" t="s">
        <v>136</v>
      </c>
      <c r="B72" s="21" t="s">
        <v>22</v>
      </c>
      <c r="C72" s="21">
        <v>100</v>
      </c>
      <c r="D72" s="21">
        <v>4800</v>
      </c>
      <c r="E72" s="21">
        <v>48</v>
      </c>
      <c r="F72" s="21"/>
    </row>
    <row r="73" spans="1:6" x14ac:dyDescent="0.25">
      <c r="A73" s="21" t="s">
        <v>137</v>
      </c>
      <c r="B73" s="21" t="s">
        <v>22</v>
      </c>
      <c r="C73" s="21">
        <v>120</v>
      </c>
      <c r="D73" s="21">
        <v>3840</v>
      </c>
      <c r="E73" s="21">
        <v>32</v>
      </c>
      <c r="F73" s="21"/>
    </row>
    <row r="74" spans="1:6" x14ac:dyDescent="0.25">
      <c r="A74" s="21" t="s">
        <v>138</v>
      </c>
      <c r="B74" s="21" t="s">
        <v>22</v>
      </c>
      <c r="C74" s="21">
        <v>100</v>
      </c>
      <c r="D74" s="21">
        <v>4800</v>
      </c>
      <c r="E74" s="21">
        <v>48</v>
      </c>
      <c r="F74" s="21"/>
    </row>
    <row r="75" spans="1:6" x14ac:dyDescent="0.25">
      <c r="A75" s="21" t="s">
        <v>139</v>
      </c>
      <c r="B75" s="21" t="s">
        <v>22</v>
      </c>
      <c r="C75" s="21">
        <v>100</v>
      </c>
      <c r="D75" s="52">
        <v>0</v>
      </c>
      <c r="E75" s="21"/>
      <c r="F75" s="21"/>
    </row>
    <row r="76" spans="1:6" x14ac:dyDescent="0.25">
      <c r="A76" s="21" t="s">
        <v>140</v>
      </c>
      <c r="B76" s="21" t="s">
        <v>22</v>
      </c>
      <c r="C76" s="21">
        <v>100</v>
      </c>
      <c r="D76" s="52">
        <v>0</v>
      </c>
      <c r="E76" s="21"/>
      <c r="F76" s="21"/>
    </row>
    <row r="77" spans="1:6" x14ac:dyDescent="0.25">
      <c r="A77" s="21" t="s">
        <v>141</v>
      </c>
      <c r="B77" s="21" t="s">
        <v>22</v>
      </c>
      <c r="C77" s="21">
        <v>100</v>
      </c>
      <c r="D77" s="52">
        <v>0</v>
      </c>
      <c r="E77" s="21"/>
      <c r="F77" s="21"/>
    </row>
    <row r="78" spans="1:6" x14ac:dyDescent="0.25">
      <c r="A78" s="21" t="s">
        <v>142</v>
      </c>
      <c r="B78" s="21" t="s">
        <v>22</v>
      </c>
      <c r="C78" s="21">
        <v>100</v>
      </c>
      <c r="D78" s="21">
        <v>3200</v>
      </c>
      <c r="E78" s="21">
        <v>32</v>
      </c>
      <c r="F78" s="21"/>
    </row>
    <row r="79" spans="1:6" x14ac:dyDescent="0.25">
      <c r="A79" s="21" t="s">
        <v>143</v>
      </c>
      <c r="B79" s="21" t="s">
        <v>22</v>
      </c>
      <c r="C79" s="21">
        <v>100</v>
      </c>
      <c r="D79" s="21">
        <v>3200</v>
      </c>
      <c r="E79" s="21">
        <v>32</v>
      </c>
      <c r="F79" s="21"/>
    </row>
    <row r="80" spans="1:6" x14ac:dyDescent="0.25">
      <c r="A80" s="21" t="s">
        <v>144</v>
      </c>
      <c r="B80" s="21" t="s">
        <v>22</v>
      </c>
      <c r="C80" s="21">
        <v>100</v>
      </c>
      <c r="D80" s="21">
        <v>3200</v>
      </c>
      <c r="E80" s="21">
        <v>32</v>
      </c>
      <c r="F80" s="21"/>
    </row>
    <row r="81" spans="1:6" x14ac:dyDescent="0.25">
      <c r="A81" s="21" t="s">
        <v>145</v>
      </c>
      <c r="B81" s="21" t="s">
        <v>22</v>
      </c>
      <c r="C81" s="21">
        <v>100</v>
      </c>
      <c r="D81" s="21">
        <v>4800</v>
      </c>
      <c r="E81" s="21">
        <v>48</v>
      </c>
      <c r="F81" s="21"/>
    </row>
    <row r="82" spans="1:6" x14ac:dyDescent="0.25">
      <c r="A82" s="21" t="s">
        <v>146</v>
      </c>
      <c r="B82" s="21" t="s">
        <v>22</v>
      </c>
      <c r="C82" s="21">
        <v>100</v>
      </c>
      <c r="D82" s="21">
        <v>4800</v>
      </c>
      <c r="E82" s="21">
        <v>48</v>
      </c>
      <c r="F82" s="21"/>
    </row>
    <row r="83" spans="1:6" x14ac:dyDescent="0.25">
      <c r="A83" s="21" t="s">
        <v>147</v>
      </c>
      <c r="B83" s="21" t="s">
        <v>22</v>
      </c>
      <c r="C83" s="21">
        <v>100</v>
      </c>
      <c r="D83" s="21">
        <v>4800</v>
      </c>
      <c r="E83" s="21">
        <v>48</v>
      </c>
      <c r="F83" s="21"/>
    </row>
    <row r="84" spans="1:6" x14ac:dyDescent="0.25">
      <c r="A84" s="21" t="s">
        <v>148</v>
      </c>
      <c r="B84" s="21" t="s">
        <v>22</v>
      </c>
      <c r="C84" s="21">
        <v>100</v>
      </c>
      <c r="D84" s="21">
        <v>4800</v>
      </c>
      <c r="E84" s="21">
        <v>48</v>
      </c>
      <c r="F84" s="21"/>
    </row>
    <row r="85" spans="1:6" x14ac:dyDescent="0.25">
      <c r="A85" s="21" t="s">
        <v>149</v>
      </c>
      <c r="B85" s="21" t="s">
        <v>22</v>
      </c>
      <c r="C85" s="21">
        <v>100</v>
      </c>
      <c r="D85" s="21">
        <v>3200</v>
      </c>
      <c r="E85" s="21">
        <v>32</v>
      </c>
      <c r="F85" s="21"/>
    </row>
    <row r="86" spans="1:6" x14ac:dyDescent="0.25">
      <c r="A86" s="21" t="s">
        <v>150</v>
      </c>
      <c r="B86" s="21" t="s">
        <v>22</v>
      </c>
      <c r="C86" s="21">
        <v>100</v>
      </c>
      <c r="D86" s="21">
        <v>3200</v>
      </c>
      <c r="E86" s="21">
        <v>32</v>
      </c>
      <c r="F86" s="21"/>
    </row>
    <row r="87" spans="1:6" x14ac:dyDescent="0.25">
      <c r="A87" s="21" t="s">
        <v>151</v>
      </c>
      <c r="B87" s="21" t="s">
        <v>22</v>
      </c>
      <c r="C87" s="21">
        <v>100</v>
      </c>
      <c r="D87" s="21">
        <v>3200</v>
      </c>
      <c r="E87" s="21">
        <v>32</v>
      </c>
      <c r="F87" s="21"/>
    </row>
    <row r="88" spans="1:6" x14ac:dyDescent="0.25">
      <c r="A88" s="21" t="s">
        <v>152</v>
      </c>
      <c r="B88" s="21" t="s">
        <v>22</v>
      </c>
      <c r="C88" s="21">
        <v>100</v>
      </c>
      <c r="D88" s="21">
        <v>4800</v>
      </c>
      <c r="E88" s="21">
        <v>48</v>
      </c>
      <c r="F88" s="21"/>
    </row>
    <row r="89" spans="1:6" x14ac:dyDescent="0.25">
      <c r="A89" s="21" t="s">
        <v>153</v>
      </c>
      <c r="B89" s="21" t="s">
        <v>22</v>
      </c>
      <c r="C89" s="21">
        <v>100</v>
      </c>
      <c r="D89" s="21">
        <v>4800</v>
      </c>
      <c r="E89" s="21">
        <v>48</v>
      </c>
      <c r="F89" s="21"/>
    </row>
    <row r="90" spans="1:6" x14ac:dyDescent="0.25">
      <c r="A90" s="21" t="s">
        <v>154</v>
      </c>
      <c r="B90" s="21" t="s">
        <v>22</v>
      </c>
      <c r="C90" s="21">
        <v>100</v>
      </c>
      <c r="D90" s="52">
        <v>0</v>
      </c>
      <c r="E90" s="21"/>
      <c r="F90" s="21"/>
    </row>
    <row r="91" spans="1:6" x14ac:dyDescent="0.25">
      <c r="A91" s="21" t="s">
        <v>155</v>
      </c>
      <c r="B91" s="21" t="s">
        <v>22</v>
      </c>
      <c r="C91" s="21">
        <v>100</v>
      </c>
      <c r="D91" s="52">
        <v>0</v>
      </c>
      <c r="E91" s="21"/>
      <c r="F91" s="21"/>
    </row>
    <row r="92" spans="1:6" x14ac:dyDescent="0.25">
      <c r="A92" s="21" t="s">
        <v>156</v>
      </c>
      <c r="B92" s="21" t="s">
        <v>22</v>
      </c>
      <c r="C92" s="21">
        <v>0</v>
      </c>
      <c r="D92" s="52">
        <v>0</v>
      </c>
      <c r="E92" s="21"/>
      <c r="F92" s="21"/>
    </row>
    <row r="93" spans="1:6" x14ac:dyDescent="0.25">
      <c r="A93" s="21" t="s">
        <v>157</v>
      </c>
      <c r="B93" s="21" t="s">
        <v>22</v>
      </c>
      <c r="C93" s="21">
        <v>350</v>
      </c>
      <c r="D93" s="21">
        <v>9800</v>
      </c>
      <c r="E93" s="21">
        <v>28</v>
      </c>
      <c r="F93" s="21"/>
    </row>
    <row r="94" spans="1:6" x14ac:dyDescent="0.25">
      <c r="A94" s="21" t="s">
        <v>158</v>
      </c>
      <c r="B94" s="21" t="s">
        <v>22</v>
      </c>
      <c r="C94" s="21">
        <v>552</v>
      </c>
      <c r="D94" s="21">
        <v>11040</v>
      </c>
      <c r="E94" s="21">
        <v>20</v>
      </c>
      <c r="F94" s="21"/>
    </row>
    <row r="95" spans="1:6" x14ac:dyDescent="0.25">
      <c r="A95" s="21" t="s">
        <v>159</v>
      </c>
      <c r="B95" s="21" t="s">
        <v>22</v>
      </c>
      <c r="C95" s="21">
        <v>552</v>
      </c>
      <c r="D95" s="21">
        <v>11040</v>
      </c>
      <c r="E95" s="21">
        <v>20</v>
      </c>
      <c r="F95" s="21"/>
    </row>
    <row r="96" spans="1:6" x14ac:dyDescent="0.25">
      <c r="A96" s="21" t="s">
        <v>160</v>
      </c>
      <c r="B96" s="21" t="s">
        <v>22</v>
      </c>
      <c r="C96" s="21">
        <v>190</v>
      </c>
      <c r="D96" s="21">
        <v>6650</v>
      </c>
      <c r="E96" s="21">
        <v>35</v>
      </c>
      <c r="F96" s="21"/>
    </row>
    <row r="97" spans="1:6" x14ac:dyDescent="0.25">
      <c r="A97" s="21" t="s">
        <v>161</v>
      </c>
      <c r="B97" s="21" t="s">
        <v>22</v>
      </c>
      <c r="C97" s="21">
        <v>264</v>
      </c>
      <c r="D97" s="21">
        <v>5280</v>
      </c>
      <c r="E97" s="21">
        <v>20</v>
      </c>
      <c r="F97" s="21"/>
    </row>
    <row r="98" spans="1:6" x14ac:dyDescent="0.25">
      <c r="A98" s="21" t="s">
        <v>162</v>
      </c>
      <c r="B98" s="21" t="s">
        <v>22</v>
      </c>
      <c r="C98" s="21">
        <v>264</v>
      </c>
      <c r="D98" s="21">
        <v>5280</v>
      </c>
      <c r="E98" s="21">
        <v>20</v>
      </c>
      <c r="F98" s="21"/>
    </row>
    <row r="99" spans="1:6" x14ac:dyDescent="0.25">
      <c r="A99" s="21" t="s">
        <v>163</v>
      </c>
      <c r="B99" s="21" t="s">
        <v>22</v>
      </c>
      <c r="C99" s="21">
        <v>82</v>
      </c>
      <c r="D99" s="21">
        <v>2460</v>
      </c>
      <c r="E99" s="21">
        <v>30</v>
      </c>
      <c r="F99" s="21"/>
    </row>
    <row r="100" spans="1:6" x14ac:dyDescent="0.25">
      <c r="A100" s="21" t="s">
        <v>164</v>
      </c>
      <c r="B100" s="21" t="s">
        <v>22</v>
      </c>
      <c r="C100" s="21">
        <v>20</v>
      </c>
      <c r="D100" s="21">
        <v>900</v>
      </c>
      <c r="E100" s="21">
        <v>45</v>
      </c>
      <c r="F100" s="21"/>
    </row>
    <row r="101" spans="1:6" x14ac:dyDescent="0.25">
      <c r="A101" s="21" t="s">
        <v>165</v>
      </c>
      <c r="B101" s="21" t="s">
        <v>22</v>
      </c>
      <c r="C101" s="21">
        <v>50</v>
      </c>
      <c r="D101" s="21">
        <v>3600</v>
      </c>
      <c r="E101" s="21">
        <v>72</v>
      </c>
      <c r="F101" s="21"/>
    </row>
    <row r="102" spans="1:6" x14ac:dyDescent="0.25">
      <c r="A102" s="21" t="s">
        <v>166</v>
      </c>
      <c r="B102" s="21" t="s">
        <v>22</v>
      </c>
      <c r="C102" s="21">
        <v>650</v>
      </c>
      <c r="D102" s="21">
        <v>3900</v>
      </c>
      <c r="E102" s="21">
        <v>6</v>
      </c>
      <c r="F102" s="21"/>
    </row>
    <row r="103" spans="1:6" x14ac:dyDescent="0.25">
      <c r="A103" s="21" t="s">
        <v>167</v>
      </c>
      <c r="B103" s="21" t="s">
        <v>22</v>
      </c>
      <c r="C103" s="21">
        <v>500</v>
      </c>
      <c r="D103" s="21">
        <v>3000</v>
      </c>
      <c r="E103" s="21">
        <v>6</v>
      </c>
      <c r="F103" s="21"/>
    </row>
    <row r="104" spans="1:6" x14ac:dyDescent="0.25">
      <c r="A104" s="21" t="s">
        <v>168</v>
      </c>
      <c r="B104" s="21" t="s">
        <v>22</v>
      </c>
      <c r="C104" s="21">
        <v>500</v>
      </c>
      <c r="D104" s="21">
        <v>3000</v>
      </c>
      <c r="E104" s="21">
        <v>6</v>
      </c>
      <c r="F104" s="21"/>
    </row>
    <row r="105" spans="1:6" x14ac:dyDescent="0.25">
      <c r="A105" s="21" t="s">
        <v>169</v>
      </c>
      <c r="B105" s="21" t="s">
        <v>22</v>
      </c>
      <c r="C105" s="21">
        <v>450</v>
      </c>
      <c r="D105" s="21">
        <v>2700</v>
      </c>
      <c r="E105" s="21">
        <v>6</v>
      </c>
      <c r="F105" s="21"/>
    </row>
    <row r="106" spans="1:6" x14ac:dyDescent="0.25">
      <c r="A106" s="21" t="s">
        <v>170</v>
      </c>
      <c r="B106" s="21" t="s">
        <v>22</v>
      </c>
      <c r="C106" s="21">
        <v>400</v>
      </c>
      <c r="D106" s="21">
        <v>2400</v>
      </c>
      <c r="E106" s="21">
        <v>6</v>
      </c>
      <c r="F106" s="21"/>
    </row>
    <row r="107" spans="1:6" x14ac:dyDescent="0.25">
      <c r="A107" s="21" t="s">
        <v>171</v>
      </c>
      <c r="B107" s="21" t="s">
        <v>22</v>
      </c>
      <c r="C107" s="21">
        <v>0</v>
      </c>
      <c r="D107" s="52">
        <v>0</v>
      </c>
      <c r="E107" s="21"/>
      <c r="F107" s="21"/>
    </row>
    <row r="108" spans="1:6" x14ac:dyDescent="0.25">
      <c r="A108" s="21" t="s">
        <v>172</v>
      </c>
      <c r="B108" s="21" t="s">
        <v>22</v>
      </c>
      <c r="C108" s="21">
        <v>0</v>
      </c>
      <c r="D108" s="52">
        <v>0</v>
      </c>
      <c r="E108" s="21"/>
      <c r="F108" s="21"/>
    </row>
    <row r="109" spans="1:6" x14ac:dyDescent="0.25">
      <c r="A109" s="21" t="s">
        <v>173</v>
      </c>
      <c r="B109" s="21" t="s">
        <v>22</v>
      </c>
      <c r="C109" s="21">
        <v>0</v>
      </c>
      <c r="D109" s="52">
        <v>0</v>
      </c>
      <c r="E109" s="21"/>
      <c r="F109" s="21"/>
    </row>
    <row r="110" spans="1:6" x14ac:dyDescent="0.25">
      <c r="A110" s="21" t="s">
        <v>174</v>
      </c>
      <c r="B110" s="21" t="s">
        <v>22</v>
      </c>
      <c r="C110" s="21">
        <v>0</v>
      </c>
      <c r="D110" s="52">
        <v>0</v>
      </c>
      <c r="E110" s="21"/>
      <c r="F110" s="21"/>
    </row>
    <row r="111" spans="1:6" x14ac:dyDescent="0.25">
      <c r="A111" s="21" t="s">
        <v>175</v>
      </c>
      <c r="B111" s="21" t="s">
        <v>22</v>
      </c>
      <c r="C111" s="21">
        <v>0</v>
      </c>
      <c r="D111" s="52">
        <v>0</v>
      </c>
      <c r="E111" s="21"/>
      <c r="F111" s="21"/>
    </row>
    <row r="112" spans="1:6" x14ac:dyDescent="0.25">
      <c r="A112" s="21" t="s">
        <v>176</v>
      </c>
      <c r="B112" s="21" t="s">
        <v>22</v>
      </c>
      <c r="C112" s="21">
        <v>5000</v>
      </c>
      <c r="D112" s="21">
        <v>50000</v>
      </c>
      <c r="E112" s="21">
        <v>10</v>
      </c>
      <c r="F112" s="21"/>
    </row>
    <row r="113" spans="1:6" x14ac:dyDescent="0.25">
      <c r="A113" s="21" t="s">
        <v>177</v>
      </c>
      <c r="B113" s="21" t="s">
        <v>22</v>
      </c>
      <c r="C113" s="21">
        <v>0</v>
      </c>
      <c r="D113" s="52">
        <v>0</v>
      </c>
      <c r="E113" s="21"/>
      <c r="F113" s="21"/>
    </row>
    <row r="114" spans="1:6" x14ac:dyDescent="0.25">
      <c r="A114" s="21" t="s">
        <v>178</v>
      </c>
      <c r="B114" s="21" t="s">
        <v>22</v>
      </c>
      <c r="C114" s="21">
        <v>0</v>
      </c>
      <c r="D114" s="52">
        <v>0</v>
      </c>
      <c r="E114" s="21"/>
      <c r="F114" s="21"/>
    </row>
    <row r="115" spans="1:6" x14ac:dyDescent="0.25">
      <c r="A115" s="21" t="s">
        <v>179</v>
      </c>
      <c r="B115" s="21" t="s">
        <v>22</v>
      </c>
      <c r="C115" s="21">
        <v>1200</v>
      </c>
      <c r="D115" s="21">
        <v>7200</v>
      </c>
      <c r="E115" s="21">
        <v>6</v>
      </c>
      <c r="F115" s="21"/>
    </row>
    <row r="116" spans="1:6" x14ac:dyDescent="0.25">
      <c r="A116" s="21" t="s">
        <v>180</v>
      </c>
      <c r="B116" s="21" t="s">
        <v>22</v>
      </c>
      <c r="C116" s="21">
        <v>0</v>
      </c>
      <c r="D116" s="52">
        <v>0</v>
      </c>
      <c r="E116" s="21"/>
      <c r="F116" s="21"/>
    </row>
    <row r="117" spans="1:6" x14ac:dyDescent="0.25">
      <c r="A117" s="21" t="s">
        <v>181</v>
      </c>
      <c r="B117" s="21" t="s">
        <v>22</v>
      </c>
      <c r="C117" s="21">
        <v>0</v>
      </c>
      <c r="D117" s="52">
        <v>0</v>
      </c>
      <c r="E117" s="21"/>
      <c r="F117" s="21"/>
    </row>
    <row r="118" spans="1:6" x14ac:dyDescent="0.25">
      <c r="A118" s="21" t="s">
        <v>182</v>
      </c>
      <c r="B118" s="21" t="s">
        <v>22</v>
      </c>
      <c r="C118" s="21">
        <v>0</v>
      </c>
      <c r="D118" s="52">
        <v>0</v>
      </c>
      <c r="E118" s="21"/>
      <c r="F118" s="21"/>
    </row>
    <row r="119" spans="1:6" x14ac:dyDescent="0.25">
      <c r="A119" s="21" t="s">
        <v>183</v>
      </c>
      <c r="B119" s="21" t="s">
        <v>22</v>
      </c>
      <c r="C119" s="21">
        <v>0</v>
      </c>
      <c r="D119" s="52">
        <v>0</v>
      </c>
      <c r="E119" s="21"/>
      <c r="F119" s="21"/>
    </row>
    <row r="120" spans="1:6" x14ac:dyDescent="0.25">
      <c r="A120" s="21" t="s">
        <v>184</v>
      </c>
      <c r="B120" s="21" t="s">
        <v>22</v>
      </c>
      <c r="C120" s="21">
        <v>0</v>
      </c>
      <c r="D120" s="52">
        <v>0</v>
      </c>
      <c r="E120" s="21"/>
      <c r="F120" s="21"/>
    </row>
    <row r="121" spans="1:6" x14ac:dyDescent="0.25">
      <c r="A121" s="21" t="s">
        <v>185</v>
      </c>
      <c r="B121" s="21" t="s">
        <v>22</v>
      </c>
      <c r="C121" s="21">
        <v>0</v>
      </c>
      <c r="D121" s="52">
        <v>0</v>
      </c>
      <c r="E121" s="21"/>
      <c r="F121" s="21"/>
    </row>
    <row r="122" spans="1:6" x14ac:dyDescent="0.25">
      <c r="A122" s="21" t="s">
        <v>186</v>
      </c>
      <c r="B122" s="21" t="s">
        <v>22</v>
      </c>
      <c r="C122" s="21">
        <v>0</v>
      </c>
      <c r="D122" s="52">
        <v>0</v>
      </c>
      <c r="E122" s="21"/>
      <c r="F122" s="21"/>
    </row>
    <row r="123" spans="1:6" x14ac:dyDescent="0.25">
      <c r="A123" s="21" t="s">
        <v>187</v>
      </c>
      <c r="B123" s="21" t="s">
        <v>22</v>
      </c>
      <c r="C123" s="21">
        <v>0</v>
      </c>
      <c r="D123" s="52">
        <v>0</v>
      </c>
      <c r="E123" s="21"/>
      <c r="F123" s="21"/>
    </row>
    <row r="124" spans="1:6" x14ac:dyDescent="0.25">
      <c r="A124" s="21" t="s">
        <v>188</v>
      </c>
      <c r="B124" s="21" t="s">
        <v>22</v>
      </c>
      <c r="C124" s="21">
        <v>0</v>
      </c>
      <c r="D124" s="52">
        <v>0</v>
      </c>
      <c r="E124" s="21"/>
      <c r="F124" s="21"/>
    </row>
    <row r="125" spans="1:6" x14ac:dyDescent="0.25">
      <c r="A125" s="21" t="s">
        <v>189</v>
      </c>
      <c r="B125" s="21" t="s">
        <v>22</v>
      </c>
      <c r="C125" s="21">
        <v>0</v>
      </c>
      <c r="D125" s="52">
        <v>0</v>
      </c>
      <c r="E125" s="21"/>
      <c r="F125" s="21"/>
    </row>
    <row r="126" spans="1:6" x14ac:dyDescent="0.25">
      <c r="A126" s="21" t="s">
        <v>190</v>
      </c>
      <c r="B126" s="21" t="s">
        <v>22</v>
      </c>
      <c r="C126" s="21">
        <v>0</v>
      </c>
      <c r="D126" s="52">
        <v>0</v>
      </c>
      <c r="E126" s="21"/>
      <c r="F126" s="21"/>
    </row>
    <row r="127" spans="1:6" x14ac:dyDescent="0.25">
      <c r="A127" s="21" t="s">
        <v>191</v>
      </c>
      <c r="B127" s="21" t="s">
        <v>22</v>
      </c>
      <c r="C127" s="21">
        <v>0</v>
      </c>
      <c r="D127" s="52">
        <v>0</v>
      </c>
      <c r="E127" s="21"/>
      <c r="F127" s="21"/>
    </row>
    <row r="128" spans="1:6" x14ac:dyDescent="0.25">
      <c r="A128" s="21" t="s">
        <v>192</v>
      </c>
      <c r="B128" s="21" t="s">
        <v>22</v>
      </c>
      <c r="C128" s="21">
        <v>0</v>
      </c>
      <c r="D128" s="52">
        <v>0</v>
      </c>
      <c r="E128" s="21"/>
      <c r="F128" s="21"/>
    </row>
    <row r="129" spans="1:6" x14ac:dyDescent="0.25">
      <c r="A129" s="21" t="s">
        <v>193</v>
      </c>
      <c r="B129" s="21" t="s">
        <v>22</v>
      </c>
      <c r="C129" s="21">
        <v>5000</v>
      </c>
      <c r="D129" s="21">
        <v>30000</v>
      </c>
      <c r="E129" s="21">
        <v>6</v>
      </c>
      <c r="F129" s="21"/>
    </row>
    <row r="130" spans="1:6" x14ac:dyDescent="0.25">
      <c r="A130" s="21" t="s">
        <v>194</v>
      </c>
      <c r="B130" s="21" t="s">
        <v>22</v>
      </c>
      <c r="C130" s="21">
        <v>0</v>
      </c>
      <c r="D130" s="52">
        <v>0</v>
      </c>
      <c r="E130" s="21"/>
      <c r="F130" s="21"/>
    </row>
    <row r="131" spans="1:6" x14ac:dyDescent="0.25">
      <c r="A131" s="21" t="s">
        <v>195</v>
      </c>
      <c r="B131" s="21" t="s">
        <v>22</v>
      </c>
      <c r="C131" s="21">
        <v>0</v>
      </c>
      <c r="D131" s="52">
        <v>0</v>
      </c>
      <c r="E131" s="21"/>
      <c r="F131" s="21"/>
    </row>
    <row r="132" spans="1:6" x14ac:dyDescent="0.25">
      <c r="A132" s="21" t="s">
        <v>196</v>
      </c>
      <c r="B132" s="21" t="s">
        <v>22</v>
      </c>
      <c r="C132" s="21">
        <v>0</v>
      </c>
      <c r="D132" s="52">
        <v>0</v>
      </c>
      <c r="E132" s="21"/>
      <c r="F132" s="21"/>
    </row>
    <row r="133" spans="1:6" x14ac:dyDescent="0.25">
      <c r="A133" s="21" t="s">
        <v>197</v>
      </c>
      <c r="B133" s="21" t="s">
        <v>22</v>
      </c>
      <c r="C133" s="21">
        <v>0</v>
      </c>
      <c r="D133" s="52">
        <v>0</v>
      </c>
      <c r="E133" s="21"/>
      <c r="F133" s="21"/>
    </row>
    <row r="134" spans="1:6" x14ac:dyDescent="0.25">
      <c r="A134" s="21" t="s">
        <v>198</v>
      </c>
      <c r="B134" s="21" t="s">
        <v>22</v>
      </c>
      <c r="C134" s="21">
        <v>0</v>
      </c>
      <c r="D134" s="52">
        <v>0</v>
      </c>
      <c r="E134" s="21"/>
      <c r="F134" s="21"/>
    </row>
    <row r="135" spans="1:6" x14ac:dyDescent="0.25">
      <c r="A135" s="21" t="s">
        <v>199</v>
      </c>
      <c r="B135" s="21" t="s">
        <v>22</v>
      </c>
      <c r="C135" s="21">
        <v>0</v>
      </c>
      <c r="D135" s="52">
        <v>0</v>
      </c>
      <c r="E135" s="21"/>
      <c r="F135" s="21"/>
    </row>
    <row r="136" spans="1:6" x14ac:dyDescent="0.25">
      <c r="A136" s="21" t="s">
        <v>200</v>
      </c>
      <c r="B136" s="21" t="s">
        <v>22</v>
      </c>
      <c r="C136" s="21">
        <v>2000</v>
      </c>
      <c r="D136" s="21">
        <v>12000</v>
      </c>
      <c r="E136" s="21">
        <v>6</v>
      </c>
      <c r="F136" s="21"/>
    </row>
    <row r="137" spans="1:6" x14ac:dyDescent="0.25">
      <c r="A137" s="21" t="s">
        <v>201</v>
      </c>
      <c r="B137" s="21" t="s">
        <v>22</v>
      </c>
      <c r="C137" s="21">
        <v>0</v>
      </c>
      <c r="D137" s="52">
        <v>0</v>
      </c>
      <c r="E137" s="21"/>
      <c r="F137" s="21"/>
    </row>
    <row r="138" spans="1:6" x14ac:dyDescent="0.25">
      <c r="A138" s="21" t="s">
        <v>202</v>
      </c>
      <c r="B138" s="21" t="s">
        <v>22</v>
      </c>
      <c r="C138" s="21">
        <v>0</v>
      </c>
      <c r="D138" s="52">
        <v>0</v>
      </c>
      <c r="E138" s="21"/>
      <c r="F138" s="21"/>
    </row>
    <row r="139" spans="1:6" x14ac:dyDescent="0.25">
      <c r="A139" s="21" t="s">
        <v>203</v>
      </c>
      <c r="B139" s="21" t="s">
        <v>22</v>
      </c>
      <c r="C139" s="21">
        <v>0</v>
      </c>
      <c r="D139" s="52">
        <v>0</v>
      </c>
      <c r="E139" s="21"/>
      <c r="F139" s="21"/>
    </row>
    <row r="140" spans="1:6" x14ac:dyDescent="0.25">
      <c r="A140" s="21" t="s">
        <v>204</v>
      </c>
      <c r="B140" s="21" t="s">
        <v>22</v>
      </c>
      <c r="C140" s="21">
        <v>1200</v>
      </c>
      <c r="D140" s="21">
        <v>7200</v>
      </c>
      <c r="E140" s="21">
        <v>6</v>
      </c>
      <c r="F140" s="21"/>
    </row>
    <row r="141" spans="1:6" x14ac:dyDescent="0.25">
      <c r="A141" s="21" t="s">
        <v>205</v>
      </c>
      <c r="B141" s="21" t="s">
        <v>22</v>
      </c>
      <c r="C141" s="21">
        <v>0</v>
      </c>
      <c r="D141" s="52">
        <v>0</v>
      </c>
      <c r="E141" s="21"/>
      <c r="F141" s="21"/>
    </row>
    <row r="142" spans="1:6" x14ac:dyDescent="0.25">
      <c r="A142" s="21" t="s">
        <v>206</v>
      </c>
      <c r="B142" s="21" t="s">
        <v>22</v>
      </c>
      <c r="C142" s="21">
        <v>0</v>
      </c>
      <c r="D142" s="52">
        <v>0</v>
      </c>
      <c r="E142" s="21"/>
      <c r="F142" s="21"/>
    </row>
    <row r="143" spans="1:6" x14ac:dyDescent="0.25">
      <c r="A143" s="21" t="s">
        <v>207</v>
      </c>
      <c r="B143" s="21" t="s">
        <v>22</v>
      </c>
      <c r="C143" s="21">
        <v>0</v>
      </c>
      <c r="D143" s="52">
        <v>0</v>
      </c>
      <c r="E143" s="21"/>
      <c r="F143" s="21"/>
    </row>
    <row r="144" spans="1:6" x14ac:dyDescent="0.25">
      <c r="A144" s="21" t="s">
        <v>208</v>
      </c>
      <c r="B144" s="21" t="s">
        <v>22</v>
      </c>
      <c r="C144" s="21">
        <v>70</v>
      </c>
      <c r="D144" s="21">
        <v>2240</v>
      </c>
      <c r="E144" s="21">
        <v>32</v>
      </c>
      <c r="F144" s="21"/>
    </row>
    <row r="145" spans="1:6" x14ac:dyDescent="0.25">
      <c r="A145" s="21" t="s">
        <v>209</v>
      </c>
      <c r="B145" s="21" t="s">
        <v>22</v>
      </c>
      <c r="C145" s="21">
        <v>6000</v>
      </c>
      <c r="D145" s="21">
        <v>96000</v>
      </c>
      <c r="E145" s="21">
        <v>16</v>
      </c>
      <c r="F145" s="21"/>
    </row>
    <row r="146" spans="1:6" x14ac:dyDescent="0.25">
      <c r="A146" s="21" t="s">
        <v>210</v>
      </c>
      <c r="B146" s="21" t="s">
        <v>22</v>
      </c>
      <c r="C146" s="21">
        <v>0</v>
      </c>
      <c r="D146" s="52">
        <v>0</v>
      </c>
      <c r="E146" s="21"/>
      <c r="F146" s="21"/>
    </row>
    <row r="147" spans="1:6" x14ac:dyDescent="0.25">
      <c r="A147" s="21" t="s">
        <v>211</v>
      </c>
      <c r="B147" s="21" t="s">
        <v>22</v>
      </c>
      <c r="C147" s="21">
        <v>0</v>
      </c>
      <c r="D147" s="52">
        <v>0</v>
      </c>
      <c r="E147" s="21"/>
      <c r="F147" s="21"/>
    </row>
    <row r="148" spans="1:6" x14ac:dyDescent="0.25">
      <c r="A148" s="21" t="s">
        <v>212</v>
      </c>
      <c r="B148" s="21" t="s">
        <v>22</v>
      </c>
      <c r="C148" s="21">
        <v>0</v>
      </c>
      <c r="D148" s="52">
        <v>0</v>
      </c>
      <c r="E148" s="21"/>
      <c r="F148" s="21"/>
    </row>
    <row r="149" spans="1:6" x14ac:dyDescent="0.25">
      <c r="A149" s="21" t="s">
        <v>213</v>
      </c>
      <c r="B149" s="21" t="s">
        <v>22</v>
      </c>
      <c r="C149" s="21">
        <v>0</v>
      </c>
      <c r="D149" s="52">
        <v>0</v>
      </c>
      <c r="E149" s="21"/>
      <c r="F149" s="21"/>
    </row>
    <row r="150" spans="1:6" x14ac:dyDescent="0.25">
      <c r="A150" s="21" t="s">
        <v>214</v>
      </c>
      <c r="B150" s="21" t="s">
        <v>22</v>
      </c>
      <c r="C150" s="21">
        <v>2800</v>
      </c>
      <c r="D150" s="21">
        <v>56000</v>
      </c>
      <c r="E150" s="21">
        <v>20</v>
      </c>
      <c r="F150" s="21"/>
    </row>
    <row r="151" spans="1:6" x14ac:dyDescent="0.25">
      <c r="A151" s="21" t="s">
        <v>215</v>
      </c>
      <c r="B151" s="21" t="s">
        <v>22</v>
      </c>
      <c r="C151" s="21">
        <v>0</v>
      </c>
      <c r="D151" s="52">
        <v>0</v>
      </c>
      <c r="E151" s="21"/>
      <c r="F151" s="21"/>
    </row>
    <row r="152" spans="1:6" x14ac:dyDescent="0.25">
      <c r="A152" s="21" t="s">
        <v>216</v>
      </c>
      <c r="B152" s="21" t="s">
        <v>22</v>
      </c>
      <c r="C152" s="21">
        <v>0</v>
      </c>
      <c r="D152" s="52">
        <v>0</v>
      </c>
      <c r="E152" s="21"/>
      <c r="F152" s="21"/>
    </row>
    <row r="153" spans="1:6" x14ac:dyDescent="0.25">
      <c r="A153" s="21" t="s">
        <v>217</v>
      </c>
      <c r="B153" s="21" t="s">
        <v>22</v>
      </c>
      <c r="C153" s="21">
        <v>0</v>
      </c>
      <c r="D153" s="52">
        <v>0</v>
      </c>
      <c r="E153" s="21"/>
      <c r="F153" s="21"/>
    </row>
    <row r="154" spans="1:6" x14ac:dyDescent="0.25">
      <c r="A154" s="21" t="s">
        <v>218</v>
      </c>
      <c r="B154" s="21" t="s">
        <v>22</v>
      </c>
      <c r="C154" s="21">
        <v>2000</v>
      </c>
      <c r="D154" s="21">
        <v>50000</v>
      </c>
      <c r="E154" s="21">
        <v>25</v>
      </c>
      <c r="F154" s="21"/>
    </row>
    <row r="155" spans="1:6" x14ac:dyDescent="0.25">
      <c r="A155" s="21" t="s">
        <v>219</v>
      </c>
      <c r="B155" s="21" t="s">
        <v>22</v>
      </c>
      <c r="C155" s="21">
        <v>0</v>
      </c>
      <c r="D155" s="52">
        <v>0</v>
      </c>
      <c r="E155" s="21"/>
      <c r="F155" s="21"/>
    </row>
    <row r="156" spans="1:6" x14ac:dyDescent="0.25">
      <c r="A156" s="21" t="s">
        <v>220</v>
      </c>
      <c r="B156" s="21" t="s">
        <v>22</v>
      </c>
      <c r="C156" s="21">
        <v>0</v>
      </c>
      <c r="D156" s="52">
        <v>0</v>
      </c>
      <c r="E156" s="21"/>
      <c r="F156" s="21"/>
    </row>
    <row r="157" spans="1:6" x14ac:dyDescent="0.25">
      <c r="A157" s="21" t="s">
        <v>221</v>
      </c>
      <c r="B157" s="21" t="s">
        <v>22</v>
      </c>
      <c r="C157" s="21">
        <v>1000</v>
      </c>
      <c r="D157" s="21">
        <v>32000</v>
      </c>
      <c r="E157" s="21">
        <v>32</v>
      </c>
      <c r="F157" s="21"/>
    </row>
    <row r="158" spans="1:6" x14ac:dyDescent="0.25">
      <c r="A158" s="21" t="s">
        <v>222</v>
      </c>
      <c r="B158" s="21" t="s">
        <v>22</v>
      </c>
      <c r="C158" s="21">
        <v>1000</v>
      </c>
      <c r="D158" s="21">
        <v>32000</v>
      </c>
      <c r="E158" s="21">
        <v>32</v>
      </c>
      <c r="F158" s="21"/>
    </row>
    <row r="159" spans="1:6" x14ac:dyDescent="0.25">
      <c r="A159" s="21" t="s">
        <v>223</v>
      </c>
      <c r="B159" s="21" t="s">
        <v>22</v>
      </c>
      <c r="C159" s="21">
        <v>1000</v>
      </c>
      <c r="D159" s="21">
        <v>32000</v>
      </c>
      <c r="E159" s="21">
        <v>32</v>
      </c>
      <c r="F159" s="21"/>
    </row>
    <row r="160" spans="1:6" x14ac:dyDescent="0.25">
      <c r="A160" s="21" t="s">
        <v>224</v>
      </c>
      <c r="B160" s="21" t="s">
        <v>22</v>
      </c>
      <c r="C160" s="21">
        <v>1000</v>
      </c>
      <c r="D160" s="21">
        <v>32000</v>
      </c>
      <c r="E160" s="21">
        <v>32</v>
      </c>
      <c r="F160" s="21"/>
    </row>
    <row r="161" spans="1:6" x14ac:dyDescent="0.25">
      <c r="A161" s="21" t="s">
        <v>225</v>
      </c>
      <c r="B161" s="21" t="s">
        <v>22</v>
      </c>
      <c r="C161" s="21">
        <v>1000</v>
      </c>
      <c r="D161" s="21">
        <v>32000</v>
      </c>
      <c r="E161" s="21">
        <v>32</v>
      </c>
      <c r="F161" s="21"/>
    </row>
    <row r="162" spans="1:6" x14ac:dyDescent="0.25">
      <c r="A162" s="21" t="s">
        <v>226</v>
      </c>
      <c r="B162" s="21" t="s">
        <v>22</v>
      </c>
      <c r="C162" s="21">
        <v>1000</v>
      </c>
      <c r="D162" s="21">
        <v>32000</v>
      </c>
      <c r="E162" s="21">
        <v>32</v>
      </c>
      <c r="F162" s="21"/>
    </row>
    <row r="163" spans="1:6" x14ac:dyDescent="0.25">
      <c r="A163" s="21" t="s">
        <v>227</v>
      </c>
      <c r="B163" s="21" t="s">
        <v>22</v>
      </c>
      <c r="C163" s="21">
        <v>0</v>
      </c>
      <c r="D163" s="52">
        <v>0</v>
      </c>
      <c r="E163" s="21"/>
      <c r="F163" s="21"/>
    </row>
    <row r="164" spans="1:6" x14ac:dyDescent="0.25">
      <c r="A164" s="21" t="s">
        <v>228</v>
      </c>
      <c r="B164" s="21" t="s">
        <v>22</v>
      </c>
      <c r="C164" s="21">
        <v>0</v>
      </c>
      <c r="D164" s="52">
        <v>0</v>
      </c>
      <c r="E164" s="21"/>
      <c r="F164" s="21"/>
    </row>
    <row r="165" spans="1:6" x14ac:dyDescent="0.25">
      <c r="A165" s="21" t="s">
        <v>229</v>
      </c>
      <c r="B165" s="21" t="s">
        <v>22</v>
      </c>
      <c r="C165" s="21">
        <v>1000</v>
      </c>
      <c r="D165" s="21">
        <v>32000</v>
      </c>
      <c r="E165" s="21">
        <v>32</v>
      </c>
      <c r="F165" s="21"/>
    </row>
    <row r="166" spans="1:6" x14ac:dyDescent="0.25">
      <c r="A166" s="21" t="s">
        <v>230</v>
      </c>
      <c r="B166" s="21" t="s">
        <v>22</v>
      </c>
      <c r="C166" s="21">
        <v>1000</v>
      </c>
      <c r="D166" s="21">
        <v>32000</v>
      </c>
      <c r="E166" s="21">
        <v>32</v>
      </c>
      <c r="F166" s="21"/>
    </row>
    <row r="167" spans="1:6" x14ac:dyDescent="0.25">
      <c r="A167" s="21" t="s">
        <v>231</v>
      </c>
      <c r="B167" s="21" t="s">
        <v>22</v>
      </c>
      <c r="C167" s="21">
        <v>1000</v>
      </c>
      <c r="D167" s="21">
        <v>32000</v>
      </c>
      <c r="E167" s="21">
        <v>32</v>
      </c>
      <c r="F167" s="21"/>
    </row>
    <row r="168" spans="1:6" x14ac:dyDescent="0.25">
      <c r="A168" s="21" t="s">
        <v>232</v>
      </c>
      <c r="B168" s="21" t="s">
        <v>22</v>
      </c>
      <c r="C168" s="21">
        <v>324</v>
      </c>
      <c r="D168" s="21">
        <v>19440</v>
      </c>
      <c r="E168" s="21">
        <v>60</v>
      </c>
      <c r="F168" s="21"/>
    </row>
    <row r="169" spans="1:6" x14ac:dyDescent="0.25">
      <c r="A169" s="21" t="s">
        <v>233</v>
      </c>
      <c r="B169" s="21" t="s">
        <v>22</v>
      </c>
      <c r="C169" s="21">
        <v>300</v>
      </c>
      <c r="D169" s="21">
        <v>3600</v>
      </c>
      <c r="E169" s="21">
        <v>12</v>
      </c>
      <c r="F169" s="21"/>
    </row>
    <row r="170" spans="1:6" x14ac:dyDescent="0.25">
      <c r="A170" s="21" t="s">
        <v>234</v>
      </c>
      <c r="B170" s="21" t="s">
        <v>22</v>
      </c>
      <c r="C170" s="21">
        <v>160</v>
      </c>
      <c r="D170" s="21">
        <v>1920</v>
      </c>
      <c r="E170" s="21">
        <v>12</v>
      </c>
      <c r="F170" s="21"/>
    </row>
    <row r="171" spans="1:6" x14ac:dyDescent="0.25">
      <c r="A171" s="21" t="s">
        <v>235</v>
      </c>
      <c r="B171" s="21" t="s">
        <v>22</v>
      </c>
      <c r="C171" s="21">
        <v>500</v>
      </c>
      <c r="D171" s="21">
        <v>12000</v>
      </c>
      <c r="E171" s="21">
        <v>24</v>
      </c>
      <c r="F171" s="21"/>
    </row>
    <row r="172" spans="1:6" x14ac:dyDescent="0.25">
      <c r="A172" s="21" t="s">
        <v>236</v>
      </c>
      <c r="B172" s="21" t="s">
        <v>22</v>
      </c>
      <c r="C172" s="21">
        <v>500</v>
      </c>
      <c r="D172" s="21">
        <v>12000</v>
      </c>
      <c r="E172" s="21">
        <v>24</v>
      </c>
      <c r="F172" s="21"/>
    </row>
    <row r="173" spans="1:6" x14ac:dyDescent="0.25">
      <c r="A173" s="21" t="s">
        <v>237</v>
      </c>
      <c r="B173" s="21" t="s">
        <v>22</v>
      </c>
      <c r="C173" s="21">
        <v>350</v>
      </c>
      <c r="D173" s="21">
        <v>11200</v>
      </c>
      <c r="E173" s="21">
        <v>32</v>
      </c>
      <c r="F173" s="21"/>
    </row>
    <row r="174" spans="1:6" x14ac:dyDescent="0.25">
      <c r="A174" s="21" t="s">
        <v>238</v>
      </c>
      <c r="B174" s="21" t="s">
        <v>22</v>
      </c>
      <c r="C174" s="21">
        <v>300</v>
      </c>
      <c r="D174" s="21">
        <v>9600</v>
      </c>
      <c r="E174" s="21">
        <v>32</v>
      </c>
      <c r="F174" s="21"/>
    </row>
    <row r="175" spans="1:6" x14ac:dyDescent="0.25">
      <c r="A175" s="21" t="s">
        <v>239</v>
      </c>
      <c r="B175" s="21" t="s">
        <v>22</v>
      </c>
      <c r="C175" s="21">
        <v>552</v>
      </c>
      <c r="D175" s="21">
        <v>11040</v>
      </c>
      <c r="E175" s="21">
        <v>20</v>
      </c>
      <c r="F175" s="21"/>
    </row>
    <row r="176" spans="1:6" x14ac:dyDescent="0.25">
      <c r="A176" s="21" t="s">
        <v>240</v>
      </c>
      <c r="B176" s="21" t="s">
        <v>22</v>
      </c>
      <c r="C176" s="21">
        <v>200</v>
      </c>
      <c r="D176" s="21">
        <v>6400</v>
      </c>
      <c r="E176" s="21">
        <v>32</v>
      </c>
      <c r="F176" s="21"/>
    </row>
    <row r="177" spans="1:6" x14ac:dyDescent="0.25">
      <c r="A177" s="21" t="s">
        <v>241</v>
      </c>
      <c r="B177" s="21" t="s">
        <v>22</v>
      </c>
      <c r="C177" s="21">
        <v>200</v>
      </c>
      <c r="D177" s="21">
        <v>6400</v>
      </c>
      <c r="E177" s="21">
        <v>32</v>
      </c>
      <c r="F177" s="21"/>
    </row>
    <row r="178" spans="1:6" x14ac:dyDescent="0.25">
      <c r="A178" s="21" t="s">
        <v>242</v>
      </c>
      <c r="B178" s="21" t="s">
        <v>22</v>
      </c>
      <c r="C178" s="21">
        <v>0</v>
      </c>
      <c r="D178" s="52">
        <v>0</v>
      </c>
      <c r="E178" s="21"/>
      <c r="F178" s="21"/>
    </row>
    <row r="179" spans="1:6" x14ac:dyDescent="0.25">
      <c r="A179" s="21" t="s">
        <v>243</v>
      </c>
      <c r="B179" s="21" t="s">
        <v>22</v>
      </c>
      <c r="C179" s="21">
        <v>390</v>
      </c>
      <c r="D179" s="21">
        <v>15600</v>
      </c>
      <c r="E179" s="21">
        <v>40</v>
      </c>
      <c r="F179" s="21"/>
    </row>
    <row r="180" spans="1:6" x14ac:dyDescent="0.25">
      <c r="A180" s="21" t="s">
        <v>244</v>
      </c>
      <c r="B180" s="21" t="s">
        <v>22</v>
      </c>
      <c r="C180" s="21">
        <v>552</v>
      </c>
      <c r="D180" s="21">
        <v>11040</v>
      </c>
      <c r="E180" s="21">
        <v>20</v>
      </c>
      <c r="F180" s="21"/>
    </row>
    <row r="181" spans="1:6" x14ac:dyDescent="0.25">
      <c r="A181" s="21" t="s">
        <v>245</v>
      </c>
      <c r="B181" s="21" t="s">
        <v>22</v>
      </c>
      <c r="C181" s="21">
        <v>552</v>
      </c>
      <c r="D181" s="21">
        <v>11040</v>
      </c>
      <c r="E181" s="21">
        <v>20</v>
      </c>
      <c r="F181" s="21"/>
    </row>
    <row r="182" spans="1:6" x14ac:dyDescent="0.25">
      <c r="A182" s="21" t="s">
        <v>246</v>
      </c>
      <c r="B182" s="21" t="s">
        <v>22</v>
      </c>
      <c r="C182" s="21">
        <v>200</v>
      </c>
      <c r="D182" s="21">
        <v>6400</v>
      </c>
      <c r="E182" s="21">
        <v>32</v>
      </c>
      <c r="F182" s="21"/>
    </row>
    <row r="183" spans="1:6" x14ac:dyDescent="0.25">
      <c r="A183" s="21" t="s">
        <v>247</v>
      </c>
      <c r="B183" s="21" t="s">
        <v>22</v>
      </c>
      <c r="C183" s="21">
        <v>200</v>
      </c>
      <c r="D183" s="21">
        <v>6400</v>
      </c>
      <c r="E183" s="21">
        <v>32</v>
      </c>
      <c r="F183" s="21"/>
    </row>
    <row r="184" spans="1:6" x14ac:dyDescent="0.25">
      <c r="A184" s="21" t="s">
        <v>248</v>
      </c>
      <c r="B184" s="21" t="s">
        <v>22</v>
      </c>
      <c r="C184" s="21">
        <v>828</v>
      </c>
      <c r="D184" s="52">
        <v>16560</v>
      </c>
      <c r="E184" s="21">
        <v>20</v>
      </c>
      <c r="F184" s="21"/>
    </row>
    <row r="185" spans="1:6" x14ac:dyDescent="0.25">
      <c r="A185" s="21" t="s">
        <v>249</v>
      </c>
      <c r="B185" s="21" t="s">
        <v>22</v>
      </c>
      <c r="C185" s="21">
        <v>0</v>
      </c>
      <c r="D185" s="52">
        <v>0</v>
      </c>
      <c r="E185" s="21"/>
      <c r="F185" s="21"/>
    </row>
    <row r="186" spans="1:6" x14ac:dyDescent="0.25">
      <c r="A186" s="21" t="s">
        <v>250</v>
      </c>
      <c r="B186" s="21" t="s">
        <v>22</v>
      </c>
      <c r="C186" s="21">
        <v>552</v>
      </c>
      <c r="D186" s="21">
        <v>11040</v>
      </c>
      <c r="E186" s="21">
        <v>20</v>
      </c>
      <c r="F186" s="21"/>
    </row>
    <row r="187" spans="1:6" x14ac:dyDescent="0.25">
      <c r="A187" s="21" t="s">
        <v>251</v>
      </c>
      <c r="B187" s="21" t="s">
        <v>22</v>
      </c>
      <c r="C187" s="21">
        <v>552</v>
      </c>
      <c r="D187" s="21">
        <v>11040</v>
      </c>
      <c r="E187" s="21">
        <v>20</v>
      </c>
      <c r="F187" s="21"/>
    </row>
    <row r="188" spans="1:6" x14ac:dyDescent="0.25">
      <c r="A188" s="21" t="s">
        <v>252</v>
      </c>
      <c r="B188" s="21" t="s">
        <v>22</v>
      </c>
      <c r="C188" s="21">
        <v>200</v>
      </c>
      <c r="D188" s="21">
        <v>6400</v>
      </c>
      <c r="E188" s="21">
        <v>32</v>
      </c>
      <c r="F188" s="21"/>
    </row>
    <row r="189" spans="1:6" x14ac:dyDescent="0.25">
      <c r="A189" s="21" t="s">
        <v>253</v>
      </c>
      <c r="B189" s="21" t="s">
        <v>22</v>
      </c>
      <c r="C189" s="21">
        <v>200</v>
      </c>
      <c r="D189" s="21">
        <v>6400</v>
      </c>
      <c r="E189" s="21">
        <v>32</v>
      </c>
      <c r="F189" s="21"/>
    </row>
    <row r="190" spans="1:6" x14ac:dyDescent="0.25">
      <c r="A190" s="21" t="s">
        <v>254</v>
      </c>
      <c r="B190" s="21" t="s">
        <v>22</v>
      </c>
      <c r="C190" s="21">
        <v>828</v>
      </c>
      <c r="D190" s="52">
        <v>16560</v>
      </c>
      <c r="E190" s="21">
        <v>20</v>
      </c>
      <c r="F190" s="21"/>
    </row>
    <row r="191" spans="1:6" x14ac:dyDescent="0.25">
      <c r="A191" s="21" t="s">
        <v>255</v>
      </c>
      <c r="B191" s="21" t="s">
        <v>22</v>
      </c>
      <c r="C191" s="21">
        <v>0</v>
      </c>
      <c r="D191" s="52">
        <v>0</v>
      </c>
      <c r="E191" s="21"/>
      <c r="F191" s="21"/>
    </row>
    <row r="192" spans="1:6" x14ac:dyDescent="0.25">
      <c r="A192" s="21" t="s">
        <v>256</v>
      </c>
      <c r="B192" s="21" t="s">
        <v>22</v>
      </c>
      <c r="C192" s="21">
        <v>552</v>
      </c>
      <c r="D192" s="21">
        <v>11040</v>
      </c>
      <c r="E192" s="21">
        <v>20</v>
      </c>
      <c r="F192" s="21"/>
    </row>
    <row r="193" spans="1:6" x14ac:dyDescent="0.25">
      <c r="A193" s="21" t="s">
        <v>257</v>
      </c>
      <c r="B193" s="21" t="s">
        <v>22</v>
      </c>
      <c r="C193" s="21">
        <v>0</v>
      </c>
      <c r="D193" s="52">
        <v>0</v>
      </c>
      <c r="E193" s="21"/>
      <c r="F193" s="21"/>
    </row>
    <row r="194" spans="1:6" x14ac:dyDescent="0.25">
      <c r="A194" s="21" t="s">
        <v>258</v>
      </c>
      <c r="B194" s="21" t="s">
        <v>22</v>
      </c>
      <c r="C194" s="21">
        <v>240</v>
      </c>
      <c r="D194" s="21">
        <v>4800</v>
      </c>
      <c r="E194" s="21">
        <v>20</v>
      </c>
      <c r="F194" s="21"/>
    </row>
    <row r="195" spans="1:6" x14ac:dyDescent="0.25">
      <c r="A195" s="21" t="s">
        <v>259</v>
      </c>
      <c r="B195" s="21" t="s">
        <v>22</v>
      </c>
      <c r="C195" s="21">
        <v>200</v>
      </c>
      <c r="D195" s="21">
        <v>6000</v>
      </c>
      <c r="E195" s="21">
        <v>30</v>
      </c>
      <c r="F195" s="21"/>
    </row>
    <row r="196" spans="1:6" x14ac:dyDescent="0.25">
      <c r="A196" s="21" t="s">
        <v>260</v>
      </c>
      <c r="B196" s="21" t="s">
        <v>22</v>
      </c>
      <c r="C196" s="21">
        <v>200</v>
      </c>
      <c r="D196" s="21">
        <v>6000</v>
      </c>
      <c r="E196" s="21">
        <v>30</v>
      </c>
      <c r="F196" s="21"/>
    </row>
    <row r="197" spans="1:6" x14ac:dyDescent="0.25">
      <c r="A197" s="21" t="s">
        <v>261</v>
      </c>
      <c r="B197" s="21" t="s">
        <v>22</v>
      </c>
      <c r="C197" s="21">
        <v>240</v>
      </c>
      <c r="D197" s="21">
        <v>4800</v>
      </c>
      <c r="E197" s="21">
        <v>20</v>
      </c>
      <c r="F197" s="21"/>
    </row>
    <row r="198" spans="1:6" x14ac:dyDescent="0.25">
      <c r="A198" s="21" t="s">
        <v>262</v>
      </c>
      <c r="B198" s="21" t="s">
        <v>22</v>
      </c>
      <c r="C198" s="21">
        <v>0</v>
      </c>
      <c r="D198" s="52">
        <v>0</v>
      </c>
      <c r="E198" s="21"/>
      <c r="F198" s="21"/>
    </row>
    <row r="199" spans="1:6" x14ac:dyDescent="0.25">
      <c r="A199" s="21" t="s">
        <v>263</v>
      </c>
      <c r="B199" s="21" t="s">
        <v>22</v>
      </c>
      <c r="C199" s="21">
        <v>450</v>
      </c>
      <c r="D199" s="21">
        <v>12600</v>
      </c>
      <c r="E199" s="21">
        <v>28</v>
      </c>
      <c r="F199" s="21"/>
    </row>
    <row r="200" spans="1:6" x14ac:dyDescent="0.25">
      <c r="A200" s="21" t="s">
        <v>264</v>
      </c>
      <c r="B200" s="21" t="s">
        <v>22</v>
      </c>
      <c r="C200" s="21">
        <v>300</v>
      </c>
      <c r="D200" s="52">
        <f>32*300</f>
        <v>9600</v>
      </c>
      <c r="E200" s="21">
        <f>7040/220</f>
        <v>32</v>
      </c>
      <c r="F200" s="21"/>
    </row>
    <row r="201" spans="1:6" x14ac:dyDescent="0.25">
      <c r="A201" s="21" t="s">
        <v>265</v>
      </c>
      <c r="B201" s="21" t="s">
        <v>22</v>
      </c>
      <c r="C201" s="21">
        <v>552</v>
      </c>
      <c r="D201" s="21">
        <v>11040</v>
      </c>
      <c r="E201" s="21">
        <v>20</v>
      </c>
      <c r="F201" s="21"/>
    </row>
    <row r="202" spans="1:6" x14ac:dyDescent="0.25">
      <c r="A202" s="21" t="s">
        <v>266</v>
      </c>
      <c r="B202" s="21" t="s">
        <v>22</v>
      </c>
      <c r="C202" s="21">
        <v>414</v>
      </c>
      <c r="D202" s="21">
        <v>8280</v>
      </c>
      <c r="E202" s="21">
        <v>20</v>
      </c>
      <c r="F202" s="21"/>
    </row>
    <row r="203" spans="1:6" x14ac:dyDescent="0.25">
      <c r="A203" s="21" t="s">
        <v>267</v>
      </c>
      <c r="B203" s="21" t="s">
        <v>22</v>
      </c>
      <c r="C203" s="21">
        <v>552</v>
      </c>
      <c r="D203" s="21">
        <v>11040</v>
      </c>
      <c r="E203" s="21">
        <v>20</v>
      </c>
      <c r="F203" s="21"/>
    </row>
    <row r="204" spans="1:6" x14ac:dyDescent="0.25">
      <c r="A204" s="21" t="s">
        <v>268</v>
      </c>
      <c r="B204" s="21" t="s">
        <v>22</v>
      </c>
      <c r="C204" s="21">
        <v>552</v>
      </c>
      <c r="D204" s="21">
        <v>11040</v>
      </c>
      <c r="E204" s="21">
        <v>20</v>
      </c>
      <c r="F204" s="21"/>
    </row>
    <row r="205" spans="1:6" x14ac:dyDescent="0.25">
      <c r="A205" s="21" t="s">
        <v>269</v>
      </c>
      <c r="B205" s="21" t="s">
        <v>22</v>
      </c>
      <c r="C205" s="21">
        <v>76</v>
      </c>
      <c r="D205" s="21">
        <v>760</v>
      </c>
      <c r="E205" s="21">
        <v>10</v>
      </c>
      <c r="F205" s="21"/>
    </row>
    <row r="206" spans="1:6" x14ac:dyDescent="0.25">
      <c r="A206" s="21" t="s">
        <v>270</v>
      </c>
      <c r="B206" s="21" t="s">
        <v>22</v>
      </c>
      <c r="C206" s="21">
        <v>0</v>
      </c>
      <c r="D206" s="52">
        <v>0</v>
      </c>
      <c r="E206" s="21"/>
      <c r="F206" s="21"/>
    </row>
    <row r="207" spans="1:6" x14ac:dyDescent="0.25">
      <c r="A207" s="21" t="s">
        <v>271</v>
      </c>
      <c r="B207" s="21" t="s">
        <v>22</v>
      </c>
      <c r="C207" s="21">
        <v>648</v>
      </c>
      <c r="D207" s="21">
        <v>20736</v>
      </c>
      <c r="E207" s="21">
        <v>32</v>
      </c>
      <c r="F207" s="21"/>
    </row>
    <row r="208" spans="1:6" x14ac:dyDescent="0.25">
      <c r="A208" s="21" t="s">
        <v>272</v>
      </c>
      <c r="B208" s="21" t="s">
        <v>22</v>
      </c>
      <c r="C208" s="21">
        <v>648</v>
      </c>
      <c r="D208" s="21">
        <v>20736</v>
      </c>
      <c r="E208" s="21">
        <v>32</v>
      </c>
      <c r="F208" s="21"/>
    </row>
    <row r="209" spans="1:6" x14ac:dyDescent="0.25">
      <c r="A209" s="21" t="s">
        <v>273</v>
      </c>
      <c r="B209" s="21" t="s">
        <v>22</v>
      </c>
      <c r="C209" s="21">
        <v>0</v>
      </c>
      <c r="D209" s="52">
        <v>0</v>
      </c>
      <c r="E209" s="21"/>
      <c r="F209" s="21"/>
    </row>
    <row r="210" spans="1:6" x14ac:dyDescent="0.25">
      <c r="A210" s="21" t="s">
        <v>274</v>
      </c>
      <c r="B210" s="21" t="s">
        <v>22</v>
      </c>
      <c r="C210" s="21">
        <v>648</v>
      </c>
      <c r="D210" s="21">
        <v>15552</v>
      </c>
      <c r="E210" s="21">
        <v>24</v>
      </c>
      <c r="F210" s="21"/>
    </row>
    <row r="211" spans="1:6" x14ac:dyDescent="0.25">
      <c r="A211" s="21" t="s">
        <v>275</v>
      </c>
      <c r="B211" s="21" t="s">
        <v>22</v>
      </c>
      <c r="C211" s="21">
        <v>150</v>
      </c>
      <c r="D211" s="21">
        <v>5400</v>
      </c>
      <c r="E211" s="21">
        <v>36</v>
      </c>
      <c r="F211" s="21"/>
    </row>
    <row r="212" spans="1:6" x14ac:dyDescent="0.25">
      <c r="A212" s="21" t="s">
        <v>276</v>
      </c>
      <c r="B212" s="21" t="s">
        <v>22</v>
      </c>
      <c r="C212" s="21">
        <v>0</v>
      </c>
      <c r="D212" s="52">
        <v>0</v>
      </c>
      <c r="E212" s="21"/>
      <c r="F212" s="21"/>
    </row>
    <row r="213" spans="1:6" x14ac:dyDescent="0.25">
      <c r="A213" s="21" t="s">
        <v>277</v>
      </c>
      <c r="B213" s="21" t="s">
        <v>22</v>
      </c>
      <c r="C213" s="21">
        <v>130</v>
      </c>
      <c r="D213" s="21">
        <v>4160</v>
      </c>
      <c r="E213" s="21">
        <v>32</v>
      </c>
      <c r="F213" s="21"/>
    </row>
    <row r="214" spans="1:6" x14ac:dyDescent="0.25">
      <c r="A214" s="21" t="s">
        <v>278</v>
      </c>
      <c r="B214" s="21" t="s">
        <v>22</v>
      </c>
      <c r="C214" s="21">
        <v>192</v>
      </c>
      <c r="D214" s="21">
        <v>1920</v>
      </c>
      <c r="E214" s="21">
        <v>10</v>
      </c>
      <c r="F214" s="21"/>
    </row>
    <row r="215" spans="1:6" x14ac:dyDescent="0.25">
      <c r="A215" s="21" t="s">
        <v>279</v>
      </c>
      <c r="B215" s="21" t="s">
        <v>22</v>
      </c>
      <c r="C215" s="21">
        <v>648</v>
      </c>
      <c r="D215" s="21">
        <v>20736</v>
      </c>
      <c r="E215" s="21">
        <v>32</v>
      </c>
      <c r="F215" s="21"/>
    </row>
    <row r="216" spans="1:6" x14ac:dyDescent="0.25">
      <c r="A216" s="21" t="s">
        <v>3179</v>
      </c>
      <c r="B216" s="21" t="s">
        <v>22</v>
      </c>
      <c r="C216" s="21">
        <v>648</v>
      </c>
      <c r="D216" s="21">
        <v>20736</v>
      </c>
      <c r="E216" s="21">
        <v>32</v>
      </c>
      <c r="F216" s="21"/>
    </row>
    <row r="217" spans="1:6" x14ac:dyDescent="0.25">
      <c r="A217" s="21" t="s">
        <v>280</v>
      </c>
      <c r="B217" s="21" t="s">
        <v>22</v>
      </c>
      <c r="C217" s="21">
        <v>216</v>
      </c>
      <c r="D217" s="21">
        <v>6912</v>
      </c>
      <c r="E217" s="21">
        <v>32</v>
      </c>
      <c r="F217" s="21"/>
    </row>
    <row r="218" spans="1:6" x14ac:dyDescent="0.25">
      <c r="A218" s="21" t="s">
        <v>281</v>
      </c>
      <c r="B218" s="21" t="s">
        <v>22</v>
      </c>
      <c r="C218" s="21">
        <v>360</v>
      </c>
      <c r="D218" s="21">
        <v>11520</v>
      </c>
      <c r="E218" s="21">
        <v>32</v>
      </c>
      <c r="F218" s="21"/>
    </row>
    <row r="219" spans="1:6" x14ac:dyDescent="0.25">
      <c r="A219" s="21" t="s">
        <v>282</v>
      </c>
      <c r="B219" s="21" t="s">
        <v>22</v>
      </c>
      <c r="C219" s="21">
        <v>648</v>
      </c>
      <c r="D219" s="21">
        <v>20736</v>
      </c>
      <c r="E219" s="21">
        <v>32</v>
      </c>
      <c r="F219" s="21"/>
    </row>
    <row r="220" spans="1:6" x14ac:dyDescent="0.25">
      <c r="A220" s="21" t="s">
        <v>283</v>
      </c>
      <c r="B220" s="21" t="s">
        <v>22</v>
      </c>
      <c r="C220" s="21">
        <v>648</v>
      </c>
      <c r="D220" s="21">
        <v>20736</v>
      </c>
      <c r="E220" s="21">
        <v>32</v>
      </c>
      <c r="F220" s="21"/>
    </row>
    <row r="221" spans="1:6" x14ac:dyDescent="0.25">
      <c r="A221" s="21" t="s">
        <v>284</v>
      </c>
      <c r="B221" s="21" t="s">
        <v>22</v>
      </c>
      <c r="C221" s="21">
        <v>216</v>
      </c>
      <c r="D221" s="21">
        <v>6912</v>
      </c>
      <c r="E221" s="21">
        <v>32</v>
      </c>
      <c r="F221" s="21"/>
    </row>
    <row r="222" spans="1:6" x14ac:dyDescent="0.25">
      <c r="A222" s="21" t="s">
        <v>285</v>
      </c>
      <c r="B222" s="21" t="s">
        <v>22</v>
      </c>
      <c r="C222" s="21">
        <v>360</v>
      </c>
      <c r="D222" s="21">
        <v>11520</v>
      </c>
      <c r="E222" s="21">
        <v>32</v>
      </c>
      <c r="F222" s="21"/>
    </row>
    <row r="223" spans="1:6" x14ac:dyDescent="0.25">
      <c r="A223" s="21" t="s">
        <v>286</v>
      </c>
      <c r="B223" s="21" t="s">
        <v>22</v>
      </c>
      <c r="C223" s="21">
        <v>648</v>
      </c>
      <c r="D223" s="21">
        <v>15552</v>
      </c>
      <c r="E223" s="21">
        <v>24</v>
      </c>
      <c r="F223" s="21"/>
    </row>
    <row r="224" spans="1:6" x14ac:dyDescent="0.25">
      <c r="A224" s="21" t="s">
        <v>287</v>
      </c>
      <c r="B224" s="21" t="s">
        <v>22</v>
      </c>
      <c r="C224" s="21">
        <v>648</v>
      </c>
      <c r="D224" s="21">
        <v>20736</v>
      </c>
      <c r="E224" s="21">
        <v>32</v>
      </c>
      <c r="F224" s="21"/>
    </row>
    <row r="225" spans="1:6" x14ac:dyDescent="0.25">
      <c r="A225" s="21" t="s">
        <v>288</v>
      </c>
      <c r="B225" s="21" t="s">
        <v>22</v>
      </c>
      <c r="C225" s="21">
        <v>216</v>
      </c>
      <c r="D225" s="21">
        <v>6912</v>
      </c>
      <c r="E225" s="21">
        <v>32</v>
      </c>
      <c r="F225" s="21"/>
    </row>
    <row r="226" spans="1:6" x14ac:dyDescent="0.25">
      <c r="A226" s="21" t="s">
        <v>289</v>
      </c>
      <c r="B226" s="21" t="s">
        <v>22</v>
      </c>
      <c r="C226" s="21">
        <v>648</v>
      </c>
      <c r="D226" s="21">
        <v>20736</v>
      </c>
      <c r="E226" s="21">
        <v>32</v>
      </c>
      <c r="F226" s="21"/>
    </row>
    <row r="227" spans="1:6" x14ac:dyDescent="0.25">
      <c r="A227" s="21" t="s">
        <v>290</v>
      </c>
      <c r="B227" s="21" t="s">
        <v>22</v>
      </c>
      <c r="C227" s="21">
        <v>648</v>
      </c>
      <c r="D227" s="21">
        <v>20736</v>
      </c>
      <c r="E227" s="21">
        <v>32</v>
      </c>
      <c r="F227" s="21"/>
    </row>
    <row r="228" spans="1:6" x14ac:dyDescent="0.25">
      <c r="A228" s="21" t="s">
        <v>291</v>
      </c>
      <c r="B228" s="21" t="s">
        <v>22</v>
      </c>
      <c r="C228" s="21">
        <v>648</v>
      </c>
      <c r="D228" s="21">
        <v>20736</v>
      </c>
      <c r="E228" s="21">
        <v>32</v>
      </c>
      <c r="F228" s="21"/>
    </row>
    <row r="229" spans="1:6" x14ac:dyDescent="0.25">
      <c r="A229" s="21" t="s">
        <v>292</v>
      </c>
      <c r="B229" s="21" t="s">
        <v>22</v>
      </c>
      <c r="C229" s="21">
        <v>648</v>
      </c>
      <c r="D229" s="21">
        <v>20736</v>
      </c>
      <c r="E229" s="21">
        <v>32</v>
      </c>
      <c r="F229" s="21"/>
    </row>
    <row r="230" spans="1:6" x14ac:dyDescent="0.25">
      <c r="A230" s="21" t="s">
        <v>293</v>
      </c>
      <c r="B230" s="21" t="s">
        <v>22</v>
      </c>
      <c r="C230" s="21">
        <v>0</v>
      </c>
      <c r="D230" s="52">
        <v>0</v>
      </c>
      <c r="E230" s="21"/>
      <c r="F230" s="21"/>
    </row>
    <row r="231" spans="1:6" x14ac:dyDescent="0.25">
      <c r="A231" s="21" t="s">
        <v>294</v>
      </c>
      <c r="B231" s="21" t="s">
        <v>22</v>
      </c>
      <c r="C231" s="21">
        <v>2000</v>
      </c>
      <c r="D231" s="21">
        <v>40000</v>
      </c>
      <c r="E231" s="21">
        <v>20</v>
      </c>
      <c r="F231" s="21"/>
    </row>
    <row r="232" spans="1:6" x14ac:dyDescent="0.25">
      <c r="A232" s="21" t="s">
        <v>295</v>
      </c>
      <c r="B232" s="21" t="s">
        <v>22</v>
      </c>
      <c r="C232" s="21">
        <v>0</v>
      </c>
      <c r="D232" s="52">
        <v>0</v>
      </c>
      <c r="E232" s="21"/>
      <c r="F232" s="21"/>
    </row>
    <row r="233" spans="1:6" x14ac:dyDescent="0.25">
      <c r="A233" s="21" t="s">
        <v>296</v>
      </c>
      <c r="B233" s="21" t="s">
        <v>22</v>
      </c>
      <c r="C233" s="21">
        <v>0</v>
      </c>
      <c r="D233" s="52">
        <v>0</v>
      </c>
      <c r="E233" s="21"/>
      <c r="F233" s="21"/>
    </row>
    <row r="234" spans="1:6" x14ac:dyDescent="0.25">
      <c r="A234" s="21" t="s">
        <v>297</v>
      </c>
      <c r="B234" s="21" t="s">
        <v>22</v>
      </c>
      <c r="C234" s="21">
        <v>648</v>
      </c>
      <c r="D234" s="21">
        <v>20736</v>
      </c>
      <c r="E234" s="21">
        <v>32</v>
      </c>
      <c r="F234" s="21"/>
    </row>
    <row r="235" spans="1:6" x14ac:dyDescent="0.25">
      <c r="A235" s="21" t="s">
        <v>298</v>
      </c>
      <c r="B235" s="21" t="s">
        <v>22</v>
      </c>
      <c r="C235" s="21">
        <v>648</v>
      </c>
      <c r="D235" s="21">
        <v>20736</v>
      </c>
      <c r="E235" s="21">
        <v>32</v>
      </c>
      <c r="F235" s="21"/>
    </row>
    <row r="236" spans="1:6" x14ac:dyDescent="0.25">
      <c r="A236" s="21" t="s">
        <v>299</v>
      </c>
      <c r="B236" s="21" t="s">
        <v>22</v>
      </c>
      <c r="C236" s="21">
        <v>648</v>
      </c>
      <c r="D236" s="21">
        <v>20736</v>
      </c>
      <c r="E236" s="21">
        <v>32</v>
      </c>
      <c r="F236" s="21"/>
    </row>
    <row r="237" spans="1:6" x14ac:dyDescent="0.25">
      <c r="A237" s="21" t="s">
        <v>300</v>
      </c>
      <c r="B237" s="21" t="s">
        <v>22</v>
      </c>
      <c r="C237" s="21">
        <v>0</v>
      </c>
      <c r="D237" s="52">
        <v>0</v>
      </c>
      <c r="E237" s="21"/>
      <c r="F237" s="21"/>
    </row>
    <row r="238" spans="1:6" x14ac:dyDescent="0.25">
      <c r="A238" s="21" t="s">
        <v>301</v>
      </c>
      <c r="B238" s="21" t="s">
        <v>22</v>
      </c>
      <c r="C238" s="21">
        <v>800</v>
      </c>
      <c r="D238" s="21">
        <v>16000</v>
      </c>
      <c r="E238" s="21">
        <v>20</v>
      </c>
      <c r="F238" s="21"/>
    </row>
    <row r="239" spans="1:6" x14ac:dyDescent="0.25">
      <c r="A239" s="21" t="s">
        <v>302</v>
      </c>
      <c r="B239" s="21" t="s">
        <v>22</v>
      </c>
      <c r="C239" s="21">
        <v>648</v>
      </c>
      <c r="D239" s="21">
        <v>20736</v>
      </c>
      <c r="E239" s="21">
        <v>32</v>
      </c>
      <c r="F239" s="21"/>
    </row>
    <row r="240" spans="1:6" x14ac:dyDescent="0.25">
      <c r="A240" s="21" t="s">
        <v>303</v>
      </c>
      <c r="B240" s="21" t="s">
        <v>22</v>
      </c>
      <c r="C240" s="21">
        <v>216</v>
      </c>
      <c r="D240" s="21">
        <v>6912</v>
      </c>
      <c r="E240" s="21">
        <v>32</v>
      </c>
      <c r="F240" s="21"/>
    </row>
    <row r="241" spans="1:6" x14ac:dyDescent="0.25">
      <c r="A241" s="21" t="s">
        <v>304</v>
      </c>
      <c r="B241" s="21" t="s">
        <v>22</v>
      </c>
      <c r="C241" s="21">
        <v>324</v>
      </c>
      <c r="D241" s="21">
        <v>10368</v>
      </c>
      <c r="E241" s="21">
        <v>32</v>
      </c>
      <c r="F241" s="21"/>
    </row>
    <row r="242" spans="1:6" x14ac:dyDescent="0.25">
      <c r="A242" s="21" t="s">
        <v>305</v>
      </c>
      <c r="B242" s="21" t="s">
        <v>22</v>
      </c>
      <c r="C242" s="21">
        <v>336</v>
      </c>
      <c r="D242" s="21">
        <v>10752</v>
      </c>
      <c r="E242" s="21">
        <v>32</v>
      </c>
      <c r="F242" s="21"/>
    </row>
    <row r="243" spans="1:6" x14ac:dyDescent="0.25">
      <c r="A243" s="21" t="s">
        <v>306</v>
      </c>
      <c r="B243" s="21" t="s">
        <v>22</v>
      </c>
      <c r="C243" s="21">
        <v>324</v>
      </c>
      <c r="D243" s="21">
        <v>10368</v>
      </c>
      <c r="E243" s="21">
        <v>32</v>
      </c>
      <c r="F243" s="21"/>
    </row>
    <row r="244" spans="1:6" x14ac:dyDescent="0.25">
      <c r="A244" s="21" t="s">
        <v>307</v>
      </c>
      <c r="B244" s="21" t="s">
        <v>22</v>
      </c>
      <c r="C244" s="21">
        <v>432</v>
      </c>
      <c r="D244" s="21">
        <v>13824</v>
      </c>
      <c r="E244" s="21">
        <v>32</v>
      </c>
      <c r="F244" s="21"/>
    </row>
    <row r="245" spans="1:6" x14ac:dyDescent="0.25">
      <c r="A245" s="21" t="s">
        <v>308</v>
      </c>
      <c r="B245" s="21" t="s">
        <v>22</v>
      </c>
      <c r="C245" s="21">
        <v>648</v>
      </c>
      <c r="D245" s="21">
        <v>20736</v>
      </c>
      <c r="E245" s="21">
        <v>32</v>
      </c>
      <c r="F245" s="21"/>
    </row>
    <row r="246" spans="1:6" x14ac:dyDescent="0.25">
      <c r="A246" s="21" t="s">
        <v>309</v>
      </c>
      <c r="B246" s="21" t="s">
        <v>22</v>
      </c>
      <c r="C246" s="21">
        <v>648</v>
      </c>
      <c r="D246" s="21">
        <v>20736</v>
      </c>
      <c r="E246" s="21">
        <v>32</v>
      </c>
      <c r="F246" s="21"/>
    </row>
    <row r="247" spans="1:6" x14ac:dyDescent="0.25">
      <c r="A247" s="21" t="s">
        <v>310</v>
      </c>
      <c r="B247" s="21" t="s">
        <v>22</v>
      </c>
      <c r="C247" s="21">
        <v>480</v>
      </c>
      <c r="D247" s="21">
        <v>14400</v>
      </c>
      <c r="E247" s="21">
        <v>30</v>
      </c>
      <c r="F247" s="21"/>
    </row>
    <row r="248" spans="1:6" x14ac:dyDescent="0.25">
      <c r="A248" s="21" t="s">
        <v>311</v>
      </c>
      <c r="B248" s="21" t="s">
        <v>22</v>
      </c>
      <c r="C248" s="21">
        <v>500</v>
      </c>
      <c r="D248" s="21">
        <v>10000</v>
      </c>
      <c r="E248" s="21">
        <v>20</v>
      </c>
      <c r="F248" s="21"/>
    </row>
    <row r="249" spans="1:6" x14ac:dyDescent="0.25">
      <c r="A249" s="21" t="s">
        <v>312</v>
      </c>
      <c r="B249" s="21" t="s">
        <v>22</v>
      </c>
      <c r="C249" s="21">
        <v>240</v>
      </c>
      <c r="D249" s="21">
        <v>7200</v>
      </c>
      <c r="E249" s="21">
        <v>30</v>
      </c>
      <c r="F249" s="21"/>
    </row>
    <row r="250" spans="1:6" x14ac:dyDescent="0.25">
      <c r="A250" s="21" t="s">
        <v>313</v>
      </c>
      <c r="B250" s="21" t="s">
        <v>22</v>
      </c>
      <c r="C250" s="21">
        <v>648</v>
      </c>
      <c r="D250" s="21">
        <v>20736</v>
      </c>
      <c r="E250" s="21">
        <v>32</v>
      </c>
      <c r="F250" s="21"/>
    </row>
    <row r="251" spans="1:6" x14ac:dyDescent="0.25">
      <c r="A251" s="21" t="s">
        <v>314</v>
      </c>
      <c r="B251" s="21" t="s">
        <v>22</v>
      </c>
      <c r="C251" s="21">
        <v>648</v>
      </c>
      <c r="D251" s="21">
        <v>20736</v>
      </c>
      <c r="E251" s="21">
        <v>32</v>
      </c>
      <c r="F251" s="21"/>
    </row>
    <row r="252" spans="1:6" x14ac:dyDescent="0.25">
      <c r="A252" s="21" t="s">
        <v>315</v>
      </c>
      <c r="B252" s="21" t="s">
        <v>22</v>
      </c>
      <c r="C252" s="21">
        <v>648</v>
      </c>
      <c r="D252" s="21">
        <v>20736</v>
      </c>
      <c r="E252" s="21">
        <v>32</v>
      </c>
      <c r="F252" s="21"/>
    </row>
    <row r="253" spans="1:6" x14ac:dyDescent="0.25">
      <c r="A253" s="21" t="s">
        <v>316</v>
      </c>
      <c r="B253" s="21" t="s">
        <v>22</v>
      </c>
      <c r="C253" s="21">
        <v>225</v>
      </c>
      <c r="D253" s="21">
        <v>7200</v>
      </c>
      <c r="E253" s="21">
        <v>32</v>
      </c>
      <c r="F253" s="21"/>
    </row>
    <row r="254" spans="1:6" x14ac:dyDescent="0.25">
      <c r="A254" s="21" t="s">
        <v>317</v>
      </c>
      <c r="B254" s="21" t="s">
        <v>22</v>
      </c>
      <c r="C254" s="21">
        <v>200</v>
      </c>
      <c r="D254" s="21">
        <v>12800</v>
      </c>
      <c r="E254" s="21">
        <v>64</v>
      </c>
      <c r="F254" s="21"/>
    </row>
    <row r="255" spans="1:6" x14ac:dyDescent="0.25">
      <c r="A255" s="21" t="s">
        <v>318</v>
      </c>
      <c r="B255" s="21" t="s">
        <v>22</v>
      </c>
      <c r="C255" s="21">
        <v>500</v>
      </c>
      <c r="D255" s="21">
        <v>16000</v>
      </c>
      <c r="E255" s="21">
        <v>32</v>
      </c>
      <c r="F255" s="21"/>
    </row>
    <row r="256" spans="1:6" x14ac:dyDescent="0.25">
      <c r="A256" s="21" t="s">
        <v>319</v>
      </c>
      <c r="B256" s="21" t="s">
        <v>22</v>
      </c>
      <c r="C256" s="21">
        <v>500</v>
      </c>
      <c r="D256" s="21">
        <v>16000</v>
      </c>
      <c r="E256" s="21">
        <v>32</v>
      </c>
      <c r="F256" s="21"/>
    </row>
    <row r="257" spans="1:6" x14ac:dyDescent="0.25">
      <c r="A257" s="21" t="s">
        <v>320</v>
      </c>
      <c r="B257" s="21" t="s">
        <v>22</v>
      </c>
      <c r="C257" s="21">
        <v>200</v>
      </c>
      <c r="D257" s="21">
        <v>6400</v>
      </c>
      <c r="E257" s="21">
        <v>32</v>
      </c>
      <c r="F257" s="21"/>
    </row>
    <row r="258" spans="1:6" x14ac:dyDescent="0.25">
      <c r="A258" s="21" t="s">
        <v>321</v>
      </c>
      <c r="B258" s="21" t="s">
        <v>22</v>
      </c>
      <c r="C258" s="21">
        <v>200</v>
      </c>
      <c r="D258" s="21">
        <v>6400</v>
      </c>
      <c r="E258" s="21">
        <v>32</v>
      </c>
      <c r="F258" s="21"/>
    </row>
    <row r="259" spans="1:6" x14ac:dyDescent="0.25">
      <c r="A259" s="21" t="s">
        <v>322</v>
      </c>
      <c r="B259" s="21" t="s">
        <v>22</v>
      </c>
      <c r="C259" s="21">
        <v>200</v>
      </c>
      <c r="D259" s="21">
        <v>6400</v>
      </c>
      <c r="E259" s="21">
        <v>32</v>
      </c>
      <c r="F259" s="21"/>
    </row>
    <row r="260" spans="1:6" x14ac:dyDescent="0.25">
      <c r="A260" s="21" t="s">
        <v>323</v>
      </c>
      <c r="B260" s="21" t="s">
        <v>22</v>
      </c>
      <c r="C260" s="21">
        <v>100</v>
      </c>
      <c r="D260" s="21">
        <v>3200</v>
      </c>
      <c r="E260" s="21">
        <v>32</v>
      </c>
      <c r="F260" s="21"/>
    </row>
    <row r="261" spans="1:6" x14ac:dyDescent="0.25">
      <c r="A261" s="21" t="s">
        <v>324</v>
      </c>
      <c r="B261" s="21" t="s">
        <v>22</v>
      </c>
      <c r="C261" s="21">
        <v>60</v>
      </c>
      <c r="D261" s="21">
        <v>1920</v>
      </c>
      <c r="E261" s="21">
        <v>32</v>
      </c>
      <c r="F261" s="21"/>
    </row>
    <row r="262" spans="1:6" x14ac:dyDescent="0.25">
      <c r="A262" s="21" t="s">
        <v>325</v>
      </c>
      <c r="B262" s="21" t="s">
        <v>22</v>
      </c>
      <c r="C262" s="21">
        <v>200</v>
      </c>
      <c r="D262" s="21">
        <v>6400</v>
      </c>
      <c r="E262" s="21">
        <v>32</v>
      </c>
      <c r="F262" s="21"/>
    </row>
    <row r="263" spans="1:6" x14ac:dyDescent="0.25">
      <c r="A263" s="21" t="s">
        <v>326</v>
      </c>
      <c r="B263" s="21" t="s">
        <v>22</v>
      </c>
      <c r="C263" s="21">
        <v>200</v>
      </c>
      <c r="D263" s="21">
        <v>6400</v>
      </c>
      <c r="E263" s="21">
        <v>32</v>
      </c>
      <c r="F263" s="21"/>
    </row>
    <row r="264" spans="1:6" x14ac:dyDescent="0.25">
      <c r="A264" s="21" t="s">
        <v>327</v>
      </c>
      <c r="B264" s="21" t="s">
        <v>22</v>
      </c>
      <c r="C264" s="21">
        <v>200</v>
      </c>
      <c r="D264" s="21">
        <v>6400</v>
      </c>
      <c r="E264" s="21">
        <v>32</v>
      </c>
      <c r="F264" s="21"/>
    </row>
    <row r="265" spans="1:6" x14ac:dyDescent="0.25">
      <c r="A265" s="21" t="s">
        <v>328</v>
      </c>
      <c r="B265" s="21" t="s">
        <v>22</v>
      </c>
      <c r="C265" s="21">
        <v>720</v>
      </c>
      <c r="D265" s="21">
        <v>21600</v>
      </c>
      <c r="E265" s="21">
        <v>30</v>
      </c>
      <c r="F265" s="21"/>
    </row>
    <row r="266" spans="1:6" x14ac:dyDescent="0.25">
      <c r="A266" s="21" t="s">
        <v>329</v>
      </c>
      <c r="B266" s="21" t="s">
        <v>22</v>
      </c>
      <c r="C266" s="21">
        <v>648</v>
      </c>
      <c r="D266" s="21">
        <v>20736</v>
      </c>
      <c r="E266" s="21">
        <v>32</v>
      </c>
      <c r="F266" s="21"/>
    </row>
    <row r="267" spans="1:6" x14ac:dyDescent="0.25">
      <c r="A267" s="21" t="s">
        <v>330</v>
      </c>
      <c r="B267" s="21" t="s">
        <v>22</v>
      </c>
      <c r="C267" s="21">
        <v>648</v>
      </c>
      <c r="D267" s="21">
        <v>20736</v>
      </c>
      <c r="E267" s="21">
        <v>32</v>
      </c>
      <c r="F267" s="21"/>
    </row>
    <row r="268" spans="1:6" x14ac:dyDescent="0.25">
      <c r="A268" s="21" t="s">
        <v>331</v>
      </c>
      <c r="B268" s="21" t="s">
        <v>22</v>
      </c>
      <c r="C268" s="21">
        <v>150</v>
      </c>
      <c r="D268" s="21">
        <v>5400</v>
      </c>
      <c r="E268" s="21">
        <v>36</v>
      </c>
      <c r="F268" s="21"/>
    </row>
    <row r="269" spans="1:6" x14ac:dyDescent="0.25">
      <c r="A269" s="21" t="s">
        <v>332</v>
      </c>
      <c r="B269" s="21" t="s">
        <v>22</v>
      </c>
      <c r="C269" s="21">
        <v>648</v>
      </c>
      <c r="D269" s="21">
        <v>20736</v>
      </c>
      <c r="E269" s="21">
        <v>32</v>
      </c>
      <c r="F269" s="21"/>
    </row>
    <row r="270" spans="1:6" x14ac:dyDescent="0.25">
      <c r="A270" s="21" t="s">
        <v>333</v>
      </c>
      <c r="B270" s="21" t="s">
        <v>22</v>
      </c>
      <c r="C270" s="21">
        <v>648</v>
      </c>
      <c r="D270" s="21">
        <v>20736</v>
      </c>
      <c r="E270" s="21">
        <v>32</v>
      </c>
      <c r="F270" s="21"/>
    </row>
    <row r="271" spans="1:6" x14ac:dyDescent="0.25">
      <c r="A271" s="21" t="s">
        <v>334</v>
      </c>
      <c r="B271" s="21" t="s">
        <v>22</v>
      </c>
      <c r="C271" s="21">
        <v>648</v>
      </c>
      <c r="D271" s="21">
        <v>20736</v>
      </c>
      <c r="E271" s="21">
        <v>32</v>
      </c>
      <c r="F271" s="21"/>
    </row>
    <row r="272" spans="1:6" x14ac:dyDescent="0.25">
      <c r="A272" s="21" t="s">
        <v>335</v>
      </c>
      <c r="B272" s="21" t="s">
        <v>22</v>
      </c>
      <c r="C272" s="21">
        <v>240</v>
      </c>
      <c r="D272" s="21">
        <v>7200</v>
      </c>
      <c r="E272" s="21">
        <v>30</v>
      </c>
      <c r="F272" s="21"/>
    </row>
    <row r="273" spans="1:6" x14ac:dyDescent="0.25">
      <c r="A273" s="21" t="s">
        <v>336</v>
      </c>
      <c r="B273" s="21" t="s">
        <v>22</v>
      </c>
      <c r="C273" s="21">
        <v>648</v>
      </c>
      <c r="D273" s="21">
        <v>20736</v>
      </c>
      <c r="E273" s="21">
        <v>32</v>
      </c>
      <c r="F273" s="21"/>
    </row>
    <row r="274" spans="1:6" x14ac:dyDescent="0.25">
      <c r="A274" s="21" t="s">
        <v>337</v>
      </c>
      <c r="B274" s="21" t="s">
        <v>22</v>
      </c>
      <c r="C274" s="21">
        <v>648</v>
      </c>
      <c r="D274" s="21">
        <v>20736</v>
      </c>
      <c r="E274" s="21">
        <v>32</v>
      </c>
      <c r="F274" s="21"/>
    </row>
    <row r="275" spans="1:6" x14ac:dyDescent="0.25">
      <c r="A275" s="21" t="s">
        <v>338</v>
      </c>
      <c r="B275" s="21" t="s">
        <v>22</v>
      </c>
      <c r="C275" s="21">
        <v>480</v>
      </c>
      <c r="D275" s="21">
        <v>14400</v>
      </c>
      <c r="E275" s="21">
        <v>30</v>
      </c>
      <c r="F275" s="21"/>
    </row>
    <row r="276" spans="1:6" x14ac:dyDescent="0.25">
      <c r="A276" s="21" t="s">
        <v>339</v>
      </c>
      <c r="B276" s="21" t="s">
        <v>22</v>
      </c>
      <c r="C276" s="21">
        <v>480</v>
      </c>
      <c r="D276" s="21">
        <v>14400</v>
      </c>
      <c r="E276" s="21">
        <v>30</v>
      </c>
      <c r="F276" s="21"/>
    </row>
    <row r="277" spans="1:6" x14ac:dyDescent="0.25">
      <c r="A277" s="21" t="s">
        <v>340</v>
      </c>
      <c r="B277" s="21" t="s">
        <v>22</v>
      </c>
      <c r="C277" s="21">
        <v>800</v>
      </c>
      <c r="D277" s="21">
        <v>16000</v>
      </c>
      <c r="E277" s="21">
        <v>20</v>
      </c>
      <c r="F277" s="21"/>
    </row>
    <row r="278" spans="1:6" x14ac:dyDescent="0.25">
      <c r="A278" s="21" t="s">
        <v>341</v>
      </c>
      <c r="B278" s="21" t="s">
        <v>22</v>
      </c>
      <c r="C278" s="21">
        <v>648</v>
      </c>
      <c r="D278" s="21">
        <v>20736</v>
      </c>
      <c r="E278" s="21">
        <v>32</v>
      </c>
      <c r="F278" s="21"/>
    </row>
    <row r="279" spans="1:6" x14ac:dyDescent="0.25">
      <c r="A279" s="21" t="s">
        <v>342</v>
      </c>
      <c r="B279" s="21" t="s">
        <v>22</v>
      </c>
      <c r="C279" s="21">
        <v>270</v>
      </c>
      <c r="D279" s="21">
        <v>8100</v>
      </c>
      <c r="E279" s="21">
        <v>30</v>
      </c>
      <c r="F279" s="21"/>
    </row>
    <row r="280" spans="1:6" x14ac:dyDescent="0.25">
      <c r="A280" s="21" t="s">
        <v>343</v>
      </c>
      <c r="B280" s="21" t="s">
        <v>22</v>
      </c>
      <c r="C280" s="21">
        <v>240</v>
      </c>
      <c r="D280" s="21">
        <v>7200</v>
      </c>
      <c r="E280" s="21">
        <v>30</v>
      </c>
      <c r="F280" s="21"/>
    </row>
    <row r="281" spans="1:6" x14ac:dyDescent="0.25">
      <c r="A281" s="21" t="s">
        <v>344</v>
      </c>
      <c r="B281" s="21" t="s">
        <v>22</v>
      </c>
      <c r="C281" s="21">
        <v>324</v>
      </c>
      <c r="D281" s="21">
        <v>10368</v>
      </c>
      <c r="E281" s="21">
        <v>32</v>
      </c>
      <c r="F281" s="21"/>
    </row>
    <row r="282" spans="1:6" x14ac:dyDescent="0.25">
      <c r="A282" s="21" t="s">
        <v>345</v>
      </c>
      <c r="B282" s="21" t="s">
        <v>22</v>
      </c>
      <c r="C282" s="21">
        <v>648</v>
      </c>
      <c r="D282" s="21">
        <v>20736</v>
      </c>
      <c r="E282" s="21">
        <v>32</v>
      </c>
      <c r="F282" s="21"/>
    </row>
    <row r="283" spans="1:6" x14ac:dyDescent="0.25">
      <c r="A283" s="21" t="s">
        <v>346</v>
      </c>
      <c r="B283" s="21" t="s">
        <v>22</v>
      </c>
      <c r="C283" s="21">
        <v>480</v>
      </c>
      <c r="D283" s="21">
        <v>14400</v>
      </c>
      <c r="E283" s="21">
        <v>30</v>
      </c>
      <c r="F283" s="21"/>
    </row>
    <row r="284" spans="1:6" x14ac:dyDescent="0.25">
      <c r="A284" s="21" t="s">
        <v>347</v>
      </c>
      <c r="B284" s="21" t="s">
        <v>22</v>
      </c>
      <c r="C284" s="21">
        <v>240</v>
      </c>
      <c r="D284" s="21">
        <v>7200</v>
      </c>
      <c r="E284" s="21">
        <v>30</v>
      </c>
      <c r="F284" s="21"/>
    </row>
    <row r="285" spans="1:6" x14ac:dyDescent="0.25">
      <c r="A285" s="21" t="s">
        <v>348</v>
      </c>
      <c r="B285" s="21" t="s">
        <v>22</v>
      </c>
      <c r="C285" s="21">
        <v>270</v>
      </c>
      <c r="D285" s="21">
        <v>8640</v>
      </c>
      <c r="E285" s="21">
        <v>32</v>
      </c>
      <c r="F285" s="21"/>
    </row>
    <row r="286" spans="1:6" x14ac:dyDescent="0.25">
      <c r="A286" s="21" t="s">
        <v>349</v>
      </c>
      <c r="B286" s="21" t="s">
        <v>22</v>
      </c>
      <c r="C286" s="21">
        <v>270</v>
      </c>
      <c r="D286" s="21">
        <v>8640</v>
      </c>
      <c r="E286" s="21">
        <v>32</v>
      </c>
      <c r="F286" s="21"/>
    </row>
    <row r="287" spans="1:6" x14ac:dyDescent="0.25">
      <c r="A287" s="21" t="s">
        <v>350</v>
      </c>
      <c r="B287" s="21" t="s">
        <v>22</v>
      </c>
      <c r="C287" s="21">
        <v>400</v>
      </c>
      <c r="D287" s="21">
        <v>12800</v>
      </c>
      <c r="E287" s="21">
        <v>32</v>
      </c>
      <c r="F287" s="21"/>
    </row>
    <row r="288" spans="1:6" x14ac:dyDescent="0.25">
      <c r="A288" s="21" t="s">
        <v>351</v>
      </c>
      <c r="B288" s="21" t="s">
        <v>22</v>
      </c>
      <c r="C288" s="21">
        <v>500</v>
      </c>
      <c r="D288" s="21">
        <v>16000</v>
      </c>
      <c r="E288" s="21">
        <v>32</v>
      </c>
      <c r="F288" s="21"/>
    </row>
    <row r="289" spans="1:6" x14ac:dyDescent="0.25">
      <c r="A289" s="21" t="s">
        <v>352</v>
      </c>
      <c r="B289" s="21" t="s">
        <v>22</v>
      </c>
      <c r="C289" s="21">
        <v>400</v>
      </c>
      <c r="D289" s="21">
        <v>12800</v>
      </c>
      <c r="E289" s="21">
        <v>32</v>
      </c>
      <c r="F289" s="21"/>
    </row>
    <row r="290" spans="1:6" x14ac:dyDescent="0.25">
      <c r="A290" s="21" t="s">
        <v>353</v>
      </c>
      <c r="B290" s="21" t="s">
        <v>22</v>
      </c>
      <c r="C290" s="21">
        <v>0</v>
      </c>
      <c r="D290" s="52">
        <v>0</v>
      </c>
      <c r="E290" s="21"/>
      <c r="F290" s="21"/>
    </row>
    <row r="291" spans="1:6" x14ac:dyDescent="0.25">
      <c r="A291" s="21" t="s">
        <v>354</v>
      </c>
      <c r="B291" s="21" t="s">
        <v>22</v>
      </c>
      <c r="C291" s="21">
        <v>500</v>
      </c>
      <c r="D291" s="21">
        <v>16000</v>
      </c>
      <c r="E291" s="21">
        <v>32</v>
      </c>
      <c r="F291" s="21"/>
    </row>
    <row r="292" spans="1:6" x14ac:dyDescent="0.25">
      <c r="A292" s="21" t="s">
        <v>355</v>
      </c>
      <c r="B292" s="21" t="s">
        <v>22</v>
      </c>
      <c r="C292" s="21">
        <v>0</v>
      </c>
      <c r="D292" s="52">
        <v>0</v>
      </c>
      <c r="E292" s="21"/>
      <c r="F292" s="21"/>
    </row>
    <row r="293" spans="1:6" x14ac:dyDescent="0.25">
      <c r="A293" s="21" t="s">
        <v>356</v>
      </c>
      <c r="B293" s="21" t="s">
        <v>22</v>
      </c>
      <c r="C293" s="21">
        <v>380</v>
      </c>
      <c r="D293" s="21">
        <v>9120</v>
      </c>
      <c r="E293" s="21">
        <v>24</v>
      </c>
      <c r="F293" s="21"/>
    </row>
    <row r="294" spans="1:6" x14ac:dyDescent="0.25">
      <c r="A294" s="21" t="s">
        <v>357</v>
      </c>
      <c r="B294" s="21" t="s">
        <v>22</v>
      </c>
      <c r="C294" s="21">
        <v>500</v>
      </c>
      <c r="D294" s="21">
        <v>1200</v>
      </c>
      <c r="E294" s="21">
        <v>2</v>
      </c>
      <c r="F294" s="21"/>
    </row>
    <row r="295" spans="1:6" x14ac:dyDescent="0.25">
      <c r="A295" s="21" t="s">
        <v>358</v>
      </c>
      <c r="B295" s="21" t="s">
        <v>22</v>
      </c>
      <c r="C295" s="21">
        <v>450</v>
      </c>
      <c r="D295" s="21">
        <v>10800</v>
      </c>
      <c r="E295" s="21">
        <v>24</v>
      </c>
      <c r="F295" s="21"/>
    </row>
    <row r="296" spans="1:6" x14ac:dyDescent="0.25">
      <c r="A296" s="21" t="s">
        <v>359</v>
      </c>
      <c r="B296" s="21" t="s">
        <v>22</v>
      </c>
      <c r="C296" s="21">
        <v>0</v>
      </c>
      <c r="D296" s="52">
        <v>0</v>
      </c>
      <c r="E296" s="21"/>
      <c r="F296" s="21"/>
    </row>
    <row r="297" spans="1:6" x14ac:dyDescent="0.25">
      <c r="A297" s="21" t="s">
        <v>360</v>
      </c>
      <c r="B297" s="21" t="s">
        <v>22</v>
      </c>
      <c r="C297" s="21">
        <v>400</v>
      </c>
      <c r="D297" s="21">
        <v>9600</v>
      </c>
      <c r="E297" s="21">
        <v>24</v>
      </c>
      <c r="F297" s="21"/>
    </row>
    <row r="298" spans="1:6" x14ac:dyDescent="0.25">
      <c r="A298" s="21" t="s">
        <v>361</v>
      </c>
      <c r="B298" s="21" t="s">
        <v>22</v>
      </c>
      <c r="C298" s="21">
        <v>400</v>
      </c>
      <c r="D298" s="21">
        <v>9600</v>
      </c>
      <c r="E298" s="21">
        <v>24</v>
      </c>
      <c r="F298" s="21"/>
    </row>
    <row r="299" spans="1:6" x14ac:dyDescent="0.25">
      <c r="A299" s="21" t="s">
        <v>362</v>
      </c>
      <c r="B299" s="21" t="s">
        <v>22</v>
      </c>
      <c r="C299" s="21">
        <v>10</v>
      </c>
      <c r="D299" s="21">
        <v>80</v>
      </c>
      <c r="E299" s="21">
        <v>8</v>
      </c>
      <c r="F299" s="21"/>
    </row>
    <row r="300" spans="1:6" x14ac:dyDescent="0.25">
      <c r="A300" s="21" t="s">
        <v>363</v>
      </c>
      <c r="B300" s="21" t="s">
        <v>22</v>
      </c>
      <c r="C300" s="21">
        <v>10</v>
      </c>
      <c r="D300" s="21">
        <v>80</v>
      </c>
      <c r="E300" s="21">
        <v>8</v>
      </c>
      <c r="F300" s="21"/>
    </row>
    <row r="301" spans="1:6" x14ac:dyDescent="0.25">
      <c r="A301" s="21" t="s">
        <v>364</v>
      </c>
      <c r="B301" s="21" t="s">
        <v>22</v>
      </c>
      <c r="C301" s="21">
        <v>8</v>
      </c>
      <c r="D301" s="21">
        <v>96</v>
      </c>
      <c r="E301" s="21">
        <v>12</v>
      </c>
      <c r="F301" s="21"/>
    </row>
    <row r="302" spans="1:6" x14ac:dyDescent="0.25">
      <c r="A302" s="21" t="s">
        <v>365</v>
      </c>
      <c r="B302" s="21" t="s">
        <v>22</v>
      </c>
      <c r="C302" s="21">
        <v>5</v>
      </c>
      <c r="D302" s="21">
        <v>60</v>
      </c>
      <c r="E302" s="21">
        <v>12</v>
      </c>
      <c r="F302" s="21"/>
    </row>
    <row r="303" spans="1:6" x14ac:dyDescent="0.25">
      <c r="A303" s="21" t="s">
        <v>366</v>
      </c>
      <c r="B303" s="21" t="s">
        <v>22</v>
      </c>
      <c r="C303" s="21">
        <v>5</v>
      </c>
      <c r="D303" s="21">
        <v>45</v>
      </c>
      <c r="E303" s="21">
        <v>9</v>
      </c>
      <c r="F303" s="21"/>
    </row>
    <row r="304" spans="1:6" x14ac:dyDescent="0.25">
      <c r="A304" s="21" t="s">
        <v>367</v>
      </c>
      <c r="B304" s="21" t="s">
        <v>22</v>
      </c>
      <c r="C304" s="21">
        <v>5</v>
      </c>
      <c r="D304" s="21">
        <v>60</v>
      </c>
      <c r="E304" s="21">
        <v>12</v>
      </c>
      <c r="F304" s="21"/>
    </row>
    <row r="305" spans="1:6" x14ac:dyDescent="0.25">
      <c r="A305" s="21" t="s">
        <v>368</v>
      </c>
      <c r="B305" s="21" t="s">
        <v>22</v>
      </c>
      <c r="C305" s="21">
        <v>6</v>
      </c>
      <c r="D305" s="21">
        <v>96</v>
      </c>
      <c r="E305" s="21">
        <v>16</v>
      </c>
      <c r="F305" s="21"/>
    </row>
    <row r="306" spans="1:6" x14ac:dyDescent="0.25">
      <c r="A306" s="21" t="s">
        <v>369</v>
      </c>
      <c r="B306" s="21" t="s">
        <v>22</v>
      </c>
      <c r="C306" s="21">
        <v>6</v>
      </c>
      <c r="D306" s="21">
        <v>96</v>
      </c>
      <c r="E306" s="21">
        <v>16</v>
      </c>
      <c r="F306" s="21"/>
    </row>
    <row r="307" spans="1:6" x14ac:dyDescent="0.25">
      <c r="A307" s="21" t="s">
        <v>370</v>
      </c>
      <c r="B307" s="21" t="s">
        <v>22</v>
      </c>
      <c r="C307" s="21">
        <v>4</v>
      </c>
      <c r="D307" s="21">
        <v>96</v>
      </c>
      <c r="E307" s="21">
        <v>24</v>
      </c>
      <c r="F307" s="21"/>
    </row>
    <row r="308" spans="1:6" x14ac:dyDescent="0.25">
      <c r="A308" s="21" t="s">
        <v>371</v>
      </c>
      <c r="B308" s="21" t="s">
        <v>22</v>
      </c>
      <c r="C308" s="21">
        <v>4</v>
      </c>
      <c r="D308" s="21">
        <v>48</v>
      </c>
      <c r="E308" s="21">
        <v>12</v>
      </c>
      <c r="F308" s="21"/>
    </row>
    <row r="309" spans="1:6" x14ac:dyDescent="0.25">
      <c r="A309" s="21" t="s">
        <v>372</v>
      </c>
      <c r="B309" s="21" t="s">
        <v>22</v>
      </c>
      <c r="C309" s="21">
        <v>6</v>
      </c>
      <c r="D309" s="21">
        <v>48</v>
      </c>
      <c r="E309" s="21">
        <v>8</v>
      </c>
      <c r="F309" s="21"/>
    </row>
    <row r="310" spans="1:6" x14ac:dyDescent="0.25">
      <c r="A310" s="21" t="s">
        <v>373</v>
      </c>
      <c r="B310" s="21" t="s">
        <v>22</v>
      </c>
      <c r="C310" s="21">
        <v>1</v>
      </c>
      <c r="D310" s="21">
        <v>12</v>
      </c>
      <c r="E310" s="21">
        <v>12</v>
      </c>
      <c r="F310" s="21"/>
    </row>
    <row r="311" spans="1:6" x14ac:dyDescent="0.25">
      <c r="A311" s="21" t="s">
        <v>374</v>
      </c>
      <c r="B311" s="21" t="s">
        <v>22</v>
      </c>
      <c r="C311" s="21">
        <v>6</v>
      </c>
      <c r="D311" s="21">
        <v>36</v>
      </c>
      <c r="E311" s="21">
        <v>6</v>
      </c>
      <c r="F311" s="21"/>
    </row>
    <row r="312" spans="1:6" x14ac:dyDescent="0.25">
      <c r="A312" s="21" t="s">
        <v>375</v>
      </c>
      <c r="B312" s="21" t="s">
        <v>22</v>
      </c>
      <c r="C312" s="21">
        <v>4</v>
      </c>
      <c r="D312" s="21">
        <v>48</v>
      </c>
      <c r="E312" s="21">
        <v>12</v>
      </c>
      <c r="F312" s="21"/>
    </row>
    <row r="313" spans="1:6" x14ac:dyDescent="0.25">
      <c r="A313" s="21" t="s">
        <v>376</v>
      </c>
      <c r="B313" s="21" t="s">
        <v>22</v>
      </c>
      <c r="C313" s="21">
        <v>4</v>
      </c>
      <c r="D313" s="21">
        <v>48</v>
      </c>
      <c r="E313" s="21">
        <v>12</v>
      </c>
      <c r="F313" s="21"/>
    </row>
    <row r="314" spans="1:6" x14ac:dyDescent="0.25">
      <c r="A314" s="21" t="s">
        <v>377</v>
      </c>
      <c r="B314" s="21" t="s">
        <v>22</v>
      </c>
      <c r="C314" s="21">
        <v>18</v>
      </c>
      <c r="D314" s="21">
        <v>216</v>
      </c>
      <c r="E314" s="21">
        <v>12</v>
      </c>
      <c r="F314" s="21"/>
    </row>
    <row r="315" spans="1:6" x14ac:dyDescent="0.25">
      <c r="A315" s="21" t="s">
        <v>378</v>
      </c>
      <c r="B315" s="21" t="s">
        <v>22</v>
      </c>
      <c r="C315" s="21">
        <v>540</v>
      </c>
      <c r="D315" s="21">
        <v>16200</v>
      </c>
      <c r="E315" s="21">
        <v>30</v>
      </c>
      <c r="F315" s="21"/>
    </row>
    <row r="316" spans="1:6" x14ac:dyDescent="0.25">
      <c r="A316" s="21" t="s">
        <v>379</v>
      </c>
      <c r="B316" s="21" t="s">
        <v>22</v>
      </c>
      <c r="C316" s="21">
        <v>0</v>
      </c>
      <c r="D316" s="52">
        <v>0</v>
      </c>
      <c r="E316" s="21"/>
      <c r="F316" s="21"/>
    </row>
    <row r="317" spans="1:6" x14ac:dyDescent="0.25">
      <c r="A317" s="21" t="s">
        <v>380</v>
      </c>
      <c r="B317" s="21" t="s">
        <v>22</v>
      </c>
      <c r="C317" s="21">
        <v>0</v>
      </c>
      <c r="D317" s="52">
        <v>0</v>
      </c>
      <c r="E317" s="21"/>
      <c r="F317" s="21"/>
    </row>
    <row r="318" spans="1:6" x14ac:dyDescent="0.25">
      <c r="A318" s="21" t="s">
        <v>381</v>
      </c>
      <c r="B318" s="21" t="s">
        <v>22</v>
      </c>
      <c r="C318" s="21">
        <v>130</v>
      </c>
      <c r="D318" s="21">
        <v>4160</v>
      </c>
      <c r="E318" s="21">
        <v>32</v>
      </c>
      <c r="F318" s="21"/>
    </row>
    <row r="319" spans="1:6" x14ac:dyDescent="0.25">
      <c r="A319" s="21" t="s">
        <v>382</v>
      </c>
      <c r="B319" s="21" t="s">
        <v>22</v>
      </c>
      <c r="C319" s="21">
        <v>158</v>
      </c>
      <c r="D319" s="21">
        <v>1896</v>
      </c>
      <c r="E319" s="21">
        <v>12</v>
      </c>
      <c r="F319" s="21"/>
    </row>
    <row r="320" spans="1:6" x14ac:dyDescent="0.25">
      <c r="A320" s="21" t="s">
        <v>383</v>
      </c>
      <c r="B320" s="21" t="s">
        <v>22</v>
      </c>
      <c r="C320" s="21">
        <v>200</v>
      </c>
      <c r="D320" s="21">
        <v>4000</v>
      </c>
      <c r="E320" s="21">
        <v>20</v>
      </c>
      <c r="F320" s="21"/>
    </row>
    <row r="321" spans="1:6" x14ac:dyDescent="0.25">
      <c r="A321" s="21" t="s">
        <v>384</v>
      </c>
      <c r="B321" s="21" t="s">
        <v>22</v>
      </c>
      <c r="C321" s="21">
        <v>460</v>
      </c>
      <c r="D321" s="21">
        <v>5520</v>
      </c>
      <c r="E321" s="21">
        <v>12</v>
      </c>
      <c r="F321" s="21"/>
    </row>
    <row r="322" spans="1:6" x14ac:dyDescent="0.25">
      <c r="A322" s="21" t="s">
        <v>385</v>
      </c>
      <c r="B322" s="21" t="s">
        <v>22</v>
      </c>
      <c r="C322" s="21">
        <v>500</v>
      </c>
      <c r="D322" s="21">
        <v>16000</v>
      </c>
      <c r="E322" s="21">
        <v>32</v>
      </c>
      <c r="F322" s="21"/>
    </row>
    <row r="323" spans="1:6" x14ac:dyDescent="0.25">
      <c r="A323" s="21" t="s">
        <v>386</v>
      </c>
      <c r="B323" s="21" t="s">
        <v>22</v>
      </c>
      <c r="C323" s="21">
        <v>0</v>
      </c>
      <c r="D323" s="52">
        <v>0</v>
      </c>
      <c r="E323" s="21"/>
      <c r="F323" s="21"/>
    </row>
    <row r="324" spans="1:6" x14ac:dyDescent="0.25">
      <c r="A324" s="21" t="s">
        <v>387</v>
      </c>
      <c r="B324" s="21" t="s">
        <v>22</v>
      </c>
      <c r="C324" s="21">
        <v>2000</v>
      </c>
      <c r="D324" s="21">
        <v>6000</v>
      </c>
      <c r="E324" s="21">
        <v>3</v>
      </c>
      <c r="F324" s="21"/>
    </row>
    <row r="325" spans="1:6" x14ac:dyDescent="0.25">
      <c r="A325" s="21" t="s">
        <v>388</v>
      </c>
      <c r="B325" s="21" t="s">
        <v>22</v>
      </c>
      <c r="C325" s="21">
        <v>360</v>
      </c>
      <c r="D325" s="21">
        <v>10800</v>
      </c>
      <c r="E325" s="21">
        <v>30</v>
      </c>
      <c r="F325" s="21"/>
    </row>
    <row r="326" spans="1:6" x14ac:dyDescent="0.25">
      <c r="A326" s="21" t="s">
        <v>389</v>
      </c>
      <c r="B326" s="21" t="s">
        <v>22</v>
      </c>
      <c r="C326" s="21">
        <v>0</v>
      </c>
      <c r="D326" s="52">
        <v>0</v>
      </c>
      <c r="E326" s="21"/>
      <c r="F326" s="21"/>
    </row>
    <row r="327" spans="1:6" x14ac:dyDescent="0.25">
      <c r="A327" s="21" t="s">
        <v>390</v>
      </c>
      <c r="B327" s="21" t="s">
        <v>22</v>
      </c>
      <c r="C327" s="21">
        <v>0</v>
      </c>
      <c r="D327" s="52">
        <v>0</v>
      </c>
      <c r="E327" s="21"/>
      <c r="F327" s="21"/>
    </row>
    <row r="328" spans="1:6" x14ac:dyDescent="0.25">
      <c r="A328" s="21" t="s">
        <v>391</v>
      </c>
      <c r="B328" s="21" t="s">
        <v>22</v>
      </c>
      <c r="C328" s="21">
        <v>324</v>
      </c>
      <c r="D328" s="21">
        <v>9720</v>
      </c>
      <c r="E328" s="21">
        <v>30</v>
      </c>
      <c r="F328" s="21"/>
    </row>
    <row r="329" spans="1:6" x14ac:dyDescent="0.25">
      <c r="A329" s="21" t="s">
        <v>392</v>
      </c>
      <c r="B329" s="21" t="s">
        <v>22</v>
      </c>
      <c r="C329" s="21">
        <v>24</v>
      </c>
      <c r="D329" s="21">
        <v>360</v>
      </c>
      <c r="E329" s="21">
        <v>15</v>
      </c>
      <c r="F329" s="21"/>
    </row>
    <row r="330" spans="1:6" x14ac:dyDescent="0.25">
      <c r="A330" s="21" t="s">
        <v>393</v>
      </c>
      <c r="B330" s="21" t="s">
        <v>22</v>
      </c>
      <c r="C330" s="21">
        <v>20</v>
      </c>
      <c r="D330" s="21">
        <v>840</v>
      </c>
      <c r="E330" s="21">
        <v>42</v>
      </c>
      <c r="F330" s="21"/>
    </row>
    <row r="331" spans="1:6" x14ac:dyDescent="0.25">
      <c r="A331" s="21" t="s">
        <v>394</v>
      </c>
      <c r="B331" s="21" t="s">
        <v>22</v>
      </c>
      <c r="C331" s="21">
        <v>24</v>
      </c>
      <c r="D331" s="21">
        <v>432</v>
      </c>
      <c r="E331" s="21">
        <v>18</v>
      </c>
      <c r="F331" s="21"/>
    </row>
    <row r="332" spans="1:6" x14ac:dyDescent="0.25">
      <c r="A332" s="21" t="s">
        <v>395</v>
      </c>
      <c r="B332" s="21" t="s">
        <v>22</v>
      </c>
      <c r="C332" s="21">
        <v>50</v>
      </c>
      <c r="D332" s="21">
        <v>1500</v>
      </c>
      <c r="E332" s="21">
        <v>30</v>
      </c>
      <c r="F332" s="21"/>
    </row>
    <row r="333" spans="1:6" x14ac:dyDescent="0.25">
      <c r="A333" s="21" t="s">
        <v>396</v>
      </c>
      <c r="B333" s="21" t="s">
        <v>22</v>
      </c>
      <c r="C333" s="21">
        <v>24</v>
      </c>
      <c r="D333" s="21">
        <v>432</v>
      </c>
      <c r="E333" s="21">
        <v>18</v>
      </c>
      <c r="F333" s="21"/>
    </row>
    <row r="334" spans="1:6" x14ac:dyDescent="0.25">
      <c r="A334" s="21" t="s">
        <v>397</v>
      </c>
      <c r="B334" s="21" t="s">
        <v>22</v>
      </c>
      <c r="C334" s="21">
        <v>24</v>
      </c>
      <c r="D334" s="21">
        <v>384</v>
      </c>
      <c r="E334" s="21">
        <v>16</v>
      </c>
      <c r="F334" s="21"/>
    </row>
    <row r="335" spans="1:6" x14ac:dyDescent="0.25">
      <c r="A335" s="21" t="s">
        <v>398</v>
      </c>
      <c r="B335" s="21" t="s">
        <v>22</v>
      </c>
      <c r="C335" s="21">
        <v>20</v>
      </c>
      <c r="D335" s="21">
        <v>480</v>
      </c>
      <c r="E335" s="21">
        <v>24</v>
      </c>
      <c r="F335" s="21"/>
    </row>
    <row r="336" spans="1:6" x14ac:dyDescent="0.25">
      <c r="A336" s="21" t="s">
        <v>399</v>
      </c>
      <c r="B336" s="21" t="s">
        <v>22</v>
      </c>
      <c r="C336" s="21">
        <v>24</v>
      </c>
      <c r="D336" s="21">
        <v>288</v>
      </c>
      <c r="E336" s="21">
        <v>12</v>
      </c>
      <c r="F336" s="21"/>
    </row>
    <row r="337" spans="1:6" x14ac:dyDescent="0.25">
      <c r="A337" s="21" t="s">
        <v>400</v>
      </c>
      <c r="B337" s="21" t="s">
        <v>22</v>
      </c>
      <c r="C337" s="21">
        <v>20</v>
      </c>
      <c r="D337" s="21">
        <v>480</v>
      </c>
      <c r="E337" s="21">
        <v>24</v>
      </c>
      <c r="F337" s="21"/>
    </row>
    <row r="338" spans="1:6" x14ac:dyDescent="0.25">
      <c r="A338" s="21" t="s">
        <v>401</v>
      </c>
      <c r="B338" s="21" t="s">
        <v>22</v>
      </c>
      <c r="C338" s="21">
        <v>180</v>
      </c>
      <c r="D338" s="21">
        <v>5400</v>
      </c>
      <c r="E338" s="21">
        <v>30</v>
      </c>
      <c r="F338" s="21"/>
    </row>
    <row r="339" spans="1:6" x14ac:dyDescent="0.25">
      <c r="A339" s="21" t="s">
        <v>402</v>
      </c>
      <c r="B339" s="21" t="s">
        <v>22</v>
      </c>
      <c r="C339" s="21">
        <v>300</v>
      </c>
      <c r="D339" s="21">
        <v>9600</v>
      </c>
      <c r="E339" s="21">
        <v>32</v>
      </c>
      <c r="F339" s="21"/>
    </row>
    <row r="340" spans="1:6" x14ac:dyDescent="0.25">
      <c r="A340" s="21" t="s">
        <v>403</v>
      </c>
      <c r="B340" s="21" t="s">
        <v>22</v>
      </c>
      <c r="C340" s="21">
        <v>300</v>
      </c>
      <c r="D340" s="21">
        <v>9600</v>
      </c>
      <c r="E340" s="21">
        <v>32</v>
      </c>
      <c r="F340" s="21"/>
    </row>
    <row r="341" spans="1:6" x14ac:dyDescent="0.25">
      <c r="A341" s="21" t="s">
        <v>404</v>
      </c>
      <c r="B341" s="21" t="s">
        <v>22</v>
      </c>
      <c r="C341" s="21">
        <v>180</v>
      </c>
      <c r="D341" s="21">
        <v>5400</v>
      </c>
      <c r="E341" s="21">
        <v>30</v>
      </c>
      <c r="F341" s="21"/>
    </row>
    <row r="342" spans="1:6" x14ac:dyDescent="0.25">
      <c r="A342" s="21" t="s">
        <v>405</v>
      </c>
      <c r="B342" s="21" t="s">
        <v>22</v>
      </c>
      <c r="C342" s="21">
        <v>10</v>
      </c>
      <c r="D342" s="21">
        <v>160</v>
      </c>
      <c r="E342" s="21">
        <v>16</v>
      </c>
      <c r="F342" s="21"/>
    </row>
    <row r="343" spans="1:6" x14ac:dyDescent="0.25">
      <c r="A343" s="21" t="s">
        <v>406</v>
      </c>
      <c r="B343" s="21" t="s">
        <v>22</v>
      </c>
      <c r="C343" s="21">
        <v>10</v>
      </c>
      <c r="D343" s="21">
        <v>160</v>
      </c>
      <c r="E343" s="21">
        <v>16</v>
      </c>
      <c r="F343" s="21"/>
    </row>
    <row r="344" spans="1:6" x14ac:dyDescent="0.25">
      <c r="A344" s="21" t="s">
        <v>407</v>
      </c>
      <c r="B344" s="21" t="s">
        <v>22</v>
      </c>
      <c r="C344" s="21">
        <v>540</v>
      </c>
      <c r="D344" s="21">
        <v>16200</v>
      </c>
      <c r="E344" s="21">
        <v>30</v>
      </c>
      <c r="F344" s="21"/>
    </row>
    <row r="345" spans="1:6" x14ac:dyDescent="0.25">
      <c r="A345" s="21" t="s">
        <v>408</v>
      </c>
      <c r="B345" s="21" t="s">
        <v>22</v>
      </c>
      <c r="C345" s="21">
        <v>540</v>
      </c>
      <c r="D345" s="21">
        <v>16200</v>
      </c>
      <c r="E345" s="21">
        <v>30</v>
      </c>
      <c r="F345" s="21"/>
    </row>
    <row r="346" spans="1:6" x14ac:dyDescent="0.25">
      <c r="A346" s="21" t="s">
        <v>409</v>
      </c>
      <c r="B346" s="21" t="s">
        <v>22</v>
      </c>
      <c r="C346" s="21">
        <v>0</v>
      </c>
      <c r="D346" s="52">
        <v>0</v>
      </c>
      <c r="E346" s="21"/>
      <c r="F346" s="21"/>
    </row>
    <row r="347" spans="1:6" x14ac:dyDescent="0.25">
      <c r="A347" s="21" t="s">
        <v>410</v>
      </c>
      <c r="B347" s="21" t="s">
        <v>22</v>
      </c>
      <c r="C347" s="21">
        <v>540</v>
      </c>
      <c r="D347" s="21">
        <v>16200</v>
      </c>
      <c r="E347" s="21">
        <v>30</v>
      </c>
      <c r="F347" s="21"/>
    </row>
    <row r="348" spans="1:6" x14ac:dyDescent="0.25">
      <c r="A348" s="21" t="s">
        <v>411</v>
      </c>
      <c r="B348" s="21" t="s">
        <v>22</v>
      </c>
      <c r="C348" s="21">
        <v>540</v>
      </c>
      <c r="D348" s="21">
        <v>16200</v>
      </c>
      <c r="E348" s="21">
        <v>30</v>
      </c>
      <c r="F348" s="21"/>
    </row>
    <row r="349" spans="1:6" x14ac:dyDescent="0.25">
      <c r="A349" s="21" t="s">
        <v>412</v>
      </c>
      <c r="B349" s="21" t="s">
        <v>22</v>
      </c>
      <c r="C349" s="21">
        <v>1</v>
      </c>
      <c r="D349" s="21">
        <v>16</v>
      </c>
      <c r="E349" s="21">
        <v>16</v>
      </c>
      <c r="F349" s="21"/>
    </row>
    <row r="350" spans="1:6" x14ac:dyDescent="0.25">
      <c r="A350" s="21" t="s">
        <v>413</v>
      </c>
      <c r="B350" s="21" t="s">
        <v>22</v>
      </c>
      <c r="C350" s="21">
        <v>414</v>
      </c>
      <c r="D350" s="21">
        <v>8280</v>
      </c>
      <c r="E350" s="21">
        <v>20</v>
      </c>
      <c r="F350" s="21"/>
    </row>
    <row r="351" spans="1:6" x14ac:dyDescent="0.25">
      <c r="A351" s="21" t="s">
        <v>414</v>
      </c>
      <c r="B351" s="21" t="s">
        <v>22</v>
      </c>
      <c r="C351" s="21">
        <v>200</v>
      </c>
      <c r="D351" s="21">
        <v>6400</v>
      </c>
      <c r="E351" s="21">
        <v>32</v>
      </c>
      <c r="F351" s="21"/>
    </row>
    <row r="352" spans="1:6" x14ac:dyDescent="0.25">
      <c r="A352" s="21" t="s">
        <v>415</v>
      </c>
      <c r="B352" s="21" t="s">
        <v>22</v>
      </c>
      <c r="C352" s="21">
        <v>414</v>
      </c>
      <c r="D352" s="21">
        <v>8280</v>
      </c>
      <c r="E352" s="21">
        <v>20</v>
      </c>
      <c r="F352" s="21"/>
    </row>
    <row r="353" spans="1:6" x14ac:dyDescent="0.25">
      <c r="A353" s="21" t="s">
        <v>416</v>
      </c>
      <c r="B353" s="21" t="s">
        <v>22</v>
      </c>
      <c r="C353" s="21">
        <v>350</v>
      </c>
      <c r="D353" s="21">
        <v>12600</v>
      </c>
      <c r="E353" s="21">
        <v>36</v>
      </c>
      <c r="F353" s="21"/>
    </row>
    <row r="354" spans="1:6" x14ac:dyDescent="0.25">
      <c r="A354" s="21" t="s">
        <v>417</v>
      </c>
      <c r="B354" s="21" t="s">
        <v>22</v>
      </c>
      <c r="C354" s="21">
        <v>540</v>
      </c>
      <c r="D354" s="21">
        <v>16200</v>
      </c>
      <c r="E354" s="21">
        <v>30</v>
      </c>
      <c r="F354" s="21"/>
    </row>
    <row r="355" spans="1:6" x14ac:dyDescent="0.25">
      <c r="A355" s="21" t="s">
        <v>418</v>
      </c>
      <c r="B355" s="21" t="s">
        <v>22</v>
      </c>
      <c r="C355" s="21">
        <v>270</v>
      </c>
      <c r="D355" s="21">
        <v>8100</v>
      </c>
      <c r="E355" s="21">
        <v>30</v>
      </c>
      <c r="F355" s="21"/>
    </row>
    <row r="356" spans="1:6" x14ac:dyDescent="0.25">
      <c r="A356" s="21" t="s">
        <v>419</v>
      </c>
      <c r="B356" s="21" t="s">
        <v>22</v>
      </c>
      <c r="C356" s="21">
        <v>350</v>
      </c>
      <c r="D356" s="21">
        <v>10500</v>
      </c>
      <c r="E356" s="21">
        <v>30</v>
      </c>
      <c r="F356" s="21"/>
    </row>
    <row r="357" spans="1:6" x14ac:dyDescent="0.25">
      <c r="A357" s="21" t="s">
        <v>420</v>
      </c>
      <c r="B357" s="21" t="s">
        <v>22</v>
      </c>
      <c r="C357" s="21">
        <v>540</v>
      </c>
      <c r="D357" s="21">
        <v>16200</v>
      </c>
      <c r="E357" s="21">
        <v>30</v>
      </c>
      <c r="F357" s="21"/>
    </row>
    <row r="358" spans="1:6" x14ac:dyDescent="0.25">
      <c r="A358" s="21" t="s">
        <v>421</v>
      </c>
      <c r="B358" s="21" t="s">
        <v>22</v>
      </c>
      <c r="C358" s="21">
        <v>0</v>
      </c>
      <c r="D358" s="52">
        <v>0</v>
      </c>
      <c r="E358" s="21"/>
      <c r="F358" s="21"/>
    </row>
    <row r="359" spans="1:6" x14ac:dyDescent="0.25">
      <c r="A359" s="21" t="s">
        <v>422</v>
      </c>
      <c r="B359" s="21" t="s">
        <v>22</v>
      </c>
      <c r="C359" s="21">
        <v>500</v>
      </c>
      <c r="D359" s="21">
        <v>16000</v>
      </c>
      <c r="E359" s="21">
        <v>32</v>
      </c>
      <c r="F359" s="21"/>
    </row>
    <row r="360" spans="1:6" x14ac:dyDescent="0.25">
      <c r="A360" s="21" t="s">
        <v>423</v>
      </c>
      <c r="B360" s="21" t="s">
        <v>22</v>
      </c>
      <c r="C360" s="21">
        <v>0</v>
      </c>
      <c r="D360" s="52">
        <v>0</v>
      </c>
      <c r="E360" s="21"/>
      <c r="F360" s="21"/>
    </row>
    <row r="361" spans="1:6" x14ac:dyDescent="0.25">
      <c r="A361" s="21" t="s">
        <v>424</v>
      </c>
      <c r="B361" s="21" t="s">
        <v>22</v>
      </c>
      <c r="C361" s="21">
        <v>350</v>
      </c>
      <c r="D361" s="21">
        <v>22400</v>
      </c>
      <c r="E361" s="21">
        <v>64</v>
      </c>
      <c r="F361" s="21"/>
    </row>
    <row r="362" spans="1:6" x14ac:dyDescent="0.25">
      <c r="A362" s="21" t="s">
        <v>425</v>
      </c>
      <c r="B362" s="21" t="s">
        <v>22</v>
      </c>
      <c r="C362" s="21">
        <v>100</v>
      </c>
      <c r="D362" s="21">
        <v>8000</v>
      </c>
      <c r="E362" s="21">
        <v>80</v>
      </c>
      <c r="F362" s="21"/>
    </row>
    <row r="363" spans="1:6" x14ac:dyDescent="0.25">
      <c r="A363" s="21" t="s">
        <v>426</v>
      </c>
      <c r="B363" s="21" t="s">
        <v>22</v>
      </c>
      <c r="C363" s="21">
        <v>500</v>
      </c>
      <c r="D363" s="21">
        <v>16000</v>
      </c>
      <c r="E363" s="21">
        <v>32</v>
      </c>
      <c r="F363" s="21"/>
    </row>
    <row r="364" spans="1:6" x14ac:dyDescent="0.25">
      <c r="A364" s="21" t="s">
        <v>427</v>
      </c>
      <c r="B364" s="21" t="s">
        <v>22</v>
      </c>
      <c r="C364" s="21">
        <v>500</v>
      </c>
      <c r="D364" s="21">
        <v>16000</v>
      </c>
      <c r="E364" s="21">
        <v>32</v>
      </c>
      <c r="F364" s="21"/>
    </row>
    <row r="365" spans="1:6" x14ac:dyDescent="0.25">
      <c r="A365" s="21" t="s">
        <v>428</v>
      </c>
      <c r="B365" s="21" t="s">
        <v>22</v>
      </c>
      <c r="C365" s="21">
        <v>500</v>
      </c>
      <c r="D365" s="21">
        <v>16000</v>
      </c>
      <c r="E365" s="21">
        <v>32</v>
      </c>
      <c r="F365" s="21"/>
    </row>
    <row r="366" spans="1:6" x14ac:dyDescent="0.25">
      <c r="A366" s="21" t="s">
        <v>429</v>
      </c>
      <c r="B366" s="21" t="s">
        <v>22</v>
      </c>
      <c r="C366" s="21">
        <v>0</v>
      </c>
      <c r="D366" s="52">
        <v>0</v>
      </c>
      <c r="E366" s="21"/>
      <c r="F366" s="21"/>
    </row>
    <row r="367" spans="1:6" x14ac:dyDescent="0.25">
      <c r="A367" s="21" t="s">
        <v>430</v>
      </c>
      <c r="B367" s="21" t="s">
        <v>22</v>
      </c>
      <c r="C367" s="21">
        <v>1000</v>
      </c>
      <c r="D367" s="21">
        <v>32000</v>
      </c>
      <c r="E367" s="21">
        <v>32</v>
      </c>
      <c r="F367" s="21"/>
    </row>
    <row r="368" spans="1:6" x14ac:dyDescent="0.25">
      <c r="A368" s="21" t="s">
        <v>431</v>
      </c>
      <c r="B368" s="21" t="s">
        <v>22</v>
      </c>
      <c r="C368" s="21">
        <v>0</v>
      </c>
      <c r="D368" s="52">
        <v>0</v>
      </c>
      <c r="E368" s="21"/>
      <c r="F368" s="21"/>
    </row>
    <row r="369" spans="1:6" x14ac:dyDescent="0.25">
      <c r="A369" s="21" t="s">
        <v>432</v>
      </c>
      <c r="B369" s="21" t="s">
        <v>22</v>
      </c>
      <c r="C369" s="21">
        <v>0</v>
      </c>
      <c r="D369" s="52">
        <v>0</v>
      </c>
      <c r="E369" s="21"/>
      <c r="F369" s="21"/>
    </row>
    <row r="370" spans="1:6" x14ac:dyDescent="0.25">
      <c r="A370" s="21" t="s">
        <v>433</v>
      </c>
      <c r="B370" s="21" t="s">
        <v>22</v>
      </c>
      <c r="C370" s="21">
        <v>0</v>
      </c>
      <c r="D370" s="52">
        <v>0</v>
      </c>
      <c r="E370" s="21"/>
      <c r="F370" s="21"/>
    </row>
    <row r="371" spans="1:6" x14ac:dyDescent="0.25">
      <c r="A371" s="21" t="s">
        <v>434</v>
      </c>
      <c r="B371" s="21" t="s">
        <v>22</v>
      </c>
      <c r="C371" s="21">
        <v>0</v>
      </c>
      <c r="D371" s="52">
        <v>0</v>
      </c>
      <c r="E371" s="21"/>
      <c r="F371" s="21"/>
    </row>
    <row r="372" spans="1:6" x14ac:dyDescent="0.25">
      <c r="A372" s="21" t="s">
        <v>435</v>
      </c>
      <c r="B372" s="21" t="s">
        <v>22</v>
      </c>
      <c r="C372" s="21">
        <v>0</v>
      </c>
      <c r="D372" s="52">
        <v>0</v>
      </c>
      <c r="E372" s="21"/>
      <c r="F372" s="21"/>
    </row>
    <row r="373" spans="1:6" x14ac:dyDescent="0.25">
      <c r="A373" s="21" t="s">
        <v>436</v>
      </c>
      <c r="B373" s="21" t="s">
        <v>22</v>
      </c>
      <c r="C373" s="21">
        <v>0</v>
      </c>
      <c r="D373" s="52">
        <v>0</v>
      </c>
      <c r="E373" s="21"/>
      <c r="F373" s="21"/>
    </row>
    <row r="374" spans="1:6" x14ac:dyDescent="0.25">
      <c r="A374" s="21" t="s">
        <v>437</v>
      </c>
      <c r="B374" s="21" t="s">
        <v>22</v>
      </c>
      <c r="C374" s="21">
        <v>0</v>
      </c>
      <c r="D374" s="52">
        <v>0</v>
      </c>
      <c r="E374" s="21"/>
      <c r="F374" s="21"/>
    </row>
    <row r="375" spans="1:6" x14ac:dyDescent="0.25">
      <c r="A375" s="21" t="s">
        <v>438</v>
      </c>
      <c r="B375" s="21" t="s">
        <v>22</v>
      </c>
      <c r="C375" s="21">
        <v>0</v>
      </c>
      <c r="D375" s="52">
        <v>0</v>
      </c>
      <c r="E375" s="21"/>
      <c r="F375" s="21"/>
    </row>
    <row r="376" spans="1:6" x14ac:dyDescent="0.25">
      <c r="A376" s="21" t="s">
        <v>439</v>
      </c>
      <c r="B376" s="21" t="s">
        <v>22</v>
      </c>
      <c r="C376" s="21">
        <v>0</v>
      </c>
      <c r="D376" s="52">
        <v>0</v>
      </c>
      <c r="E376" s="21"/>
      <c r="F376" s="21"/>
    </row>
    <row r="377" spans="1:6" x14ac:dyDescent="0.25">
      <c r="A377" s="21" t="s">
        <v>440</v>
      </c>
      <c r="B377" s="21" t="s">
        <v>22</v>
      </c>
      <c r="C377" s="21">
        <v>250</v>
      </c>
      <c r="D377" s="21">
        <v>5000</v>
      </c>
      <c r="E377" s="21">
        <v>20</v>
      </c>
      <c r="F377" s="21"/>
    </row>
    <row r="378" spans="1:6" x14ac:dyDescent="0.25">
      <c r="A378" s="21" t="s">
        <v>441</v>
      </c>
      <c r="B378" s="21" t="s">
        <v>22</v>
      </c>
      <c r="C378" s="21">
        <v>1000</v>
      </c>
      <c r="D378" s="21">
        <v>20000</v>
      </c>
      <c r="E378" s="21">
        <v>20</v>
      </c>
      <c r="F378" s="21"/>
    </row>
    <row r="379" spans="1:6" x14ac:dyDescent="0.25">
      <c r="A379" s="21" t="s">
        <v>442</v>
      </c>
      <c r="B379" s="21" t="s">
        <v>22</v>
      </c>
      <c r="C379" s="21">
        <v>1000</v>
      </c>
      <c r="D379" s="21">
        <v>20000</v>
      </c>
      <c r="E379" s="21">
        <v>20</v>
      </c>
      <c r="F379" s="21"/>
    </row>
    <row r="380" spans="1:6" x14ac:dyDescent="0.25">
      <c r="A380" s="21" t="s">
        <v>443</v>
      </c>
      <c r="B380" s="21" t="s">
        <v>22</v>
      </c>
      <c r="C380" s="21">
        <v>0</v>
      </c>
      <c r="D380" s="52">
        <v>0</v>
      </c>
      <c r="E380" s="21"/>
      <c r="F380" s="21"/>
    </row>
    <row r="381" spans="1:6" x14ac:dyDescent="0.25">
      <c r="A381" s="21" t="s">
        <v>444</v>
      </c>
      <c r="B381" s="21" t="s">
        <v>22</v>
      </c>
      <c r="C381" s="21">
        <v>0</v>
      </c>
      <c r="D381" s="52">
        <v>0</v>
      </c>
      <c r="E381" s="21"/>
      <c r="F381" s="21"/>
    </row>
    <row r="382" spans="1:6" x14ac:dyDescent="0.25">
      <c r="A382" s="21" t="s">
        <v>445</v>
      </c>
      <c r="B382" s="21" t="s">
        <v>22</v>
      </c>
      <c r="C382" s="21">
        <v>400</v>
      </c>
      <c r="D382" s="21">
        <v>9600</v>
      </c>
      <c r="E382" s="21">
        <v>24</v>
      </c>
      <c r="F382" s="21"/>
    </row>
    <row r="383" spans="1:6" x14ac:dyDescent="0.25">
      <c r="A383" s="21" t="s">
        <v>446</v>
      </c>
      <c r="B383" s="21" t="s">
        <v>22</v>
      </c>
      <c r="C383" s="21">
        <v>0</v>
      </c>
      <c r="D383" s="52">
        <v>0</v>
      </c>
      <c r="E383" s="21"/>
      <c r="F383" s="21"/>
    </row>
    <row r="384" spans="1:6" x14ac:dyDescent="0.25">
      <c r="A384" s="21" t="s">
        <v>447</v>
      </c>
      <c r="B384" s="21" t="s">
        <v>22</v>
      </c>
      <c r="C384" s="21">
        <v>0</v>
      </c>
      <c r="D384" s="52">
        <v>0</v>
      </c>
      <c r="E384" s="21"/>
      <c r="F384" s="21"/>
    </row>
    <row r="385" spans="1:6" x14ac:dyDescent="0.25">
      <c r="A385" s="21" t="s">
        <v>448</v>
      </c>
      <c r="B385" s="21" t="s">
        <v>22</v>
      </c>
      <c r="C385" s="21">
        <v>50</v>
      </c>
      <c r="D385" s="21">
        <v>1950</v>
      </c>
      <c r="E385" s="21">
        <v>39</v>
      </c>
      <c r="F385" s="21"/>
    </row>
    <row r="386" spans="1:6" x14ac:dyDescent="0.25">
      <c r="A386" s="21" t="s">
        <v>449</v>
      </c>
      <c r="B386" s="21" t="s">
        <v>22</v>
      </c>
      <c r="C386" s="21">
        <v>50</v>
      </c>
      <c r="D386" s="21">
        <v>5400</v>
      </c>
      <c r="E386" s="21">
        <v>108</v>
      </c>
      <c r="F386" s="21"/>
    </row>
    <row r="387" spans="1:6" x14ac:dyDescent="0.25">
      <c r="A387" s="21" t="s">
        <v>450</v>
      </c>
      <c r="B387" s="21" t="s">
        <v>22</v>
      </c>
      <c r="C387" s="21">
        <v>50</v>
      </c>
      <c r="D387" s="21">
        <v>1950</v>
      </c>
      <c r="E387" s="21">
        <v>39</v>
      </c>
      <c r="F387" s="21"/>
    </row>
    <row r="388" spans="1:6" x14ac:dyDescent="0.25">
      <c r="A388" s="21" t="s">
        <v>451</v>
      </c>
      <c r="B388" s="21" t="s">
        <v>22</v>
      </c>
      <c r="C388" s="21">
        <v>50</v>
      </c>
      <c r="D388" s="21">
        <v>1950</v>
      </c>
      <c r="E388" s="21">
        <v>39</v>
      </c>
      <c r="F388" s="21"/>
    </row>
    <row r="389" spans="1:6" x14ac:dyDescent="0.25">
      <c r="A389" s="21" t="s">
        <v>452</v>
      </c>
      <c r="B389" s="21" t="s">
        <v>22</v>
      </c>
      <c r="C389" s="21">
        <v>50</v>
      </c>
      <c r="D389" s="21">
        <v>1950</v>
      </c>
      <c r="E389" s="21">
        <v>39</v>
      </c>
      <c r="F389" s="21"/>
    </row>
    <row r="390" spans="1:6" x14ac:dyDescent="0.25">
      <c r="A390" s="21" t="s">
        <v>453</v>
      </c>
      <c r="B390" s="21" t="s">
        <v>454</v>
      </c>
      <c r="C390" s="21">
        <v>0</v>
      </c>
      <c r="D390" s="52">
        <v>0</v>
      </c>
      <c r="E390" s="21"/>
      <c r="F390" s="21"/>
    </row>
    <row r="391" spans="1:6" x14ac:dyDescent="0.25">
      <c r="A391" s="21" t="s">
        <v>455</v>
      </c>
      <c r="B391" s="21" t="s">
        <v>454</v>
      </c>
      <c r="C391" s="21">
        <v>0</v>
      </c>
      <c r="D391" s="52">
        <v>0</v>
      </c>
      <c r="E391" s="21"/>
      <c r="F391" s="21"/>
    </row>
    <row r="392" spans="1:6" x14ac:dyDescent="0.25">
      <c r="A392" s="21" t="s">
        <v>456</v>
      </c>
      <c r="B392" s="21" t="s">
        <v>454</v>
      </c>
      <c r="C392" s="21">
        <v>0</v>
      </c>
      <c r="D392" s="52">
        <v>0</v>
      </c>
      <c r="E392" s="21"/>
      <c r="F392" s="21"/>
    </row>
    <row r="393" spans="1:6" x14ac:dyDescent="0.25">
      <c r="A393" s="21" t="s">
        <v>457</v>
      </c>
      <c r="B393" s="21" t="s">
        <v>454</v>
      </c>
      <c r="C393" s="21">
        <v>0</v>
      </c>
      <c r="D393" s="52">
        <v>0</v>
      </c>
      <c r="E393" s="21"/>
      <c r="F393" s="21"/>
    </row>
    <row r="394" spans="1:6" x14ac:dyDescent="0.25">
      <c r="A394" s="21" t="s">
        <v>458</v>
      </c>
      <c r="B394" s="21" t="s">
        <v>454</v>
      </c>
      <c r="C394" s="21">
        <v>0</v>
      </c>
      <c r="D394" s="52">
        <v>0</v>
      </c>
      <c r="E394" s="21"/>
      <c r="F394" s="21"/>
    </row>
    <row r="395" spans="1:6" x14ac:dyDescent="0.25">
      <c r="A395" s="21" t="s">
        <v>459</v>
      </c>
      <c r="B395" s="21" t="s">
        <v>454</v>
      </c>
      <c r="C395" s="21">
        <v>0</v>
      </c>
      <c r="D395" s="52">
        <v>0</v>
      </c>
      <c r="E395" s="21"/>
      <c r="F395" s="21"/>
    </row>
    <row r="396" spans="1:6" x14ac:dyDescent="0.25">
      <c r="A396" s="21" t="s">
        <v>460</v>
      </c>
      <c r="B396" s="21" t="s">
        <v>454</v>
      </c>
      <c r="C396" s="21">
        <v>0</v>
      </c>
      <c r="D396" s="52">
        <v>0</v>
      </c>
      <c r="E396" s="21"/>
      <c r="F396" s="21"/>
    </row>
    <row r="397" spans="1:6" x14ac:dyDescent="0.25">
      <c r="A397" s="21" t="s">
        <v>461</v>
      </c>
      <c r="B397" s="21" t="s">
        <v>454</v>
      </c>
      <c r="C397" s="21">
        <v>0</v>
      </c>
      <c r="D397" s="52">
        <v>0</v>
      </c>
      <c r="E397" s="21"/>
      <c r="F397" s="21"/>
    </row>
    <row r="398" spans="1:6" x14ac:dyDescent="0.25">
      <c r="A398" s="21" t="s">
        <v>462</v>
      </c>
      <c r="B398" s="21" t="s">
        <v>454</v>
      </c>
      <c r="C398" s="21">
        <v>0</v>
      </c>
      <c r="D398" s="52">
        <v>0</v>
      </c>
      <c r="E398" s="21"/>
      <c r="F398" s="21"/>
    </row>
    <row r="399" spans="1:6" x14ac:dyDescent="0.25">
      <c r="A399" s="21" t="s">
        <v>463</v>
      </c>
      <c r="B399" s="21" t="s">
        <v>454</v>
      </c>
      <c r="C399" s="21">
        <v>0</v>
      </c>
      <c r="D399" s="52">
        <v>0</v>
      </c>
      <c r="E399" s="21"/>
      <c r="F399" s="21"/>
    </row>
    <row r="400" spans="1:6" x14ac:dyDescent="0.25">
      <c r="A400" s="21" t="s">
        <v>464</v>
      </c>
      <c r="B400" s="21" t="s">
        <v>454</v>
      </c>
      <c r="C400" s="21">
        <v>0</v>
      </c>
      <c r="D400" s="52">
        <v>0</v>
      </c>
      <c r="E400" s="21"/>
      <c r="F400" s="21"/>
    </row>
    <row r="401" spans="1:6" x14ac:dyDescent="0.25">
      <c r="A401" s="21" t="s">
        <v>465</v>
      </c>
      <c r="B401" s="21" t="s">
        <v>454</v>
      </c>
      <c r="C401" s="21">
        <v>0</v>
      </c>
      <c r="D401" s="52">
        <v>0</v>
      </c>
      <c r="E401" s="21"/>
      <c r="F401" s="21"/>
    </row>
    <row r="402" spans="1:6" x14ac:dyDescent="0.25">
      <c r="A402" s="21" t="s">
        <v>466</v>
      </c>
      <c r="B402" s="21" t="s">
        <v>454</v>
      </c>
      <c r="C402" s="21">
        <v>0</v>
      </c>
      <c r="D402" s="52">
        <v>0</v>
      </c>
      <c r="E402" s="21"/>
      <c r="F402" s="21"/>
    </row>
    <row r="403" spans="1:6" x14ac:dyDescent="0.25">
      <c r="A403" s="21" t="s">
        <v>467</v>
      </c>
      <c r="B403" s="21" t="s">
        <v>454</v>
      </c>
      <c r="C403" s="21">
        <v>0</v>
      </c>
      <c r="D403" s="52">
        <v>0</v>
      </c>
      <c r="E403" s="21"/>
      <c r="F403" s="21"/>
    </row>
    <row r="404" spans="1:6" x14ac:dyDescent="0.25">
      <c r="A404" s="21" t="s">
        <v>468</v>
      </c>
      <c r="B404" s="21" t="s">
        <v>454</v>
      </c>
      <c r="C404" s="21">
        <v>0</v>
      </c>
      <c r="D404" s="52">
        <v>0</v>
      </c>
      <c r="E404" s="21"/>
      <c r="F404" s="21"/>
    </row>
    <row r="405" spans="1:6" x14ac:dyDescent="0.25">
      <c r="A405" s="21" t="s">
        <v>469</v>
      </c>
      <c r="B405" s="21" t="s">
        <v>454</v>
      </c>
      <c r="C405" s="21">
        <v>0</v>
      </c>
      <c r="D405" s="52">
        <v>0</v>
      </c>
      <c r="E405" s="21"/>
      <c r="F405" s="21"/>
    </row>
    <row r="406" spans="1:6" x14ac:dyDescent="0.25">
      <c r="A406" s="21" t="s">
        <v>470</v>
      </c>
      <c r="B406" s="21" t="s">
        <v>454</v>
      </c>
      <c r="C406" s="21">
        <v>0</v>
      </c>
      <c r="D406" s="52">
        <v>0</v>
      </c>
      <c r="E406" s="21"/>
      <c r="F406" s="21"/>
    </row>
    <row r="407" spans="1:6" x14ac:dyDescent="0.25">
      <c r="A407" s="21" t="s">
        <v>471</v>
      </c>
      <c r="B407" s="21" t="s">
        <v>454</v>
      </c>
      <c r="C407" s="21">
        <v>0</v>
      </c>
      <c r="D407" s="52">
        <v>0</v>
      </c>
      <c r="E407" s="21"/>
      <c r="F407" s="21"/>
    </row>
    <row r="408" spans="1:6" x14ac:dyDescent="0.25">
      <c r="A408" s="21" t="s">
        <v>472</v>
      </c>
      <c r="B408" s="21" t="s">
        <v>22</v>
      </c>
      <c r="C408" s="21">
        <v>0</v>
      </c>
      <c r="D408" s="52">
        <v>0</v>
      </c>
      <c r="E408" s="21"/>
      <c r="F408" s="21"/>
    </row>
    <row r="409" spans="1:6" x14ac:dyDescent="0.25">
      <c r="A409" s="21" t="s">
        <v>473</v>
      </c>
      <c r="B409" s="21" t="s">
        <v>22</v>
      </c>
      <c r="C409" s="21">
        <v>0</v>
      </c>
      <c r="D409" s="52">
        <v>0</v>
      </c>
      <c r="E409" s="21"/>
      <c r="F409" s="21"/>
    </row>
    <row r="410" spans="1:6" x14ac:dyDescent="0.25">
      <c r="A410" s="21" t="s">
        <v>474</v>
      </c>
      <c r="B410" s="21" t="s">
        <v>22</v>
      </c>
      <c r="C410" s="21">
        <v>20</v>
      </c>
      <c r="D410" s="52">
        <v>0</v>
      </c>
      <c r="E410" s="21"/>
      <c r="F410" s="21"/>
    </row>
    <row r="411" spans="1:6" x14ac:dyDescent="0.25">
      <c r="A411" s="21" t="s">
        <v>475</v>
      </c>
      <c r="B411" s="21" t="s">
        <v>22</v>
      </c>
      <c r="C411" s="21">
        <v>0</v>
      </c>
      <c r="D411" s="52">
        <v>0</v>
      </c>
      <c r="E411" s="21"/>
      <c r="F411" s="21"/>
    </row>
    <row r="412" spans="1:6" x14ac:dyDescent="0.25">
      <c r="A412" s="21" t="s">
        <v>476</v>
      </c>
      <c r="B412" s="21" t="s">
        <v>22</v>
      </c>
      <c r="C412" s="21">
        <v>20</v>
      </c>
      <c r="D412" s="52">
        <v>0</v>
      </c>
      <c r="E412" s="21"/>
      <c r="F412" s="21"/>
    </row>
    <row r="413" spans="1:6" x14ac:dyDescent="0.25">
      <c r="A413" s="21" t="s">
        <v>477</v>
      </c>
      <c r="B413" s="21" t="s">
        <v>22</v>
      </c>
      <c r="C413" s="21">
        <v>10</v>
      </c>
      <c r="D413" s="21">
        <v>600</v>
      </c>
      <c r="E413" s="21">
        <v>60</v>
      </c>
      <c r="F413" s="21"/>
    </row>
    <row r="414" spans="1:6" x14ac:dyDescent="0.25">
      <c r="A414" s="21" t="s">
        <v>478</v>
      </c>
      <c r="B414" s="21" t="s">
        <v>22</v>
      </c>
      <c r="C414" s="21">
        <v>10</v>
      </c>
      <c r="D414" s="21">
        <v>600</v>
      </c>
      <c r="E414" s="21">
        <v>60</v>
      </c>
      <c r="F414" s="21"/>
    </row>
    <row r="415" spans="1:6" x14ac:dyDescent="0.25">
      <c r="A415" s="21" t="s">
        <v>479</v>
      </c>
      <c r="B415" s="21" t="s">
        <v>22</v>
      </c>
      <c r="C415" s="21">
        <v>10</v>
      </c>
      <c r="D415" s="21">
        <v>600</v>
      </c>
      <c r="E415" s="21">
        <v>60</v>
      </c>
      <c r="F415" s="21"/>
    </row>
    <row r="416" spans="1:6" x14ac:dyDescent="0.25">
      <c r="A416" s="21" t="s">
        <v>480</v>
      </c>
      <c r="B416" s="21" t="s">
        <v>22</v>
      </c>
      <c r="C416" s="21">
        <v>10</v>
      </c>
      <c r="D416" s="21">
        <v>600</v>
      </c>
      <c r="E416" s="21">
        <v>60</v>
      </c>
      <c r="F416" s="21"/>
    </row>
    <row r="417" spans="1:6" x14ac:dyDescent="0.25">
      <c r="A417" s="21" t="s">
        <v>481</v>
      </c>
      <c r="B417" s="21" t="s">
        <v>22</v>
      </c>
      <c r="C417" s="21">
        <v>10</v>
      </c>
      <c r="D417" s="21">
        <v>600</v>
      </c>
      <c r="E417" s="21">
        <v>60</v>
      </c>
      <c r="F417" s="21"/>
    </row>
    <row r="418" spans="1:6" x14ac:dyDescent="0.25">
      <c r="A418" s="21" t="s">
        <v>482</v>
      </c>
      <c r="B418" s="21" t="s">
        <v>22</v>
      </c>
      <c r="C418" s="21">
        <v>20</v>
      </c>
      <c r="D418" s="21">
        <v>240</v>
      </c>
      <c r="E418" s="21">
        <v>12</v>
      </c>
      <c r="F418" s="21"/>
    </row>
    <row r="419" spans="1:6" x14ac:dyDescent="0.25">
      <c r="A419" s="21" t="s">
        <v>483</v>
      </c>
      <c r="B419" s="21" t="s">
        <v>22</v>
      </c>
      <c r="C419" s="21">
        <v>20</v>
      </c>
      <c r="D419" s="21">
        <v>240</v>
      </c>
      <c r="E419" s="21">
        <v>12</v>
      </c>
      <c r="F419" s="21"/>
    </row>
    <row r="420" spans="1:6" x14ac:dyDescent="0.25">
      <c r="A420" s="21" t="s">
        <v>484</v>
      </c>
      <c r="B420" s="21" t="s">
        <v>22</v>
      </c>
      <c r="C420" s="21">
        <v>20</v>
      </c>
      <c r="D420" s="21">
        <v>240</v>
      </c>
      <c r="E420" s="21">
        <v>12</v>
      </c>
      <c r="F420" s="21"/>
    </row>
    <row r="421" spans="1:6" x14ac:dyDescent="0.25">
      <c r="A421" s="21" t="s">
        <v>485</v>
      </c>
      <c r="B421" s="21" t="s">
        <v>22</v>
      </c>
      <c r="C421" s="21">
        <v>20</v>
      </c>
      <c r="D421" s="21">
        <v>240</v>
      </c>
      <c r="E421" s="21">
        <v>12</v>
      </c>
      <c r="F421" s="21"/>
    </row>
    <row r="422" spans="1:6" x14ac:dyDescent="0.25">
      <c r="A422" s="21" t="s">
        <v>486</v>
      </c>
      <c r="B422" s="21" t="s">
        <v>22</v>
      </c>
      <c r="C422" s="21">
        <v>20</v>
      </c>
      <c r="D422" s="21">
        <v>240</v>
      </c>
      <c r="E422" s="21">
        <v>12</v>
      </c>
      <c r="F422" s="21"/>
    </row>
    <row r="423" spans="1:6" x14ac:dyDescent="0.25">
      <c r="A423" s="21" t="s">
        <v>487</v>
      </c>
      <c r="B423" s="21" t="s">
        <v>22</v>
      </c>
      <c r="C423" s="21">
        <v>20</v>
      </c>
      <c r="D423" s="21">
        <v>180</v>
      </c>
      <c r="E423" s="21">
        <v>9</v>
      </c>
      <c r="F423" s="21"/>
    </row>
    <row r="424" spans="1:6" x14ac:dyDescent="0.25">
      <c r="A424" s="21" t="s">
        <v>488</v>
      </c>
      <c r="B424" s="21" t="s">
        <v>22</v>
      </c>
      <c r="C424" s="21">
        <v>20</v>
      </c>
      <c r="D424" s="21">
        <v>180</v>
      </c>
      <c r="E424" s="21">
        <v>9</v>
      </c>
      <c r="F424" s="21"/>
    </row>
    <row r="425" spans="1:6" x14ac:dyDescent="0.25">
      <c r="A425" s="21" t="s">
        <v>489</v>
      </c>
      <c r="B425" s="21" t="s">
        <v>22</v>
      </c>
      <c r="C425" s="21">
        <v>20</v>
      </c>
      <c r="D425" s="21">
        <v>180</v>
      </c>
      <c r="E425" s="21">
        <v>9</v>
      </c>
      <c r="F425" s="21"/>
    </row>
    <row r="426" spans="1:6" x14ac:dyDescent="0.25">
      <c r="A426" s="21" t="s">
        <v>490</v>
      </c>
      <c r="B426" s="21" t="s">
        <v>22</v>
      </c>
      <c r="C426" s="21">
        <v>20</v>
      </c>
      <c r="D426" s="21">
        <v>180</v>
      </c>
      <c r="E426" s="21">
        <v>9</v>
      </c>
      <c r="F426" s="21"/>
    </row>
    <row r="427" spans="1:6" x14ac:dyDescent="0.25">
      <c r="A427" s="21" t="s">
        <v>491</v>
      </c>
      <c r="B427" s="21" t="s">
        <v>22</v>
      </c>
      <c r="C427" s="21">
        <v>20</v>
      </c>
      <c r="D427" s="21">
        <v>180</v>
      </c>
      <c r="E427" s="21">
        <v>9</v>
      </c>
      <c r="F427" s="21"/>
    </row>
    <row r="428" spans="1:6" x14ac:dyDescent="0.25">
      <c r="A428" s="21" t="s">
        <v>492</v>
      </c>
      <c r="B428" s="21" t="s">
        <v>22</v>
      </c>
      <c r="C428" s="21">
        <v>60</v>
      </c>
      <c r="D428" s="21">
        <v>2400</v>
      </c>
      <c r="E428" s="21">
        <v>40</v>
      </c>
      <c r="F428" s="21"/>
    </row>
    <row r="429" spans="1:6" x14ac:dyDescent="0.25">
      <c r="A429" s="21" t="s">
        <v>493</v>
      </c>
      <c r="B429" s="21" t="s">
        <v>22</v>
      </c>
      <c r="C429" s="21">
        <v>60</v>
      </c>
      <c r="D429" s="21">
        <v>2400</v>
      </c>
      <c r="E429" s="21">
        <v>40</v>
      </c>
      <c r="F429" s="21"/>
    </row>
    <row r="430" spans="1:6" x14ac:dyDescent="0.25">
      <c r="A430" s="21" t="s">
        <v>494</v>
      </c>
      <c r="B430" s="21" t="s">
        <v>22</v>
      </c>
      <c r="C430" s="21">
        <v>60</v>
      </c>
      <c r="D430" s="21">
        <v>2400</v>
      </c>
      <c r="E430" s="21">
        <v>40</v>
      </c>
      <c r="F430" s="21"/>
    </row>
    <row r="431" spans="1:6" x14ac:dyDescent="0.25">
      <c r="A431" s="21" t="s">
        <v>495</v>
      </c>
      <c r="B431" s="21" t="s">
        <v>22</v>
      </c>
      <c r="C431" s="21">
        <v>60</v>
      </c>
      <c r="D431" s="21">
        <v>2400</v>
      </c>
      <c r="E431" s="21">
        <v>40</v>
      </c>
      <c r="F431" s="21"/>
    </row>
    <row r="432" spans="1:6" x14ac:dyDescent="0.25">
      <c r="A432" s="21" t="s">
        <v>496</v>
      </c>
      <c r="B432" s="21" t="s">
        <v>22</v>
      </c>
      <c r="C432" s="21">
        <v>60</v>
      </c>
      <c r="D432" s="21">
        <v>2400</v>
      </c>
      <c r="E432" s="21">
        <v>40</v>
      </c>
      <c r="F432" s="21"/>
    </row>
    <row r="433" spans="1:6" x14ac:dyDescent="0.25">
      <c r="A433" s="21" t="s">
        <v>497</v>
      </c>
      <c r="B433" s="21" t="s">
        <v>22</v>
      </c>
      <c r="C433" s="21">
        <v>0</v>
      </c>
      <c r="D433" s="52">
        <v>0</v>
      </c>
      <c r="E433" s="21"/>
      <c r="F433" s="21"/>
    </row>
    <row r="434" spans="1:6" x14ac:dyDescent="0.25">
      <c r="A434" s="21" t="s">
        <v>498</v>
      </c>
      <c r="B434" s="21" t="s">
        <v>22</v>
      </c>
      <c r="C434" s="21">
        <v>0</v>
      </c>
      <c r="D434" s="52">
        <v>0</v>
      </c>
      <c r="E434" s="21"/>
      <c r="F434" s="21"/>
    </row>
    <row r="435" spans="1:6" x14ac:dyDescent="0.25">
      <c r="A435" s="21" t="s">
        <v>499</v>
      </c>
      <c r="B435" s="21" t="s">
        <v>22</v>
      </c>
      <c r="C435" s="21">
        <v>200</v>
      </c>
      <c r="D435" s="21">
        <v>7200</v>
      </c>
      <c r="E435" s="21">
        <v>36</v>
      </c>
      <c r="F435" s="21"/>
    </row>
    <row r="436" spans="1:6" x14ac:dyDescent="0.25">
      <c r="A436" s="21" t="s">
        <v>500</v>
      </c>
      <c r="B436" s="21" t="s">
        <v>22</v>
      </c>
      <c r="C436" s="21">
        <v>200</v>
      </c>
      <c r="D436" s="21">
        <v>7200</v>
      </c>
      <c r="E436" s="21">
        <v>36</v>
      </c>
      <c r="F436" s="21"/>
    </row>
    <row r="437" spans="1:6" x14ac:dyDescent="0.25">
      <c r="A437" s="21" t="s">
        <v>501</v>
      </c>
      <c r="B437" s="21" t="s">
        <v>502</v>
      </c>
      <c r="C437" s="21">
        <v>200</v>
      </c>
      <c r="D437" s="21">
        <v>7200</v>
      </c>
      <c r="E437" s="21">
        <v>36</v>
      </c>
      <c r="F437" s="21"/>
    </row>
    <row r="438" spans="1:6" x14ac:dyDescent="0.25">
      <c r="A438" s="21" t="s">
        <v>503</v>
      </c>
      <c r="B438" s="21" t="s">
        <v>22</v>
      </c>
      <c r="C438" s="21">
        <v>200</v>
      </c>
      <c r="D438" s="21">
        <v>7200</v>
      </c>
      <c r="E438" s="21">
        <v>36</v>
      </c>
      <c r="F438" s="21"/>
    </row>
    <row r="439" spans="1:6" x14ac:dyDescent="0.25">
      <c r="A439" s="21" t="s">
        <v>504</v>
      </c>
      <c r="B439" s="21" t="s">
        <v>22</v>
      </c>
      <c r="C439" s="21">
        <v>200</v>
      </c>
      <c r="D439" s="21">
        <v>7200</v>
      </c>
      <c r="E439" s="21">
        <v>36</v>
      </c>
      <c r="F439" s="21"/>
    </row>
    <row r="440" spans="1:6" x14ac:dyDescent="0.25">
      <c r="A440" s="21" t="s">
        <v>505</v>
      </c>
      <c r="B440" s="21" t="s">
        <v>502</v>
      </c>
      <c r="C440" s="21">
        <v>200</v>
      </c>
      <c r="D440" s="21">
        <v>7200</v>
      </c>
      <c r="E440" s="21">
        <v>36</v>
      </c>
      <c r="F440" s="21"/>
    </row>
    <row r="441" spans="1:6" x14ac:dyDescent="0.25">
      <c r="A441" s="21" t="s">
        <v>506</v>
      </c>
      <c r="B441" s="21" t="s">
        <v>22</v>
      </c>
      <c r="C441" s="21">
        <v>200</v>
      </c>
      <c r="D441" s="21">
        <v>7200</v>
      </c>
      <c r="E441" s="21">
        <v>36</v>
      </c>
      <c r="F441" s="21"/>
    </row>
    <row r="442" spans="1:6" x14ac:dyDescent="0.25">
      <c r="A442" s="21" t="s">
        <v>507</v>
      </c>
      <c r="B442" s="21" t="s">
        <v>22</v>
      </c>
      <c r="C442" s="21">
        <v>200</v>
      </c>
      <c r="D442" s="21">
        <v>7200</v>
      </c>
      <c r="E442" s="21">
        <v>36</v>
      </c>
      <c r="F442" s="21"/>
    </row>
    <row r="443" spans="1:6" x14ac:dyDescent="0.25">
      <c r="A443" s="21" t="s">
        <v>508</v>
      </c>
      <c r="B443" s="21" t="s">
        <v>502</v>
      </c>
      <c r="C443" s="21">
        <v>200</v>
      </c>
      <c r="D443" s="21">
        <v>7200</v>
      </c>
      <c r="E443" s="21">
        <v>36</v>
      </c>
      <c r="F443" s="21"/>
    </row>
    <row r="444" spans="1:6" x14ac:dyDescent="0.25">
      <c r="A444" s="21" t="s">
        <v>509</v>
      </c>
      <c r="B444" s="21" t="s">
        <v>22</v>
      </c>
      <c r="C444" s="21">
        <v>60</v>
      </c>
      <c r="D444" s="21">
        <v>2520</v>
      </c>
      <c r="E444" s="21">
        <v>42</v>
      </c>
      <c r="F444" s="21"/>
    </row>
    <row r="445" spans="1:6" x14ac:dyDescent="0.25">
      <c r="A445" s="21" t="s">
        <v>510</v>
      </c>
      <c r="B445" s="21" t="s">
        <v>22</v>
      </c>
      <c r="C445" s="21">
        <v>200</v>
      </c>
      <c r="D445" s="21">
        <v>7200</v>
      </c>
      <c r="E445" s="21">
        <v>36</v>
      </c>
      <c r="F445" s="21"/>
    </row>
    <row r="446" spans="1:6" x14ac:dyDescent="0.25">
      <c r="A446" s="21" t="s">
        <v>511</v>
      </c>
      <c r="B446" s="21" t="s">
        <v>22</v>
      </c>
      <c r="C446" s="21">
        <v>200</v>
      </c>
      <c r="D446" s="21">
        <v>7200</v>
      </c>
      <c r="E446" s="21">
        <v>36</v>
      </c>
      <c r="F446" s="21"/>
    </row>
    <row r="447" spans="1:6" x14ac:dyDescent="0.25">
      <c r="A447" s="21" t="s">
        <v>512</v>
      </c>
      <c r="B447" s="21" t="s">
        <v>502</v>
      </c>
      <c r="C447" s="21">
        <v>200</v>
      </c>
      <c r="D447" s="21">
        <v>7200</v>
      </c>
      <c r="E447" s="21">
        <v>36</v>
      </c>
      <c r="F447" s="21"/>
    </row>
    <row r="448" spans="1:6" x14ac:dyDescent="0.25">
      <c r="A448" s="21" t="s">
        <v>513</v>
      </c>
      <c r="B448" s="21" t="s">
        <v>22</v>
      </c>
      <c r="C448" s="21">
        <v>200</v>
      </c>
      <c r="D448" s="21">
        <v>7200</v>
      </c>
      <c r="E448" s="21">
        <v>36</v>
      </c>
      <c r="F448" s="21"/>
    </row>
    <row r="449" spans="1:6" x14ac:dyDescent="0.25">
      <c r="A449" s="21" t="s">
        <v>514</v>
      </c>
      <c r="B449" s="21" t="s">
        <v>22</v>
      </c>
      <c r="C449" s="21">
        <v>200</v>
      </c>
      <c r="D449" s="21">
        <v>7200</v>
      </c>
      <c r="E449" s="21">
        <v>36</v>
      </c>
      <c r="F449" s="21"/>
    </row>
    <row r="450" spans="1:6" x14ac:dyDescent="0.25">
      <c r="A450" s="21" t="s">
        <v>515</v>
      </c>
      <c r="B450" s="21" t="s">
        <v>502</v>
      </c>
      <c r="C450" s="21">
        <v>200</v>
      </c>
      <c r="D450" s="21">
        <v>7200</v>
      </c>
      <c r="E450" s="21">
        <v>36</v>
      </c>
      <c r="F450" s="21"/>
    </row>
    <row r="451" spans="1:6" x14ac:dyDescent="0.25">
      <c r="A451" s="21" t="s">
        <v>516</v>
      </c>
      <c r="B451" s="21" t="s">
        <v>22</v>
      </c>
      <c r="C451" s="21">
        <v>20</v>
      </c>
      <c r="D451" s="21">
        <v>1200</v>
      </c>
      <c r="E451" s="21">
        <v>60</v>
      </c>
      <c r="F451" s="21"/>
    </row>
    <row r="452" spans="1:6" x14ac:dyDescent="0.25">
      <c r="A452" s="21" t="s">
        <v>517</v>
      </c>
      <c r="B452" s="21" t="s">
        <v>22</v>
      </c>
      <c r="C452" s="21">
        <v>20</v>
      </c>
      <c r="D452" s="21">
        <v>1200</v>
      </c>
      <c r="E452" s="21">
        <v>60</v>
      </c>
      <c r="F452" s="21"/>
    </row>
    <row r="453" spans="1:6" x14ac:dyDescent="0.25">
      <c r="A453" s="21" t="s">
        <v>518</v>
      </c>
      <c r="B453" s="21" t="s">
        <v>22</v>
      </c>
      <c r="C453" s="21">
        <v>0</v>
      </c>
      <c r="D453" s="52">
        <v>0</v>
      </c>
      <c r="E453" s="21"/>
      <c r="F453" s="21"/>
    </row>
    <row r="454" spans="1:6" x14ac:dyDescent="0.25">
      <c r="A454" s="21" t="s">
        <v>519</v>
      </c>
      <c r="B454" s="21" t="s">
        <v>22</v>
      </c>
      <c r="C454" s="21">
        <v>0</v>
      </c>
      <c r="D454" s="52">
        <v>0</v>
      </c>
      <c r="E454" s="21"/>
      <c r="F454" s="21"/>
    </row>
    <row r="455" spans="1:6" x14ac:dyDescent="0.25">
      <c r="A455" s="21" t="s">
        <v>520</v>
      </c>
      <c r="B455" s="21" t="s">
        <v>22</v>
      </c>
      <c r="C455" s="21">
        <v>0</v>
      </c>
      <c r="D455" s="52">
        <v>0</v>
      </c>
      <c r="E455" s="21"/>
      <c r="F455" s="21"/>
    </row>
    <row r="456" spans="1:6" x14ac:dyDescent="0.25">
      <c r="A456" s="21" t="s">
        <v>521</v>
      </c>
      <c r="B456" s="21" t="s">
        <v>22</v>
      </c>
      <c r="C456" s="21">
        <v>12</v>
      </c>
      <c r="D456" s="21">
        <v>504</v>
      </c>
      <c r="E456" s="21">
        <v>42</v>
      </c>
      <c r="F456" s="21"/>
    </row>
    <row r="457" spans="1:6" x14ac:dyDescent="0.25">
      <c r="A457" s="21" t="s">
        <v>522</v>
      </c>
      <c r="B457" s="21" t="s">
        <v>22</v>
      </c>
      <c r="C457" s="21">
        <v>12</v>
      </c>
      <c r="D457" s="21">
        <v>504</v>
      </c>
      <c r="E457" s="21">
        <v>42</v>
      </c>
      <c r="F457" s="21"/>
    </row>
    <row r="458" spans="1:6" x14ac:dyDescent="0.25">
      <c r="A458" s="21" t="s">
        <v>523</v>
      </c>
      <c r="B458" s="21" t="s">
        <v>22</v>
      </c>
      <c r="C458" s="21">
        <v>12</v>
      </c>
      <c r="D458" s="21">
        <v>504</v>
      </c>
      <c r="E458" s="21">
        <v>42</v>
      </c>
      <c r="F458" s="21"/>
    </row>
    <row r="459" spans="1:6" x14ac:dyDescent="0.25">
      <c r="A459" s="21" t="s">
        <v>524</v>
      </c>
      <c r="B459" s="21" t="s">
        <v>22</v>
      </c>
      <c r="C459" s="21">
        <v>12</v>
      </c>
      <c r="D459" s="21">
        <v>504</v>
      </c>
      <c r="E459" s="21">
        <v>42</v>
      </c>
      <c r="F459" s="21"/>
    </row>
    <row r="460" spans="1:6" x14ac:dyDescent="0.25">
      <c r="A460" s="21" t="s">
        <v>525</v>
      </c>
      <c r="B460" s="21" t="s">
        <v>22</v>
      </c>
      <c r="C460" s="21">
        <v>12</v>
      </c>
      <c r="D460" s="21">
        <v>504</v>
      </c>
      <c r="E460" s="21">
        <v>42</v>
      </c>
      <c r="F460" s="21"/>
    </row>
    <row r="461" spans="1:6" x14ac:dyDescent="0.25">
      <c r="A461" s="21" t="s">
        <v>526</v>
      </c>
      <c r="B461" s="21" t="s">
        <v>22</v>
      </c>
      <c r="C461" s="21">
        <v>12</v>
      </c>
      <c r="D461" s="21">
        <v>504</v>
      </c>
      <c r="E461" s="21">
        <v>42</v>
      </c>
      <c r="F461" s="21"/>
    </row>
    <row r="462" spans="1:6" x14ac:dyDescent="0.25">
      <c r="A462" s="21" t="s">
        <v>527</v>
      </c>
      <c r="B462" s="21" t="s">
        <v>22</v>
      </c>
      <c r="C462" s="21">
        <v>12</v>
      </c>
      <c r="D462" s="21">
        <v>504</v>
      </c>
      <c r="E462" s="21">
        <v>42</v>
      </c>
      <c r="F462" s="21"/>
    </row>
    <row r="463" spans="1:6" x14ac:dyDescent="0.25">
      <c r="A463" s="21" t="s">
        <v>528</v>
      </c>
      <c r="B463" s="21" t="s">
        <v>22</v>
      </c>
      <c r="C463" s="21">
        <v>12</v>
      </c>
      <c r="D463" s="21">
        <v>504</v>
      </c>
      <c r="E463" s="21">
        <v>42</v>
      </c>
      <c r="F463" s="21"/>
    </row>
    <row r="464" spans="1:6" x14ac:dyDescent="0.25">
      <c r="A464" s="21" t="s">
        <v>529</v>
      </c>
      <c r="B464" s="21" t="s">
        <v>22</v>
      </c>
      <c r="C464" s="21">
        <v>12</v>
      </c>
      <c r="D464" s="21">
        <v>504</v>
      </c>
      <c r="E464" s="21">
        <v>42</v>
      </c>
      <c r="F464" s="21"/>
    </row>
    <row r="465" spans="1:6" x14ac:dyDescent="0.25">
      <c r="A465" s="21" t="s">
        <v>530</v>
      </c>
      <c r="B465" s="21" t="s">
        <v>22</v>
      </c>
      <c r="C465" s="21">
        <v>12</v>
      </c>
      <c r="D465" s="21">
        <v>504</v>
      </c>
      <c r="E465" s="21">
        <v>42</v>
      </c>
      <c r="F465" s="21"/>
    </row>
    <row r="466" spans="1:6" x14ac:dyDescent="0.25">
      <c r="A466" s="21" t="s">
        <v>531</v>
      </c>
      <c r="B466" s="21" t="s">
        <v>22</v>
      </c>
      <c r="C466" s="21">
        <v>12</v>
      </c>
      <c r="D466" s="21">
        <v>720</v>
      </c>
      <c r="E466" s="21">
        <v>60</v>
      </c>
      <c r="F466" s="21"/>
    </row>
    <row r="467" spans="1:6" x14ac:dyDescent="0.25">
      <c r="A467" s="21" t="s">
        <v>532</v>
      </c>
      <c r="B467" s="21" t="s">
        <v>22</v>
      </c>
      <c r="C467" s="21">
        <v>12</v>
      </c>
      <c r="D467" s="21">
        <v>720</v>
      </c>
      <c r="E467" s="21">
        <v>60</v>
      </c>
      <c r="F467" s="21"/>
    </row>
    <row r="468" spans="1:6" x14ac:dyDescent="0.25">
      <c r="A468" s="21" t="s">
        <v>533</v>
      </c>
      <c r="B468" s="21" t="s">
        <v>22</v>
      </c>
      <c r="C468" s="21">
        <v>12</v>
      </c>
      <c r="D468" s="21">
        <v>720</v>
      </c>
      <c r="E468" s="21">
        <v>60</v>
      </c>
      <c r="F468" s="21"/>
    </row>
    <row r="469" spans="1:6" x14ac:dyDescent="0.25">
      <c r="A469" s="21" t="s">
        <v>534</v>
      </c>
      <c r="B469" s="21" t="s">
        <v>22</v>
      </c>
      <c r="C469" s="21">
        <v>12</v>
      </c>
      <c r="D469" s="21">
        <v>720</v>
      </c>
      <c r="E469" s="21">
        <v>60</v>
      </c>
      <c r="F469" s="21"/>
    </row>
    <row r="470" spans="1:6" x14ac:dyDescent="0.25">
      <c r="A470" s="21" t="s">
        <v>535</v>
      </c>
      <c r="B470" s="21" t="s">
        <v>22</v>
      </c>
      <c r="C470" s="21">
        <v>12</v>
      </c>
      <c r="D470" s="21">
        <v>420</v>
      </c>
      <c r="E470" s="21">
        <v>35</v>
      </c>
      <c r="F470" s="21"/>
    </row>
    <row r="471" spans="1:6" x14ac:dyDescent="0.25">
      <c r="A471" s="21" t="s">
        <v>536</v>
      </c>
      <c r="B471" s="21" t="s">
        <v>22</v>
      </c>
      <c r="C471" s="21">
        <v>12</v>
      </c>
      <c r="D471" s="21">
        <v>420</v>
      </c>
      <c r="E471" s="21">
        <v>35</v>
      </c>
      <c r="F471" s="21"/>
    </row>
    <row r="472" spans="1:6" x14ac:dyDescent="0.25">
      <c r="A472" s="21" t="s">
        <v>537</v>
      </c>
      <c r="B472" s="21" t="s">
        <v>22</v>
      </c>
      <c r="C472" s="21">
        <v>12</v>
      </c>
      <c r="D472" s="21">
        <v>420</v>
      </c>
      <c r="E472" s="21">
        <v>35</v>
      </c>
      <c r="F472" s="21"/>
    </row>
    <row r="473" spans="1:6" x14ac:dyDescent="0.25">
      <c r="A473" s="21" t="s">
        <v>538</v>
      </c>
      <c r="B473" s="21" t="s">
        <v>22</v>
      </c>
      <c r="C473" s="21">
        <v>12</v>
      </c>
      <c r="D473" s="21">
        <v>420</v>
      </c>
      <c r="E473" s="21">
        <v>35</v>
      </c>
      <c r="F473" s="21"/>
    </row>
    <row r="474" spans="1:6" x14ac:dyDescent="0.25">
      <c r="A474" s="21" t="s">
        <v>539</v>
      </c>
      <c r="B474" s="21" t="s">
        <v>22</v>
      </c>
      <c r="C474" s="21">
        <v>12</v>
      </c>
      <c r="D474" s="21">
        <v>420</v>
      </c>
      <c r="E474" s="21">
        <v>35</v>
      </c>
      <c r="F474" s="21"/>
    </row>
    <row r="475" spans="1:6" x14ac:dyDescent="0.25">
      <c r="A475" s="21" t="s">
        <v>540</v>
      </c>
      <c r="B475" s="21" t="s">
        <v>22</v>
      </c>
      <c r="C475" s="21">
        <v>12</v>
      </c>
      <c r="D475" s="21">
        <v>420</v>
      </c>
      <c r="E475" s="21">
        <v>35</v>
      </c>
      <c r="F475" s="21"/>
    </row>
    <row r="476" spans="1:6" x14ac:dyDescent="0.25">
      <c r="A476" s="21" t="s">
        <v>541</v>
      </c>
      <c r="B476" s="21" t="s">
        <v>22</v>
      </c>
      <c r="C476" s="21">
        <v>12</v>
      </c>
      <c r="D476" s="21">
        <v>504</v>
      </c>
      <c r="E476" s="21">
        <v>42</v>
      </c>
      <c r="F476" s="21"/>
    </row>
    <row r="477" spans="1:6" x14ac:dyDescent="0.25">
      <c r="A477" s="21" t="s">
        <v>542</v>
      </c>
      <c r="B477" s="21" t="s">
        <v>22</v>
      </c>
      <c r="C477" s="21">
        <v>12</v>
      </c>
      <c r="D477" s="21">
        <v>504</v>
      </c>
      <c r="E477" s="21">
        <v>42</v>
      </c>
      <c r="F477" s="21"/>
    </row>
    <row r="478" spans="1:6" x14ac:dyDescent="0.25">
      <c r="A478" s="21" t="s">
        <v>543</v>
      </c>
      <c r="B478" s="21" t="s">
        <v>22</v>
      </c>
      <c r="C478" s="21">
        <v>12</v>
      </c>
      <c r="D478" s="21">
        <v>336</v>
      </c>
      <c r="E478" s="21">
        <v>28</v>
      </c>
      <c r="F478" s="21"/>
    </row>
    <row r="479" spans="1:6" x14ac:dyDescent="0.25">
      <c r="A479" s="21" t="s">
        <v>544</v>
      </c>
      <c r="B479" s="21" t="s">
        <v>22</v>
      </c>
      <c r="C479" s="21">
        <v>12</v>
      </c>
      <c r="D479" s="21">
        <v>336</v>
      </c>
      <c r="E479" s="21">
        <v>28</v>
      </c>
      <c r="F479" s="21"/>
    </row>
    <row r="480" spans="1:6" x14ac:dyDescent="0.25">
      <c r="A480" s="21" t="s">
        <v>545</v>
      </c>
      <c r="B480" s="21" t="s">
        <v>22</v>
      </c>
      <c r="C480" s="21">
        <v>12</v>
      </c>
      <c r="D480" s="21">
        <v>420</v>
      </c>
      <c r="E480" s="21">
        <v>35</v>
      </c>
      <c r="F480" s="21"/>
    </row>
    <row r="481" spans="1:6" x14ac:dyDescent="0.25">
      <c r="A481" s="21" t="s">
        <v>546</v>
      </c>
      <c r="B481" s="21" t="s">
        <v>22</v>
      </c>
      <c r="C481" s="21">
        <v>12</v>
      </c>
      <c r="D481" s="21">
        <v>420</v>
      </c>
      <c r="E481" s="21">
        <v>35</v>
      </c>
      <c r="F481" s="21"/>
    </row>
    <row r="482" spans="1:6" x14ac:dyDescent="0.25">
      <c r="A482" s="21" t="s">
        <v>547</v>
      </c>
      <c r="B482" s="21" t="s">
        <v>22</v>
      </c>
      <c r="C482" s="21">
        <v>12</v>
      </c>
      <c r="D482" s="21">
        <v>420</v>
      </c>
      <c r="E482" s="21">
        <v>35</v>
      </c>
      <c r="F482" s="21"/>
    </row>
    <row r="483" spans="1:6" x14ac:dyDescent="0.25">
      <c r="A483" s="21" t="s">
        <v>548</v>
      </c>
      <c r="B483" s="21" t="s">
        <v>22</v>
      </c>
      <c r="C483" s="21">
        <v>12</v>
      </c>
      <c r="D483" s="21">
        <v>420</v>
      </c>
      <c r="E483" s="21">
        <v>35</v>
      </c>
      <c r="F483" s="21"/>
    </row>
    <row r="484" spans="1:6" x14ac:dyDescent="0.25">
      <c r="A484" s="21" t="s">
        <v>549</v>
      </c>
      <c r="B484" s="21" t="s">
        <v>22</v>
      </c>
      <c r="C484" s="21">
        <v>12</v>
      </c>
      <c r="D484" s="21">
        <v>420</v>
      </c>
      <c r="E484" s="21">
        <v>35</v>
      </c>
      <c r="F484" s="21"/>
    </row>
    <row r="485" spans="1:6" x14ac:dyDescent="0.25">
      <c r="A485" s="21" t="s">
        <v>550</v>
      </c>
      <c r="B485" s="21" t="s">
        <v>22</v>
      </c>
      <c r="C485" s="21">
        <v>12</v>
      </c>
      <c r="D485" s="21">
        <v>420</v>
      </c>
      <c r="E485" s="21">
        <v>35</v>
      </c>
      <c r="F485" s="21"/>
    </row>
    <row r="486" spans="1:6" x14ac:dyDescent="0.25">
      <c r="A486" s="21" t="s">
        <v>551</v>
      </c>
      <c r="B486" s="21" t="s">
        <v>22</v>
      </c>
      <c r="C486" s="21">
        <v>12</v>
      </c>
      <c r="D486" s="21">
        <v>420</v>
      </c>
      <c r="E486" s="21">
        <v>35</v>
      </c>
      <c r="F486" s="21"/>
    </row>
    <row r="487" spans="1:6" x14ac:dyDescent="0.25">
      <c r="A487" s="21" t="s">
        <v>552</v>
      </c>
      <c r="B487" s="21" t="s">
        <v>22</v>
      </c>
      <c r="C487" s="21">
        <v>12</v>
      </c>
      <c r="D487" s="21">
        <v>420</v>
      </c>
      <c r="E487" s="21">
        <v>35</v>
      </c>
      <c r="F487" s="21"/>
    </row>
    <row r="488" spans="1:6" x14ac:dyDescent="0.25">
      <c r="A488" s="21" t="s">
        <v>553</v>
      </c>
      <c r="B488" s="21" t="s">
        <v>22</v>
      </c>
      <c r="C488" s="21">
        <v>12</v>
      </c>
      <c r="D488" s="21">
        <v>420</v>
      </c>
      <c r="E488" s="21">
        <v>35</v>
      </c>
      <c r="F488" s="21"/>
    </row>
    <row r="489" spans="1:6" x14ac:dyDescent="0.25">
      <c r="A489" s="21" t="s">
        <v>554</v>
      </c>
      <c r="B489" s="21" t="s">
        <v>22</v>
      </c>
      <c r="C489" s="21">
        <v>12</v>
      </c>
      <c r="D489" s="21">
        <v>420</v>
      </c>
      <c r="E489" s="21">
        <v>35</v>
      </c>
      <c r="F489" s="21"/>
    </row>
    <row r="490" spans="1:6" x14ac:dyDescent="0.25">
      <c r="A490" s="21" t="s">
        <v>555</v>
      </c>
      <c r="B490" s="21" t="s">
        <v>22</v>
      </c>
      <c r="C490" s="21">
        <v>12</v>
      </c>
      <c r="D490" s="21">
        <v>384</v>
      </c>
      <c r="E490" s="21">
        <v>32</v>
      </c>
      <c r="F490" s="21"/>
    </row>
    <row r="491" spans="1:6" x14ac:dyDescent="0.25">
      <c r="A491" s="21" t="s">
        <v>556</v>
      </c>
      <c r="B491" s="21" t="s">
        <v>22</v>
      </c>
      <c r="C491" s="21">
        <v>12</v>
      </c>
      <c r="D491" s="21">
        <v>384</v>
      </c>
      <c r="E491" s="21">
        <v>32</v>
      </c>
      <c r="F491" s="21"/>
    </row>
    <row r="492" spans="1:6" x14ac:dyDescent="0.25">
      <c r="A492" s="21" t="s">
        <v>557</v>
      </c>
      <c r="B492" s="21" t="s">
        <v>22</v>
      </c>
      <c r="C492" s="21">
        <v>12</v>
      </c>
      <c r="D492" s="21">
        <v>336</v>
      </c>
      <c r="E492" s="21">
        <v>28</v>
      </c>
      <c r="F492" s="21"/>
    </row>
    <row r="493" spans="1:6" x14ac:dyDescent="0.25">
      <c r="A493" s="21" t="s">
        <v>558</v>
      </c>
      <c r="B493" s="21" t="s">
        <v>22</v>
      </c>
      <c r="C493" s="21">
        <v>12</v>
      </c>
      <c r="D493" s="21">
        <v>1260</v>
      </c>
      <c r="E493" s="21">
        <v>105</v>
      </c>
      <c r="F493" s="21"/>
    </row>
    <row r="494" spans="1:6" x14ac:dyDescent="0.25">
      <c r="A494" s="21" t="s">
        <v>559</v>
      </c>
      <c r="B494" s="21" t="s">
        <v>22</v>
      </c>
      <c r="C494" s="21">
        <v>12</v>
      </c>
      <c r="D494" s="21">
        <v>1260</v>
      </c>
      <c r="E494" s="21">
        <v>105</v>
      </c>
      <c r="F494" s="21"/>
    </row>
    <row r="495" spans="1:6" x14ac:dyDescent="0.25">
      <c r="A495" s="21" t="s">
        <v>560</v>
      </c>
      <c r="B495" s="21" t="s">
        <v>22</v>
      </c>
      <c r="C495" s="21">
        <v>12</v>
      </c>
      <c r="D495" s="21">
        <v>1260</v>
      </c>
      <c r="E495" s="21">
        <v>105</v>
      </c>
      <c r="F495" s="21"/>
    </row>
    <row r="496" spans="1:6" x14ac:dyDescent="0.25">
      <c r="A496" s="21" t="s">
        <v>561</v>
      </c>
      <c r="B496" s="21" t="s">
        <v>22</v>
      </c>
      <c r="C496" s="21">
        <v>12</v>
      </c>
      <c r="D496" s="21">
        <v>1260</v>
      </c>
      <c r="E496" s="21">
        <v>105</v>
      </c>
      <c r="F496" s="21"/>
    </row>
    <row r="497" spans="1:6" x14ac:dyDescent="0.25">
      <c r="A497" s="21" t="s">
        <v>562</v>
      </c>
      <c r="B497" s="21" t="s">
        <v>22</v>
      </c>
      <c r="C497" s="21">
        <v>12</v>
      </c>
      <c r="D497" s="21">
        <v>1260</v>
      </c>
      <c r="E497" s="21">
        <v>105</v>
      </c>
      <c r="F497" s="21"/>
    </row>
    <row r="498" spans="1:6" x14ac:dyDescent="0.25">
      <c r="A498" s="21" t="s">
        <v>563</v>
      </c>
      <c r="B498" s="21" t="s">
        <v>22</v>
      </c>
      <c r="C498" s="21">
        <v>20</v>
      </c>
      <c r="D498" s="21">
        <v>2400</v>
      </c>
      <c r="E498" s="21">
        <v>120</v>
      </c>
      <c r="F498" s="21"/>
    </row>
    <row r="499" spans="1:6" x14ac:dyDescent="0.25">
      <c r="A499" s="21" t="s">
        <v>564</v>
      </c>
      <c r="B499" s="21" t="s">
        <v>22</v>
      </c>
      <c r="C499" s="21">
        <v>20</v>
      </c>
      <c r="D499" s="21">
        <v>1600</v>
      </c>
      <c r="E499" s="21">
        <v>80</v>
      </c>
      <c r="F499" s="21"/>
    </row>
    <row r="500" spans="1:6" x14ac:dyDescent="0.25">
      <c r="A500" s="21" t="s">
        <v>565</v>
      </c>
      <c r="B500" s="21" t="s">
        <v>22</v>
      </c>
      <c r="C500" s="21">
        <v>20</v>
      </c>
      <c r="D500" s="21">
        <v>960</v>
      </c>
      <c r="E500" s="21">
        <v>48</v>
      </c>
      <c r="F500" s="21"/>
    </row>
    <row r="501" spans="1:6" x14ac:dyDescent="0.25">
      <c r="A501" s="21" t="s">
        <v>566</v>
      </c>
      <c r="B501" s="21" t="s">
        <v>22</v>
      </c>
      <c r="C501" s="21">
        <v>20</v>
      </c>
      <c r="D501" s="21">
        <v>480</v>
      </c>
      <c r="E501" s="21">
        <v>24</v>
      </c>
      <c r="F501" s="21"/>
    </row>
    <row r="502" spans="1:6" x14ac:dyDescent="0.25">
      <c r="A502" s="21" t="s">
        <v>567</v>
      </c>
      <c r="B502" s="21" t="s">
        <v>22</v>
      </c>
      <c r="C502" s="21">
        <v>20</v>
      </c>
      <c r="D502" s="21">
        <v>480</v>
      </c>
      <c r="E502" s="21">
        <v>24</v>
      </c>
      <c r="F502" s="21"/>
    </row>
    <row r="503" spans="1:6" x14ac:dyDescent="0.25">
      <c r="A503" s="21" t="s">
        <v>568</v>
      </c>
      <c r="B503" s="21" t="s">
        <v>22</v>
      </c>
      <c r="C503" s="21">
        <v>0</v>
      </c>
      <c r="D503" s="52">
        <v>0</v>
      </c>
      <c r="E503" s="21"/>
      <c r="F503" s="21"/>
    </row>
    <row r="504" spans="1:6" x14ac:dyDescent="0.25">
      <c r="A504" s="21" t="s">
        <v>569</v>
      </c>
      <c r="B504" s="21" t="s">
        <v>22</v>
      </c>
      <c r="C504" s="21">
        <v>0</v>
      </c>
      <c r="D504" s="52">
        <v>0</v>
      </c>
      <c r="E504" s="21"/>
      <c r="F504" s="21"/>
    </row>
    <row r="505" spans="1:6" x14ac:dyDescent="0.25">
      <c r="A505" s="21" t="s">
        <v>570</v>
      </c>
      <c r="B505" s="21" t="s">
        <v>22</v>
      </c>
      <c r="C505" s="21">
        <v>25</v>
      </c>
      <c r="D505" s="21">
        <v>700</v>
      </c>
      <c r="E505" s="21">
        <v>28</v>
      </c>
      <c r="F505" s="21"/>
    </row>
    <row r="506" spans="1:6" x14ac:dyDescent="0.25">
      <c r="A506" s="21" t="s">
        <v>571</v>
      </c>
      <c r="B506" s="21" t="s">
        <v>22</v>
      </c>
      <c r="C506" s="21">
        <v>25</v>
      </c>
      <c r="D506" s="21">
        <v>600</v>
      </c>
      <c r="E506" s="21">
        <v>24</v>
      </c>
      <c r="F506" s="21"/>
    </row>
    <row r="507" spans="1:6" x14ac:dyDescent="0.25">
      <c r="A507" s="21" t="s">
        <v>572</v>
      </c>
      <c r="B507" s="21" t="s">
        <v>22</v>
      </c>
      <c r="C507" s="21">
        <v>25</v>
      </c>
      <c r="D507" s="21">
        <v>1050</v>
      </c>
      <c r="E507" s="21">
        <v>42</v>
      </c>
      <c r="F507" s="21"/>
    </row>
    <row r="508" spans="1:6" x14ac:dyDescent="0.25">
      <c r="A508" s="21" t="s">
        <v>573</v>
      </c>
      <c r="B508" s="21" t="s">
        <v>22</v>
      </c>
      <c r="C508" s="21">
        <v>25</v>
      </c>
      <c r="D508" s="21">
        <v>1050</v>
      </c>
      <c r="E508" s="21">
        <v>42</v>
      </c>
      <c r="F508" s="21"/>
    </row>
    <row r="509" spans="1:6" x14ac:dyDescent="0.25">
      <c r="A509" s="21" t="s">
        <v>574</v>
      </c>
      <c r="B509" s="21" t="s">
        <v>22</v>
      </c>
      <c r="C509" s="21">
        <v>300</v>
      </c>
      <c r="D509" s="21">
        <v>7200</v>
      </c>
      <c r="E509" s="21">
        <v>24</v>
      </c>
      <c r="F509" s="21"/>
    </row>
    <row r="510" spans="1:6" x14ac:dyDescent="0.25">
      <c r="A510" s="21" t="s">
        <v>575</v>
      </c>
      <c r="B510" s="21" t="s">
        <v>22</v>
      </c>
      <c r="C510" s="21">
        <v>200</v>
      </c>
      <c r="D510" s="21">
        <v>6000</v>
      </c>
      <c r="E510" s="21">
        <v>30</v>
      </c>
      <c r="F510" s="21"/>
    </row>
    <row r="511" spans="1:6" x14ac:dyDescent="0.25">
      <c r="A511" s="21" t="s">
        <v>576</v>
      </c>
      <c r="B511" s="21" t="s">
        <v>22</v>
      </c>
      <c r="C511" s="21">
        <v>200</v>
      </c>
      <c r="D511" s="21">
        <v>6000</v>
      </c>
      <c r="E511" s="21">
        <v>30</v>
      </c>
      <c r="F511" s="21"/>
    </row>
    <row r="512" spans="1:6" x14ac:dyDescent="0.25">
      <c r="A512" s="21" t="s">
        <v>577</v>
      </c>
      <c r="B512" s="21" t="s">
        <v>22</v>
      </c>
      <c r="C512" s="21">
        <v>0</v>
      </c>
      <c r="D512" s="52">
        <v>0</v>
      </c>
      <c r="E512" s="21"/>
      <c r="F512" s="21"/>
    </row>
    <row r="513" spans="1:6" x14ac:dyDescent="0.25">
      <c r="A513" s="21" t="s">
        <v>578</v>
      </c>
      <c r="B513" s="21" t="s">
        <v>22</v>
      </c>
      <c r="C513" s="21">
        <v>10</v>
      </c>
      <c r="D513" s="21">
        <v>1000</v>
      </c>
      <c r="E513" s="21">
        <v>100</v>
      </c>
      <c r="F513" s="21"/>
    </row>
    <row r="514" spans="1:6" x14ac:dyDescent="0.25">
      <c r="A514" s="21" t="s">
        <v>579</v>
      </c>
      <c r="B514" s="21" t="s">
        <v>22</v>
      </c>
      <c r="C514" s="21">
        <v>10</v>
      </c>
      <c r="D514" s="21">
        <v>1000</v>
      </c>
      <c r="E514" s="21">
        <v>100</v>
      </c>
      <c r="F514" s="21"/>
    </row>
    <row r="515" spans="1:6" x14ac:dyDescent="0.25">
      <c r="A515" s="21" t="s">
        <v>580</v>
      </c>
      <c r="B515" s="21" t="s">
        <v>22</v>
      </c>
      <c r="C515" s="21">
        <v>10</v>
      </c>
      <c r="D515" s="21">
        <v>1000</v>
      </c>
      <c r="E515" s="21">
        <v>100</v>
      </c>
      <c r="F515" s="21"/>
    </row>
    <row r="516" spans="1:6" x14ac:dyDescent="0.25">
      <c r="A516" s="21" t="s">
        <v>581</v>
      </c>
      <c r="B516" s="21" t="s">
        <v>22</v>
      </c>
      <c r="C516" s="21">
        <v>10</v>
      </c>
      <c r="D516" s="21">
        <v>1000</v>
      </c>
      <c r="E516" s="21">
        <v>100</v>
      </c>
      <c r="F516" s="21"/>
    </row>
    <row r="517" spans="1:6" x14ac:dyDescent="0.25">
      <c r="A517" s="21" t="s">
        <v>582</v>
      </c>
      <c r="B517" s="21" t="s">
        <v>22</v>
      </c>
      <c r="C517" s="21">
        <v>10</v>
      </c>
      <c r="D517" s="21">
        <v>1000</v>
      </c>
      <c r="E517" s="21">
        <v>100</v>
      </c>
      <c r="F517" s="21"/>
    </row>
    <row r="518" spans="1:6" x14ac:dyDescent="0.25">
      <c r="A518" s="21" t="s">
        <v>583</v>
      </c>
      <c r="B518" s="21" t="s">
        <v>22</v>
      </c>
      <c r="C518" s="21">
        <v>10</v>
      </c>
      <c r="D518" s="21">
        <v>1000</v>
      </c>
      <c r="E518" s="21">
        <v>100</v>
      </c>
      <c r="F518" s="21"/>
    </row>
    <row r="519" spans="1:6" x14ac:dyDescent="0.25">
      <c r="A519" s="21" t="s">
        <v>584</v>
      </c>
      <c r="B519" s="21" t="s">
        <v>22</v>
      </c>
      <c r="C519" s="21">
        <v>10</v>
      </c>
      <c r="D519" s="21">
        <v>1000</v>
      </c>
      <c r="E519" s="21">
        <v>100</v>
      </c>
      <c r="F519" s="21"/>
    </row>
    <row r="520" spans="1:6" x14ac:dyDescent="0.25">
      <c r="A520" s="21" t="s">
        <v>585</v>
      </c>
      <c r="B520" s="21" t="s">
        <v>586</v>
      </c>
      <c r="C520" s="21">
        <v>610</v>
      </c>
      <c r="D520" s="21">
        <v>10980</v>
      </c>
      <c r="E520" s="21">
        <v>18</v>
      </c>
      <c r="F520" s="21"/>
    </row>
    <row r="521" spans="1:6" x14ac:dyDescent="0.25">
      <c r="A521" s="21" t="s">
        <v>587</v>
      </c>
      <c r="B521" s="21" t="s">
        <v>586</v>
      </c>
      <c r="C521" s="21">
        <v>610</v>
      </c>
      <c r="D521" s="21">
        <v>10980</v>
      </c>
      <c r="E521" s="21">
        <v>18</v>
      </c>
      <c r="F521" s="21"/>
    </row>
    <row r="522" spans="1:6" x14ac:dyDescent="0.25">
      <c r="A522" s="21" t="s">
        <v>588</v>
      </c>
      <c r="B522" s="21" t="s">
        <v>586</v>
      </c>
      <c r="C522" s="21">
        <v>610</v>
      </c>
      <c r="D522" s="21">
        <v>7320</v>
      </c>
      <c r="E522" s="21">
        <v>12</v>
      </c>
      <c r="F522" s="21"/>
    </row>
    <row r="523" spans="1:6" x14ac:dyDescent="0.25">
      <c r="A523" s="21" t="s">
        <v>589</v>
      </c>
      <c r="B523" s="21" t="s">
        <v>586</v>
      </c>
      <c r="C523" s="21">
        <v>610</v>
      </c>
      <c r="D523" s="21">
        <v>7320</v>
      </c>
      <c r="E523" s="21">
        <v>12</v>
      </c>
      <c r="F523" s="21"/>
    </row>
    <row r="524" spans="1:6" x14ac:dyDescent="0.25">
      <c r="A524" s="21" t="s">
        <v>590</v>
      </c>
      <c r="B524" s="21" t="s">
        <v>22</v>
      </c>
      <c r="C524" s="21">
        <v>0</v>
      </c>
      <c r="D524" s="52">
        <v>0</v>
      </c>
      <c r="E524" s="21"/>
      <c r="F524" s="21"/>
    </row>
    <row r="525" spans="1:6" x14ac:dyDescent="0.25">
      <c r="A525" s="21" t="s">
        <v>591</v>
      </c>
      <c r="B525" s="21" t="s">
        <v>22</v>
      </c>
      <c r="C525" s="21">
        <v>25</v>
      </c>
      <c r="D525" s="21">
        <v>900</v>
      </c>
      <c r="E525" s="21">
        <v>36</v>
      </c>
      <c r="F525" s="21"/>
    </row>
    <row r="526" spans="1:6" x14ac:dyDescent="0.25">
      <c r="A526" s="21" t="s">
        <v>592</v>
      </c>
      <c r="B526" s="21" t="s">
        <v>22</v>
      </c>
      <c r="C526" s="21">
        <v>25</v>
      </c>
      <c r="D526" s="21">
        <v>750</v>
      </c>
      <c r="E526" s="21">
        <v>30</v>
      </c>
      <c r="F526" s="21"/>
    </row>
    <row r="527" spans="1:6" x14ac:dyDescent="0.25">
      <c r="A527" s="21" t="s">
        <v>593</v>
      </c>
      <c r="B527" s="21" t="s">
        <v>22</v>
      </c>
      <c r="C527" s="21">
        <v>70</v>
      </c>
      <c r="D527" s="21">
        <v>1680</v>
      </c>
      <c r="E527" s="21">
        <v>24</v>
      </c>
      <c r="F527" s="21"/>
    </row>
    <row r="528" spans="1:6" x14ac:dyDescent="0.25">
      <c r="A528" s="21" t="s">
        <v>594</v>
      </c>
      <c r="B528" s="21" t="s">
        <v>595</v>
      </c>
      <c r="C528" s="21">
        <v>0</v>
      </c>
      <c r="D528" s="52">
        <v>0</v>
      </c>
      <c r="E528" s="21"/>
      <c r="F528" s="21"/>
    </row>
    <row r="529" spans="1:6" x14ac:dyDescent="0.25">
      <c r="A529" s="21" t="s">
        <v>596</v>
      </c>
      <c r="B529" s="21" t="s">
        <v>595</v>
      </c>
      <c r="C529" s="21">
        <v>0</v>
      </c>
      <c r="D529" s="52">
        <v>0</v>
      </c>
      <c r="E529" s="21"/>
      <c r="F529" s="21"/>
    </row>
    <row r="530" spans="1:6" x14ac:dyDescent="0.25">
      <c r="A530" s="21" t="s">
        <v>597</v>
      </c>
      <c r="B530" s="21" t="s">
        <v>586</v>
      </c>
      <c r="C530" s="21">
        <v>1000</v>
      </c>
      <c r="D530" s="21">
        <v>8000</v>
      </c>
      <c r="E530" s="21">
        <v>8</v>
      </c>
      <c r="F530" s="21"/>
    </row>
    <row r="531" spans="1:6" x14ac:dyDescent="0.25">
      <c r="A531" s="21" t="s">
        <v>598</v>
      </c>
      <c r="B531" s="21" t="s">
        <v>586</v>
      </c>
      <c r="C531" s="21">
        <v>100</v>
      </c>
      <c r="D531" s="21">
        <v>3000</v>
      </c>
      <c r="E531" s="21">
        <v>30</v>
      </c>
      <c r="F531" s="21"/>
    </row>
    <row r="532" spans="1:6" x14ac:dyDescent="0.25">
      <c r="A532" s="21" t="s">
        <v>599</v>
      </c>
      <c r="B532" s="21" t="s">
        <v>586</v>
      </c>
      <c r="C532" s="21">
        <v>200</v>
      </c>
      <c r="D532" s="21">
        <v>60000</v>
      </c>
      <c r="E532" s="21">
        <v>300</v>
      </c>
      <c r="F532" s="21"/>
    </row>
    <row r="533" spans="1:6" x14ac:dyDescent="0.25">
      <c r="A533" s="21" t="s">
        <v>600</v>
      </c>
      <c r="B533" s="21" t="s">
        <v>595</v>
      </c>
      <c r="C533" s="21">
        <v>0</v>
      </c>
      <c r="D533" s="52">
        <v>0</v>
      </c>
      <c r="E533" s="21"/>
      <c r="F533" s="21"/>
    </row>
    <row r="534" spans="1:6" x14ac:dyDescent="0.25">
      <c r="A534" s="21" t="s">
        <v>601</v>
      </c>
      <c r="B534" s="21" t="s">
        <v>595</v>
      </c>
      <c r="C534" s="21">
        <v>0</v>
      </c>
      <c r="D534" s="52">
        <v>0</v>
      </c>
      <c r="E534" s="21"/>
      <c r="F534" s="21"/>
    </row>
    <row r="535" spans="1:6" x14ac:dyDescent="0.25">
      <c r="A535" s="21" t="s">
        <v>602</v>
      </c>
      <c r="B535" s="21" t="s">
        <v>22</v>
      </c>
      <c r="C535" s="21">
        <v>2000</v>
      </c>
      <c r="D535" s="21">
        <v>32000</v>
      </c>
      <c r="E535" s="21">
        <v>16</v>
      </c>
      <c r="F535" s="21"/>
    </row>
    <row r="536" spans="1:6" x14ac:dyDescent="0.25">
      <c r="A536" s="21" t="s">
        <v>603</v>
      </c>
      <c r="B536" s="21" t="s">
        <v>22</v>
      </c>
      <c r="C536" s="21">
        <v>2000</v>
      </c>
      <c r="D536" s="21">
        <v>36000</v>
      </c>
      <c r="E536" s="21">
        <v>18</v>
      </c>
      <c r="F536" s="21"/>
    </row>
    <row r="537" spans="1:6" x14ac:dyDescent="0.25">
      <c r="A537" s="21" t="s">
        <v>604</v>
      </c>
      <c r="B537" s="21" t="s">
        <v>22</v>
      </c>
      <c r="C537" s="21">
        <v>200000</v>
      </c>
      <c r="D537" s="21">
        <v>200000</v>
      </c>
      <c r="E537" s="21">
        <v>1</v>
      </c>
      <c r="F537" s="21"/>
    </row>
    <row r="538" spans="1:6" x14ac:dyDescent="0.25">
      <c r="A538" s="21" t="s">
        <v>605</v>
      </c>
      <c r="B538" s="21" t="s">
        <v>22</v>
      </c>
      <c r="C538" s="21">
        <v>50</v>
      </c>
      <c r="D538" s="21">
        <v>300</v>
      </c>
      <c r="E538" s="21">
        <v>6</v>
      </c>
      <c r="F538" s="21"/>
    </row>
    <row r="539" spans="1:6" x14ac:dyDescent="0.25">
      <c r="A539" s="21" t="s">
        <v>606</v>
      </c>
      <c r="B539" s="21" t="s">
        <v>595</v>
      </c>
      <c r="C539" s="21">
        <v>166</v>
      </c>
      <c r="D539" s="21">
        <v>4980</v>
      </c>
      <c r="E539" s="21">
        <v>30</v>
      </c>
      <c r="F539" s="21"/>
    </row>
    <row r="540" spans="1:6" x14ac:dyDescent="0.25">
      <c r="A540" s="21" t="s">
        <v>607</v>
      </c>
      <c r="B540" s="21" t="s">
        <v>595</v>
      </c>
      <c r="C540" s="21">
        <v>300</v>
      </c>
      <c r="D540" s="21">
        <v>6750</v>
      </c>
      <c r="E540" s="21">
        <v>27</v>
      </c>
      <c r="F540" s="21"/>
    </row>
    <row r="541" spans="1:6" x14ac:dyDescent="0.25">
      <c r="A541" s="21" t="s">
        <v>608</v>
      </c>
      <c r="B541" s="21" t="s">
        <v>595</v>
      </c>
      <c r="C541" s="21">
        <v>166</v>
      </c>
      <c r="D541" s="21">
        <v>4482</v>
      </c>
      <c r="E541" s="21">
        <v>27</v>
      </c>
      <c r="F541" s="21"/>
    </row>
    <row r="542" spans="1:6" x14ac:dyDescent="0.25">
      <c r="A542" s="21" t="s">
        <v>609</v>
      </c>
      <c r="B542" s="21" t="s">
        <v>595</v>
      </c>
      <c r="C542" s="21">
        <v>250</v>
      </c>
      <c r="D542" s="21">
        <v>6750</v>
      </c>
      <c r="E542" s="21">
        <v>27</v>
      </c>
      <c r="F542" s="21"/>
    </row>
    <row r="543" spans="1:6" x14ac:dyDescent="0.25">
      <c r="A543" s="21" t="s">
        <v>610</v>
      </c>
      <c r="B543" s="21" t="s">
        <v>22</v>
      </c>
      <c r="C543" s="21">
        <v>5</v>
      </c>
      <c r="D543" s="21">
        <v>120</v>
      </c>
      <c r="E543" s="21">
        <v>24</v>
      </c>
      <c r="F543" s="21"/>
    </row>
    <row r="544" spans="1:6" x14ac:dyDescent="0.25">
      <c r="A544" s="21" t="s">
        <v>611</v>
      </c>
      <c r="B544" s="21" t="s">
        <v>22</v>
      </c>
      <c r="C544" s="21">
        <v>5</v>
      </c>
      <c r="D544" s="21">
        <v>120</v>
      </c>
      <c r="E544" s="21">
        <v>24</v>
      </c>
      <c r="F544" s="21"/>
    </row>
    <row r="545" spans="1:6" x14ac:dyDescent="0.25">
      <c r="A545" s="21" t="s">
        <v>612</v>
      </c>
      <c r="B545" s="21" t="s">
        <v>22</v>
      </c>
      <c r="C545" s="21">
        <v>5</v>
      </c>
      <c r="D545" s="21">
        <v>120</v>
      </c>
      <c r="E545" s="21">
        <v>24</v>
      </c>
      <c r="F545" s="21"/>
    </row>
    <row r="546" spans="1:6" x14ac:dyDescent="0.25">
      <c r="A546" s="21" t="s">
        <v>613</v>
      </c>
      <c r="B546" s="21" t="s">
        <v>22</v>
      </c>
      <c r="C546" s="21">
        <v>5</v>
      </c>
      <c r="D546" s="21">
        <v>120</v>
      </c>
      <c r="E546" s="21">
        <v>24</v>
      </c>
      <c r="F546" s="21"/>
    </row>
    <row r="547" spans="1:6" x14ac:dyDescent="0.25">
      <c r="A547" s="21" t="s">
        <v>614</v>
      </c>
      <c r="B547" s="21" t="s">
        <v>22</v>
      </c>
      <c r="C547" s="21">
        <v>5</v>
      </c>
      <c r="D547" s="21">
        <v>120</v>
      </c>
      <c r="E547" s="21">
        <v>24</v>
      </c>
      <c r="F547" s="21"/>
    </row>
    <row r="548" spans="1:6" x14ac:dyDescent="0.25">
      <c r="A548" s="21" t="s">
        <v>615</v>
      </c>
      <c r="B548" s="21" t="s">
        <v>22</v>
      </c>
      <c r="C548" s="21">
        <v>0</v>
      </c>
      <c r="D548" s="52">
        <v>0</v>
      </c>
      <c r="E548" s="21"/>
      <c r="F548" s="21"/>
    </row>
    <row r="549" spans="1:6" x14ac:dyDescent="0.25">
      <c r="A549" s="21" t="s">
        <v>616</v>
      </c>
      <c r="B549" s="21" t="s">
        <v>22</v>
      </c>
      <c r="C549" s="21">
        <v>0</v>
      </c>
      <c r="D549" s="52">
        <v>0</v>
      </c>
      <c r="E549" s="21"/>
      <c r="F549" s="21"/>
    </row>
    <row r="550" spans="1:6" x14ac:dyDescent="0.25">
      <c r="A550" s="21" t="s">
        <v>617</v>
      </c>
      <c r="B550" s="21" t="s">
        <v>22</v>
      </c>
      <c r="C550" s="21">
        <v>10</v>
      </c>
      <c r="D550" s="21">
        <v>600</v>
      </c>
      <c r="E550" s="21">
        <v>60</v>
      </c>
      <c r="F550" s="21"/>
    </row>
    <row r="551" spans="1:6" x14ac:dyDescent="0.25">
      <c r="A551" s="21" t="s">
        <v>618</v>
      </c>
      <c r="B551" s="21" t="s">
        <v>22</v>
      </c>
      <c r="C551" s="21">
        <v>10</v>
      </c>
      <c r="D551" s="21">
        <v>400</v>
      </c>
      <c r="E551" s="21">
        <v>40</v>
      </c>
      <c r="F551" s="21"/>
    </row>
    <row r="552" spans="1:6" x14ac:dyDescent="0.25">
      <c r="A552" s="21" t="s">
        <v>619</v>
      </c>
      <c r="B552" s="21" t="s">
        <v>22</v>
      </c>
      <c r="C552" s="21">
        <v>5</v>
      </c>
      <c r="D552" s="21">
        <v>90</v>
      </c>
      <c r="E552" s="21">
        <v>18</v>
      </c>
      <c r="F552" s="21"/>
    </row>
    <row r="553" spans="1:6" x14ac:dyDescent="0.25">
      <c r="A553" s="21" t="s">
        <v>620</v>
      </c>
      <c r="B553" s="21" t="s">
        <v>22</v>
      </c>
      <c r="C553" s="21">
        <v>5</v>
      </c>
      <c r="D553" s="21">
        <v>90</v>
      </c>
      <c r="E553" s="21">
        <v>18</v>
      </c>
      <c r="F553" s="21"/>
    </row>
    <row r="554" spans="1:6" x14ac:dyDescent="0.25">
      <c r="A554" s="21" t="s">
        <v>621</v>
      </c>
      <c r="B554" s="21" t="s">
        <v>22</v>
      </c>
      <c r="C554" s="21">
        <v>5</v>
      </c>
      <c r="D554" s="21">
        <v>90</v>
      </c>
      <c r="E554" s="21">
        <v>18</v>
      </c>
      <c r="F554" s="21"/>
    </row>
    <row r="555" spans="1:6" x14ac:dyDescent="0.25">
      <c r="A555" s="21" t="s">
        <v>622</v>
      </c>
      <c r="B555" s="21" t="s">
        <v>22</v>
      </c>
      <c r="C555" s="21">
        <v>5</v>
      </c>
      <c r="D555" s="21">
        <v>90</v>
      </c>
      <c r="E555" s="21">
        <v>18</v>
      </c>
      <c r="F555" s="21"/>
    </row>
    <row r="556" spans="1:6" x14ac:dyDescent="0.25">
      <c r="A556" s="21" t="s">
        <v>623</v>
      </c>
      <c r="B556" s="21" t="s">
        <v>22</v>
      </c>
      <c r="C556" s="21">
        <v>5</v>
      </c>
      <c r="D556" s="21">
        <v>90</v>
      </c>
      <c r="E556" s="21">
        <v>18</v>
      </c>
      <c r="F556" s="21"/>
    </row>
    <row r="557" spans="1:6" x14ac:dyDescent="0.25">
      <c r="A557" s="21" t="s">
        <v>624</v>
      </c>
      <c r="B557" s="21" t="s">
        <v>22</v>
      </c>
      <c r="C557" s="21">
        <v>10</v>
      </c>
      <c r="D557" s="21">
        <v>240</v>
      </c>
      <c r="E557" s="21">
        <v>24</v>
      </c>
      <c r="F557" s="21"/>
    </row>
    <row r="558" spans="1:6" x14ac:dyDescent="0.25">
      <c r="A558" s="21" t="s">
        <v>625</v>
      </c>
      <c r="B558" s="21" t="s">
        <v>22</v>
      </c>
      <c r="C558" s="21">
        <v>20</v>
      </c>
      <c r="D558" s="21">
        <v>1800</v>
      </c>
      <c r="E558" s="21">
        <v>90</v>
      </c>
      <c r="F558" s="21"/>
    </row>
    <row r="559" spans="1:6" x14ac:dyDescent="0.25">
      <c r="A559" s="21" t="s">
        <v>626</v>
      </c>
      <c r="B559" s="21" t="s">
        <v>22</v>
      </c>
      <c r="C559" s="21">
        <v>16</v>
      </c>
      <c r="D559" s="21">
        <v>624</v>
      </c>
      <c r="E559" s="21">
        <v>39</v>
      </c>
      <c r="F559" s="21"/>
    </row>
    <row r="560" spans="1:6" x14ac:dyDescent="0.25">
      <c r="A560" s="21" t="s">
        <v>627</v>
      </c>
      <c r="B560" s="21" t="s">
        <v>22</v>
      </c>
      <c r="C560" s="21">
        <v>10</v>
      </c>
      <c r="D560" s="21">
        <v>320</v>
      </c>
      <c r="E560" s="21">
        <v>32</v>
      </c>
      <c r="F560" s="21"/>
    </row>
    <row r="561" spans="1:6" x14ac:dyDescent="0.25">
      <c r="A561" s="21" t="s">
        <v>628</v>
      </c>
      <c r="B561" s="21" t="s">
        <v>22</v>
      </c>
      <c r="C561" s="21">
        <v>4</v>
      </c>
      <c r="D561" s="21">
        <v>64</v>
      </c>
      <c r="E561" s="21">
        <v>16</v>
      </c>
      <c r="F561" s="21"/>
    </row>
    <row r="562" spans="1:6" x14ac:dyDescent="0.25">
      <c r="A562" s="21" t="s">
        <v>629</v>
      </c>
      <c r="B562" s="21" t="s">
        <v>22</v>
      </c>
      <c r="C562" s="21">
        <v>0</v>
      </c>
      <c r="D562" s="52">
        <v>0</v>
      </c>
      <c r="E562" s="21"/>
      <c r="F562" s="21"/>
    </row>
    <row r="563" spans="1:6" x14ac:dyDescent="0.25">
      <c r="A563" s="21" t="s">
        <v>630</v>
      </c>
      <c r="B563" s="21" t="s">
        <v>22</v>
      </c>
      <c r="C563" s="21">
        <v>20</v>
      </c>
      <c r="D563" s="21">
        <v>600</v>
      </c>
      <c r="E563" s="21">
        <v>30</v>
      </c>
      <c r="F563" s="21"/>
    </row>
    <row r="564" spans="1:6" x14ac:dyDescent="0.25">
      <c r="A564" s="21" t="s">
        <v>631</v>
      </c>
      <c r="B564" s="21" t="s">
        <v>22</v>
      </c>
      <c r="C564" s="21">
        <v>0</v>
      </c>
      <c r="D564" s="52">
        <v>0</v>
      </c>
      <c r="E564" s="21"/>
      <c r="F564" s="21"/>
    </row>
    <row r="565" spans="1:6" x14ac:dyDescent="0.25">
      <c r="A565" s="21" t="s">
        <v>632</v>
      </c>
      <c r="B565" s="21" t="s">
        <v>22</v>
      </c>
      <c r="C565" s="21">
        <v>0</v>
      </c>
      <c r="D565" s="52">
        <v>0</v>
      </c>
      <c r="E565" s="21"/>
      <c r="F565" s="21"/>
    </row>
    <row r="566" spans="1:6" x14ac:dyDescent="0.25">
      <c r="A566" s="21" t="s">
        <v>633</v>
      </c>
      <c r="B566" s="21" t="s">
        <v>22</v>
      </c>
      <c r="C566" s="21">
        <v>0</v>
      </c>
      <c r="D566" s="52">
        <v>0</v>
      </c>
      <c r="E566" s="21"/>
      <c r="F566" s="21"/>
    </row>
    <row r="567" spans="1:6" x14ac:dyDescent="0.25">
      <c r="A567" s="21" t="s">
        <v>634</v>
      </c>
      <c r="B567" s="21" t="s">
        <v>22</v>
      </c>
      <c r="C567" s="21">
        <v>0</v>
      </c>
      <c r="D567" s="52">
        <v>0</v>
      </c>
      <c r="E567" s="21"/>
      <c r="F567" s="21"/>
    </row>
    <row r="568" spans="1:6" x14ac:dyDescent="0.25">
      <c r="A568" s="21" t="s">
        <v>635</v>
      </c>
      <c r="B568" s="21" t="s">
        <v>22</v>
      </c>
      <c r="C568" s="21">
        <v>50</v>
      </c>
      <c r="D568" s="21">
        <v>1250</v>
      </c>
      <c r="E568" s="21">
        <v>25</v>
      </c>
      <c r="F568" s="21"/>
    </row>
    <row r="569" spans="1:6" x14ac:dyDescent="0.25">
      <c r="A569" s="21" t="s">
        <v>636</v>
      </c>
      <c r="B569" s="21" t="s">
        <v>22</v>
      </c>
      <c r="C569" s="21">
        <v>72</v>
      </c>
      <c r="D569" s="21">
        <v>1440</v>
      </c>
      <c r="E569" s="21">
        <v>20</v>
      </c>
      <c r="F569" s="21"/>
    </row>
    <row r="570" spans="1:6" x14ac:dyDescent="0.25">
      <c r="A570" s="21" t="s">
        <v>637</v>
      </c>
      <c r="B570" s="21" t="s">
        <v>22</v>
      </c>
      <c r="C570" s="21">
        <v>12</v>
      </c>
      <c r="D570" s="21">
        <v>288</v>
      </c>
      <c r="E570" s="21">
        <v>24</v>
      </c>
      <c r="F570" s="21"/>
    </row>
    <row r="571" spans="1:6" x14ac:dyDescent="0.25">
      <c r="A571" s="21" t="s">
        <v>638</v>
      </c>
      <c r="B571" s="21" t="s">
        <v>22</v>
      </c>
      <c r="C571" s="21">
        <v>12</v>
      </c>
      <c r="D571" s="21">
        <v>300</v>
      </c>
      <c r="E571" s="21">
        <v>25</v>
      </c>
      <c r="F571" s="21"/>
    </row>
    <row r="572" spans="1:6" x14ac:dyDescent="0.25">
      <c r="A572" s="21" t="s">
        <v>639</v>
      </c>
      <c r="B572" s="21" t="s">
        <v>22</v>
      </c>
      <c r="C572" s="21">
        <v>100</v>
      </c>
      <c r="D572" s="21">
        <v>2400</v>
      </c>
      <c r="E572" s="21">
        <v>24</v>
      </c>
      <c r="F572" s="21"/>
    </row>
    <row r="573" spans="1:6" x14ac:dyDescent="0.25">
      <c r="A573" s="21" t="s">
        <v>640</v>
      </c>
      <c r="B573" s="21" t="s">
        <v>22</v>
      </c>
      <c r="C573" s="21">
        <v>1</v>
      </c>
      <c r="D573" s="21">
        <v>4</v>
      </c>
      <c r="E573" s="21">
        <v>4</v>
      </c>
      <c r="F573" s="21"/>
    </row>
    <row r="574" spans="1:6" x14ac:dyDescent="0.25">
      <c r="A574" s="21" t="s">
        <v>641</v>
      </c>
      <c r="B574" s="21" t="s">
        <v>22</v>
      </c>
      <c r="C574" s="21">
        <v>10</v>
      </c>
      <c r="D574" s="21">
        <v>420</v>
      </c>
      <c r="E574" s="21">
        <v>42</v>
      </c>
      <c r="F574" s="21"/>
    </row>
    <row r="575" spans="1:6" x14ac:dyDescent="0.25">
      <c r="A575" s="21" t="s">
        <v>642</v>
      </c>
      <c r="B575" s="21" t="s">
        <v>22</v>
      </c>
      <c r="C575" s="21">
        <v>20</v>
      </c>
      <c r="D575" s="21">
        <v>840</v>
      </c>
      <c r="E575" s="21">
        <v>42</v>
      </c>
      <c r="F575" s="21"/>
    </row>
    <row r="576" spans="1:6" x14ac:dyDescent="0.25">
      <c r="A576" s="21" t="s">
        <v>643</v>
      </c>
      <c r="B576" s="21" t="s">
        <v>22</v>
      </c>
      <c r="C576" s="21">
        <v>40</v>
      </c>
      <c r="D576" s="21">
        <v>2400</v>
      </c>
      <c r="E576" s="21">
        <v>60</v>
      </c>
      <c r="F576" s="21"/>
    </row>
    <row r="577" spans="1:6" x14ac:dyDescent="0.25">
      <c r="A577" s="21" t="s">
        <v>644</v>
      </c>
      <c r="B577" s="21" t="s">
        <v>22</v>
      </c>
      <c r="C577" s="21">
        <v>20</v>
      </c>
      <c r="D577" s="21">
        <v>840</v>
      </c>
      <c r="E577" s="21">
        <v>42</v>
      </c>
      <c r="F577" s="21"/>
    </row>
    <row r="578" spans="1:6" x14ac:dyDescent="0.25">
      <c r="A578" s="21" t="s">
        <v>645</v>
      </c>
      <c r="B578" s="21" t="s">
        <v>22</v>
      </c>
      <c r="C578" s="21">
        <v>30</v>
      </c>
      <c r="D578" s="21">
        <v>1260</v>
      </c>
      <c r="E578" s="21">
        <v>42</v>
      </c>
      <c r="F578" s="21"/>
    </row>
    <row r="579" spans="1:6" x14ac:dyDescent="0.25">
      <c r="A579" s="21" t="s">
        <v>646</v>
      </c>
      <c r="B579" s="21" t="s">
        <v>22</v>
      </c>
      <c r="C579" s="21">
        <v>2000</v>
      </c>
      <c r="D579" s="21">
        <v>100000</v>
      </c>
      <c r="E579" s="21">
        <v>50</v>
      </c>
      <c r="F579" s="21"/>
    </row>
    <row r="580" spans="1:6" x14ac:dyDescent="0.25">
      <c r="A580" s="21" t="s">
        <v>647</v>
      </c>
      <c r="B580" s="21" t="s">
        <v>22</v>
      </c>
      <c r="C580" s="21">
        <v>0</v>
      </c>
      <c r="D580" s="52">
        <v>0</v>
      </c>
      <c r="E580" s="21"/>
      <c r="F580" s="21"/>
    </row>
    <row r="581" spans="1:6" x14ac:dyDescent="0.25">
      <c r="A581" s="21" t="s">
        <v>648</v>
      </c>
      <c r="B581" s="21" t="s">
        <v>22</v>
      </c>
      <c r="C581" s="21">
        <v>0</v>
      </c>
      <c r="D581" s="52">
        <v>0</v>
      </c>
      <c r="E581" s="21"/>
      <c r="F581" s="21"/>
    </row>
    <row r="582" spans="1:6" x14ac:dyDescent="0.25">
      <c r="A582" s="21" t="s">
        <v>649</v>
      </c>
      <c r="B582" s="21" t="s">
        <v>22</v>
      </c>
      <c r="C582" s="21">
        <v>10</v>
      </c>
      <c r="D582" s="21">
        <v>200</v>
      </c>
      <c r="E582" s="21">
        <v>20</v>
      </c>
      <c r="F582" s="21"/>
    </row>
    <row r="583" spans="1:6" x14ac:dyDescent="0.25">
      <c r="A583" s="21" t="s">
        <v>650</v>
      </c>
      <c r="B583" s="21" t="s">
        <v>22</v>
      </c>
      <c r="C583" s="21">
        <v>10</v>
      </c>
      <c r="D583" s="21">
        <v>200</v>
      </c>
      <c r="E583" s="21">
        <v>20</v>
      </c>
      <c r="F583" s="21"/>
    </row>
    <row r="584" spans="1:6" x14ac:dyDescent="0.25">
      <c r="A584" s="21" t="s">
        <v>651</v>
      </c>
      <c r="B584" s="21" t="s">
        <v>22</v>
      </c>
      <c r="C584" s="21">
        <v>10</v>
      </c>
      <c r="D584" s="21">
        <v>450</v>
      </c>
      <c r="E584" s="21">
        <v>45</v>
      </c>
      <c r="F584" s="21"/>
    </row>
    <row r="585" spans="1:6" x14ac:dyDescent="0.25">
      <c r="A585" s="21" t="s">
        <v>652</v>
      </c>
      <c r="B585" s="21" t="s">
        <v>22</v>
      </c>
      <c r="C585" s="21">
        <v>12</v>
      </c>
      <c r="D585" s="21">
        <v>144</v>
      </c>
      <c r="E585" s="21">
        <v>12</v>
      </c>
      <c r="F585" s="21"/>
    </row>
    <row r="586" spans="1:6" x14ac:dyDescent="0.25">
      <c r="A586" s="21" t="s">
        <v>653</v>
      </c>
      <c r="B586" s="21" t="s">
        <v>22</v>
      </c>
      <c r="C586" s="21">
        <v>6</v>
      </c>
      <c r="D586" s="21">
        <v>108</v>
      </c>
      <c r="E586" s="21">
        <v>18</v>
      </c>
      <c r="F586" s="21"/>
    </row>
    <row r="587" spans="1:6" x14ac:dyDescent="0.25">
      <c r="A587" s="21" t="s">
        <v>654</v>
      </c>
      <c r="B587" s="21" t="s">
        <v>22</v>
      </c>
      <c r="C587" s="21">
        <v>4</v>
      </c>
      <c r="D587" s="21">
        <v>32</v>
      </c>
      <c r="E587" s="21">
        <v>8</v>
      </c>
      <c r="F587" s="21"/>
    </row>
    <row r="588" spans="1:6" x14ac:dyDescent="0.25">
      <c r="A588" s="21" t="s">
        <v>655</v>
      </c>
      <c r="B588" s="21" t="s">
        <v>22</v>
      </c>
      <c r="C588" s="21">
        <v>4</v>
      </c>
      <c r="D588" s="21">
        <v>72</v>
      </c>
      <c r="E588" s="21">
        <v>18</v>
      </c>
      <c r="F588" s="21"/>
    </row>
    <row r="589" spans="1:6" x14ac:dyDescent="0.25">
      <c r="A589" s="21" t="s">
        <v>656</v>
      </c>
      <c r="B589" s="21" t="s">
        <v>22</v>
      </c>
      <c r="C589" s="21">
        <v>6</v>
      </c>
      <c r="D589" s="21">
        <v>108</v>
      </c>
      <c r="E589" s="21">
        <v>18</v>
      </c>
      <c r="F589" s="21"/>
    </row>
    <row r="590" spans="1:6" x14ac:dyDescent="0.25">
      <c r="A590" s="21" t="s">
        <v>657</v>
      </c>
      <c r="B590" s="21" t="s">
        <v>22</v>
      </c>
      <c r="C590" s="21">
        <v>50</v>
      </c>
      <c r="D590" s="21">
        <v>600</v>
      </c>
      <c r="E590" s="21">
        <v>12</v>
      </c>
      <c r="F590" s="21"/>
    </row>
    <row r="591" spans="1:6" x14ac:dyDescent="0.25">
      <c r="A591" s="21" t="s">
        <v>658</v>
      </c>
      <c r="B591" s="21" t="s">
        <v>22</v>
      </c>
      <c r="C591" s="21">
        <v>50</v>
      </c>
      <c r="D591" s="21">
        <v>600</v>
      </c>
      <c r="E591" s="21">
        <v>12</v>
      </c>
      <c r="F591" s="21"/>
    </row>
    <row r="592" spans="1:6" x14ac:dyDescent="0.25">
      <c r="A592" s="21" t="s">
        <v>659</v>
      </c>
      <c r="B592" s="21" t="s">
        <v>22</v>
      </c>
      <c r="C592" s="21">
        <v>20</v>
      </c>
      <c r="D592" s="21">
        <v>180</v>
      </c>
      <c r="E592" s="21">
        <v>9</v>
      </c>
      <c r="F592" s="21"/>
    </row>
    <row r="593" spans="1:6" x14ac:dyDescent="0.25">
      <c r="A593" s="21" t="s">
        <v>660</v>
      </c>
      <c r="B593" s="21" t="s">
        <v>22</v>
      </c>
      <c r="C593" s="21">
        <v>48</v>
      </c>
      <c r="D593" s="21">
        <v>576</v>
      </c>
      <c r="E593" s="21">
        <v>12</v>
      </c>
      <c r="F593" s="21"/>
    </row>
    <row r="594" spans="1:6" x14ac:dyDescent="0.25">
      <c r="A594" s="21" t="s">
        <v>661</v>
      </c>
      <c r="B594" s="21" t="s">
        <v>22</v>
      </c>
      <c r="C594" s="21">
        <v>27</v>
      </c>
      <c r="D594" s="21">
        <v>324</v>
      </c>
      <c r="E594" s="21">
        <v>12</v>
      </c>
      <c r="F594" s="21"/>
    </row>
    <row r="595" spans="1:6" x14ac:dyDescent="0.25">
      <c r="A595" s="21" t="s">
        <v>662</v>
      </c>
      <c r="B595" s="21" t="s">
        <v>22</v>
      </c>
      <c r="C595" s="21">
        <v>18</v>
      </c>
      <c r="D595" s="21">
        <v>288</v>
      </c>
      <c r="E595" s="21">
        <v>16</v>
      </c>
      <c r="F595" s="21"/>
    </row>
    <row r="596" spans="1:6" x14ac:dyDescent="0.25">
      <c r="A596" s="21" t="s">
        <v>663</v>
      </c>
      <c r="B596" s="21" t="s">
        <v>22</v>
      </c>
      <c r="C596" s="21">
        <v>40</v>
      </c>
      <c r="D596" s="21">
        <v>800</v>
      </c>
      <c r="E596" s="21">
        <v>20</v>
      </c>
      <c r="F596" s="21"/>
    </row>
    <row r="597" spans="1:6" x14ac:dyDescent="0.25">
      <c r="A597" s="21" t="s">
        <v>664</v>
      </c>
      <c r="B597" s="21" t="s">
        <v>22</v>
      </c>
      <c r="C597" s="21">
        <v>40</v>
      </c>
      <c r="D597" s="21">
        <v>800</v>
      </c>
      <c r="E597" s="21">
        <v>20</v>
      </c>
      <c r="F597" s="21"/>
    </row>
    <row r="598" spans="1:6" x14ac:dyDescent="0.25">
      <c r="A598" s="21" t="s">
        <v>665</v>
      </c>
      <c r="B598" s="21" t="s">
        <v>22</v>
      </c>
      <c r="C598" s="21">
        <v>40</v>
      </c>
      <c r="D598" s="21">
        <v>800</v>
      </c>
      <c r="E598" s="21">
        <v>20</v>
      </c>
      <c r="F598" s="21"/>
    </row>
    <row r="599" spans="1:6" x14ac:dyDescent="0.25">
      <c r="A599" s="21" t="s">
        <v>666</v>
      </c>
      <c r="B599" s="21" t="s">
        <v>22</v>
      </c>
      <c r="C599" s="21">
        <v>40</v>
      </c>
      <c r="D599" s="21">
        <v>800</v>
      </c>
      <c r="E599" s="21">
        <v>20</v>
      </c>
      <c r="F599" s="21"/>
    </row>
    <row r="600" spans="1:6" x14ac:dyDescent="0.25">
      <c r="A600" s="21" t="s">
        <v>667</v>
      </c>
      <c r="B600" s="21" t="s">
        <v>22</v>
      </c>
      <c r="C600" s="21">
        <v>40</v>
      </c>
      <c r="D600" s="21">
        <v>800</v>
      </c>
      <c r="E600" s="21">
        <v>20</v>
      </c>
      <c r="F600" s="21"/>
    </row>
    <row r="601" spans="1:6" x14ac:dyDescent="0.25">
      <c r="A601" s="21" t="s">
        <v>668</v>
      </c>
      <c r="B601" s="21" t="s">
        <v>22</v>
      </c>
      <c r="C601" s="21">
        <v>40</v>
      </c>
      <c r="D601" s="21">
        <v>800</v>
      </c>
      <c r="E601" s="21">
        <v>20</v>
      </c>
      <c r="F601" s="21"/>
    </row>
    <row r="602" spans="1:6" x14ac:dyDescent="0.25">
      <c r="A602" s="21" t="s">
        <v>669</v>
      </c>
      <c r="B602" s="21" t="s">
        <v>22</v>
      </c>
      <c r="C602" s="21">
        <v>20</v>
      </c>
      <c r="D602" s="21">
        <v>1200</v>
      </c>
      <c r="E602" s="21">
        <v>60</v>
      </c>
      <c r="F602" s="21"/>
    </row>
    <row r="603" spans="1:6" x14ac:dyDescent="0.25">
      <c r="A603" s="21" t="s">
        <v>670</v>
      </c>
      <c r="B603" s="21" t="s">
        <v>22</v>
      </c>
      <c r="C603" s="21">
        <v>20</v>
      </c>
      <c r="D603" s="21">
        <v>1200</v>
      </c>
      <c r="E603" s="21">
        <v>60</v>
      </c>
      <c r="F603" s="21"/>
    </row>
    <row r="604" spans="1:6" x14ac:dyDescent="0.25">
      <c r="A604" s="21" t="s">
        <v>671</v>
      </c>
      <c r="B604" s="21" t="s">
        <v>22</v>
      </c>
      <c r="C604" s="21">
        <v>40</v>
      </c>
      <c r="D604" s="21">
        <v>2800</v>
      </c>
      <c r="E604" s="21">
        <v>70</v>
      </c>
      <c r="F604" s="21"/>
    </row>
    <row r="605" spans="1:6" x14ac:dyDescent="0.25">
      <c r="A605" s="21" t="s">
        <v>672</v>
      </c>
      <c r="B605" s="21" t="s">
        <v>22</v>
      </c>
      <c r="C605" s="21">
        <v>40</v>
      </c>
      <c r="D605" s="21">
        <v>2800</v>
      </c>
      <c r="E605" s="21">
        <v>70</v>
      </c>
      <c r="F605" s="21"/>
    </row>
    <row r="606" spans="1:6" x14ac:dyDescent="0.25">
      <c r="A606" s="21" t="s">
        <v>673</v>
      </c>
      <c r="B606" s="21" t="s">
        <v>22</v>
      </c>
      <c r="C606" s="21">
        <v>40</v>
      </c>
      <c r="D606" s="21">
        <v>2800</v>
      </c>
      <c r="E606" s="21">
        <v>70</v>
      </c>
      <c r="F606" s="21"/>
    </row>
    <row r="607" spans="1:6" x14ac:dyDescent="0.25">
      <c r="A607" s="21" t="s">
        <v>674</v>
      </c>
      <c r="B607" s="21" t="s">
        <v>22</v>
      </c>
      <c r="C607" s="21">
        <v>40</v>
      </c>
      <c r="D607" s="21">
        <v>2800</v>
      </c>
      <c r="E607" s="21">
        <v>70</v>
      </c>
      <c r="F607" s="21"/>
    </row>
    <row r="608" spans="1:6" x14ac:dyDescent="0.25">
      <c r="A608" s="21" t="s">
        <v>675</v>
      </c>
      <c r="B608" s="21" t="s">
        <v>22</v>
      </c>
      <c r="C608" s="21">
        <v>40</v>
      </c>
      <c r="D608" s="21">
        <v>2800</v>
      </c>
      <c r="E608" s="21">
        <v>70</v>
      </c>
      <c r="F608" s="21"/>
    </row>
    <row r="609" spans="1:6" x14ac:dyDescent="0.25">
      <c r="A609" s="21" t="s">
        <v>676</v>
      </c>
      <c r="B609" s="21" t="s">
        <v>22</v>
      </c>
      <c r="C609" s="21">
        <v>40</v>
      </c>
      <c r="D609" s="21">
        <v>2800</v>
      </c>
      <c r="E609" s="21">
        <v>70</v>
      </c>
      <c r="F609" s="21"/>
    </row>
    <row r="610" spans="1:6" x14ac:dyDescent="0.25">
      <c r="A610" s="21" t="s">
        <v>677</v>
      </c>
      <c r="B610" s="21" t="s">
        <v>22</v>
      </c>
      <c r="C610" s="21">
        <v>24</v>
      </c>
      <c r="D610" s="21">
        <v>1440</v>
      </c>
      <c r="E610" s="21">
        <v>60</v>
      </c>
      <c r="F610" s="21"/>
    </row>
    <row r="611" spans="1:6" x14ac:dyDescent="0.25">
      <c r="A611" s="21" t="s">
        <v>678</v>
      </c>
      <c r="B611" s="21" t="s">
        <v>22</v>
      </c>
      <c r="C611" s="21">
        <v>24</v>
      </c>
      <c r="D611" s="21">
        <v>1440</v>
      </c>
      <c r="E611" s="21">
        <v>60</v>
      </c>
      <c r="F611" s="21"/>
    </row>
    <row r="612" spans="1:6" x14ac:dyDescent="0.25">
      <c r="A612" s="21" t="s">
        <v>679</v>
      </c>
      <c r="B612" s="21" t="s">
        <v>22</v>
      </c>
      <c r="C612" s="21">
        <v>40</v>
      </c>
      <c r="D612" s="21">
        <v>2800</v>
      </c>
      <c r="E612" s="21">
        <v>70</v>
      </c>
      <c r="F612" s="21"/>
    </row>
    <row r="613" spans="1:6" x14ac:dyDescent="0.25">
      <c r="A613" s="21" t="s">
        <v>680</v>
      </c>
      <c r="B613" s="21" t="s">
        <v>22</v>
      </c>
      <c r="C613" s="21">
        <v>40</v>
      </c>
      <c r="D613" s="21">
        <v>2800</v>
      </c>
      <c r="E613" s="21">
        <v>70</v>
      </c>
      <c r="F613" s="21"/>
    </row>
    <row r="614" spans="1:6" x14ac:dyDescent="0.25">
      <c r="A614" s="21" t="s">
        <v>681</v>
      </c>
      <c r="B614" s="21" t="s">
        <v>22</v>
      </c>
      <c r="C614" s="21">
        <v>40</v>
      </c>
      <c r="D614" s="21">
        <v>2800</v>
      </c>
      <c r="E614" s="21">
        <v>70</v>
      </c>
      <c r="F614" s="21"/>
    </row>
    <row r="615" spans="1:6" x14ac:dyDescent="0.25">
      <c r="A615" s="21" t="s">
        <v>682</v>
      </c>
      <c r="B615" s="21" t="s">
        <v>22</v>
      </c>
      <c r="C615" s="21">
        <v>40</v>
      </c>
      <c r="D615" s="21">
        <v>2800</v>
      </c>
      <c r="E615" s="21">
        <v>70</v>
      </c>
      <c r="F615" s="21"/>
    </row>
    <row r="616" spans="1:6" x14ac:dyDescent="0.25">
      <c r="A616" s="21" t="s">
        <v>683</v>
      </c>
      <c r="B616" s="21" t="s">
        <v>22</v>
      </c>
      <c r="C616" s="21">
        <v>40</v>
      </c>
      <c r="D616" s="21">
        <v>2800</v>
      </c>
      <c r="E616" s="21">
        <v>70</v>
      </c>
      <c r="F616" s="21"/>
    </row>
    <row r="617" spans="1:6" x14ac:dyDescent="0.25">
      <c r="A617" s="21" t="s">
        <v>684</v>
      </c>
      <c r="B617" s="21" t="s">
        <v>22</v>
      </c>
      <c r="C617" s="21">
        <v>40</v>
      </c>
      <c r="D617" s="21">
        <v>2800</v>
      </c>
      <c r="E617" s="21">
        <v>70</v>
      </c>
      <c r="F617" s="21"/>
    </row>
    <row r="618" spans="1:6" x14ac:dyDescent="0.25">
      <c r="A618" s="21" t="s">
        <v>685</v>
      </c>
      <c r="B618" s="21" t="s">
        <v>22</v>
      </c>
      <c r="C618" s="21">
        <v>12</v>
      </c>
      <c r="D618" s="21">
        <v>216</v>
      </c>
      <c r="E618" s="21">
        <v>18</v>
      </c>
      <c r="F618" s="21"/>
    </row>
    <row r="619" spans="1:6" x14ac:dyDescent="0.25">
      <c r="A619" s="21" t="s">
        <v>686</v>
      </c>
      <c r="B619" s="21" t="s">
        <v>22</v>
      </c>
      <c r="C619" s="21">
        <v>12</v>
      </c>
      <c r="D619" s="21">
        <v>216</v>
      </c>
      <c r="E619" s="21">
        <v>18</v>
      </c>
      <c r="F619" s="21"/>
    </row>
    <row r="620" spans="1:6" x14ac:dyDescent="0.25">
      <c r="A620" s="21" t="s">
        <v>687</v>
      </c>
      <c r="B620" s="21" t="s">
        <v>22</v>
      </c>
      <c r="C620" s="21">
        <v>12</v>
      </c>
      <c r="D620" s="21">
        <v>216</v>
      </c>
      <c r="E620" s="21">
        <v>18</v>
      </c>
      <c r="F620" s="21"/>
    </row>
    <row r="621" spans="1:6" x14ac:dyDescent="0.25">
      <c r="A621" s="21" t="s">
        <v>688</v>
      </c>
      <c r="B621" s="21" t="s">
        <v>22</v>
      </c>
      <c r="C621" s="21">
        <v>8</v>
      </c>
      <c r="D621" s="21">
        <v>96</v>
      </c>
      <c r="E621" s="21">
        <v>12</v>
      </c>
      <c r="F621" s="21"/>
    </row>
    <row r="622" spans="1:6" x14ac:dyDescent="0.25">
      <c r="A622" s="21" t="s">
        <v>689</v>
      </c>
      <c r="B622" s="21" t="s">
        <v>22</v>
      </c>
      <c r="C622" s="21">
        <v>8</v>
      </c>
      <c r="D622" s="21">
        <v>96</v>
      </c>
      <c r="E622" s="21">
        <v>12</v>
      </c>
      <c r="F622" s="21"/>
    </row>
    <row r="623" spans="1:6" x14ac:dyDescent="0.25">
      <c r="A623" s="21" t="s">
        <v>690</v>
      </c>
      <c r="B623" s="21" t="s">
        <v>22</v>
      </c>
      <c r="C623" s="21">
        <v>8</v>
      </c>
      <c r="D623" s="21">
        <v>96</v>
      </c>
      <c r="E623" s="21">
        <v>12</v>
      </c>
      <c r="F623" s="21"/>
    </row>
    <row r="624" spans="1:6" x14ac:dyDescent="0.25">
      <c r="A624" s="21" t="s">
        <v>691</v>
      </c>
      <c r="B624" s="21" t="s">
        <v>22</v>
      </c>
      <c r="C624" s="21">
        <v>20</v>
      </c>
      <c r="D624" s="21">
        <v>1040</v>
      </c>
      <c r="E624" s="21">
        <v>52</v>
      </c>
      <c r="F624" s="21"/>
    </row>
    <row r="625" spans="1:6" x14ac:dyDescent="0.25">
      <c r="A625" s="21" t="s">
        <v>692</v>
      </c>
      <c r="B625" s="21" t="s">
        <v>22</v>
      </c>
      <c r="C625" s="21">
        <v>20</v>
      </c>
      <c r="D625" s="21">
        <v>1040</v>
      </c>
      <c r="E625" s="21">
        <v>52</v>
      </c>
      <c r="F625" s="21"/>
    </row>
    <row r="626" spans="1:6" x14ac:dyDescent="0.25">
      <c r="A626" s="21" t="s">
        <v>693</v>
      </c>
      <c r="B626" s="21" t="s">
        <v>22</v>
      </c>
      <c r="C626" s="21">
        <v>20</v>
      </c>
      <c r="D626" s="21">
        <v>1040</v>
      </c>
      <c r="E626" s="21">
        <v>52</v>
      </c>
      <c r="F626" s="21"/>
    </row>
    <row r="627" spans="1:6" x14ac:dyDescent="0.25">
      <c r="A627" s="21" t="s">
        <v>694</v>
      </c>
      <c r="B627" s="21" t="s">
        <v>22</v>
      </c>
      <c r="C627" s="21">
        <v>20</v>
      </c>
      <c r="D627" s="21">
        <v>1040</v>
      </c>
      <c r="E627" s="21">
        <v>52</v>
      </c>
      <c r="F627" s="21"/>
    </row>
    <row r="628" spans="1:6" x14ac:dyDescent="0.25">
      <c r="A628" s="21" t="s">
        <v>695</v>
      </c>
      <c r="B628" s="21" t="s">
        <v>22</v>
      </c>
      <c r="C628" s="21">
        <v>20</v>
      </c>
      <c r="D628" s="21">
        <v>1040</v>
      </c>
      <c r="E628" s="21">
        <v>52</v>
      </c>
      <c r="F628" s="21"/>
    </row>
    <row r="629" spans="1:6" x14ac:dyDescent="0.25">
      <c r="A629" s="21" t="s">
        <v>696</v>
      </c>
      <c r="B629" s="21" t="s">
        <v>22</v>
      </c>
      <c r="C629" s="21">
        <v>20</v>
      </c>
      <c r="D629" s="21">
        <v>1040</v>
      </c>
      <c r="E629" s="21">
        <v>52</v>
      </c>
      <c r="F629" s="21"/>
    </row>
    <row r="630" spans="1:6" x14ac:dyDescent="0.25">
      <c r="A630" s="21" t="s">
        <v>697</v>
      </c>
      <c r="B630" s="21" t="s">
        <v>22</v>
      </c>
      <c r="C630" s="21">
        <v>20</v>
      </c>
      <c r="D630" s="21">
        <v>1040</v>
      </c>
      <c r="E630" s="21">
        <v>52</v>
      </c>
      <c r="F630" s="21"/>
    </row>
    <row r="631" spans="1:6" x14ac:dyDescent="0.25">
      <c r="A631" s="21" t="s">
        <v>698</v>
      </c>
      <c r="B631" s="21" t="s">
        <v>22</v>
      </c>
      <c r="C631" s="21">
        <v>20</v>
      </c>
      <c r="D631" s="21">
        <v>1040</v>
      </c>
      <c r="E631" s="21">
        <v>52</v>
      </c>
      <c r="F631" s="21"/>
    </row>
    <row r="632" spans="1:6" x14ac:dyDescent="0.25">
      <c r="A632" s="21" t="s">
        <v>699</v>
      </c>
      <c r="B632" s="21" t="s">
        <v>22</v>
      </c>
      <c r="C632" s="21">
        <v>20</v>
      </c>
      <c r="D632" s="21">
        <v>1040</v>
      </c>
      <c r="E632" s="21">
        <v>52</v>
      </c>
      <c r="F632" s="21"/>
    </row>
    <row r="633" spans="1:6" x14ac:dyDescent="0.25">
      <c r="A633" s="21" t="s">
        <v>700</v>
      </c>
      <c r="B633" s="21" t="s">
        <v>22</v>
      </c>
      <c r="C633" s="21">
        <v>20</v>
      </c>
      <c r="D633" s="21">
        <v>1040</v>
      </c>
      <c r="E633" s="21">
        <v>52</v>
      </c>
      <c r="F633" s="21"/>
    </row>
    <row r="634" spans="1:6" x14ac:dyDescent="0.25">
      <c r="A634" s="21" t="s">
        <v>701</v>
      </c>
      <c r="B634" s="21" t="s">
        <v>22</v>
      </c>
      <c r="C634" s="21">
        <v>20</v>
      </c>
      <c r="D634" s="21">
        <v>1040</v>
      </c>
      <c r="E634" s="21">
        <v>52</v>
      </c>
      <c r="F634" s="21"/>
    </row>
    <row r="635" spans="1:6" x14ac:dyDescent="0.25">
      <c r="A635" s="21" t="s">
        <v>702</v>
      </c>
      <c r="B635" s="21" t="s">
        <v>22</v>
      </c>
      <c r="C635" s="21">
        <v>20</v>
      </c>
      <c r="D635" s="21">
        <v>1040</v>
      </c>
      <c r="E635" s="21">
        <v>52</v>
      </c>
      <c r="F635" s="21"/>
    </row>
    <row r="636" spans="1:6" x14ac:dyDescent="0.25">
      <c r="A636" s="21" t="s">
        <v>703</v>
      </c>
      <c r="B636" s="21" t="s">
        <v>22</v>
      </c>
      <c r="C636" s="21">
        <v>20</v>
      </c>
      <c r="D636" s="21">
        <v>1040</v>
      </c>
      <c r="E636" s="21">
        <v>52</v>
      </c>
      <c r="F636" s="21"/>
    </row>
    <row r="637" spans="1:6" x14ac:dyDescent="0.25">
      <c r="A637" s="21" t="s">
        <v>704</v>
      </c>
      <c r="B637" s="21" t="s">
        <v>22</v>
      </c>
      <c r="C637" s="21">
        <v>20</v>
      </c>
      <c r="D637" s="21">
        <v>1040</v>
      </c>
      <c r="E637" s="21">
        <v>52</v>
      </c>
      <c r="F637" s="21"/>
    </row>
    <row r="638" spans="1:6" x14ac:dyDescent="0.25">
      <c r="A638" s="21" t="s">
        <v>705</v>
      </c>
      <c r="B638" s="21" t="s">
        <v>22</v>
      </c>
      <c r="C638" s="21">
        <v>20</v>
      </c>
      <c r="D638" s="21">
        <v>1040</v>
      </c>
      <c r="E638" s="21">
        <v>52</v>
      </c>
      <c r="F638" s="21"/>
    </row>
    <row r="639" spans="1:6" x14ac:dyDescent="0.25">
      <c r="A639" s="21" t="s">
        <v>706</v>
      </c>
      <c r="B639" s="21" t="s">
        <v>22</v>
      </c>
      <c r="C639" s="21">
        <v>20</v>
      </c>
      <c r="D639" s="21">
        <v>1200</v>
      </c>
      <c r="E639" s="21">
        <v>60</v>
      </c>
      <c r="F639" s="21"/>
    </row>
    <row r="640" spans="1:6" x14ac:dyDescent="0.25">
      <c r="A640" s="21" t="s">
        <v>707</v>
      </c>
      <c r="B640" s="21" t="s">
        <v>22</v>
      </c>
      <c r="C640" s="21">
        <v>20</v>
      </c>
      <c r="D640" s="21">
        <v>1200</v>
      </c>
      <c r="E640" s="21">
        <v>60</v>
      </c>
      <c r="F640" s="21"/>
    </row>
    <row r="641" spans="1:6" x14ac:dyDescent="0.25">
      <c r="A641" s="21" t="s">
        <v>708</v>
      </c>
      <c r="B641" s="21" t="s">
        <v>22</v>
      </c>
      <c r="C641" s="21">
        <v>20</v>
      </c>
      <c r="D641" s="21">
        <v>1200</v>
      </c>
      <c r="E641" s="21">
        <v>60</v>
      </c>
      <c r="F641" s="21"/>
    </row>
    <row r="642" spans="1:6" x14ac:dyDescent="0.25">
      <c r="A642" s="21" t="s">
        <v>709</v>
      </c>
      <c r="B642" s="21" t="s">
        <v>22</v>
      </c>
      <c r="C642" s="21">
        <v>20</v>
      </c>
      <c r="D642" s="21">
        <v>1200</v>
      </c>
      <c r="E642" s="21">
        <v>60</v>
      </c>
      <c r="F642" s="21"/>
    </row>
    <row r="643" spans="1:6" x14ac:dyDescent="0.25">
      <c r="A643" s="21" t="s">
        <v>710</v>
      </c>
      <c r="B643" s="21" t="s">
        <v>22</v>
      </c>
      <c r="C643" s="21">
        <v>20</v>
      </c>
      <c r="D643" s="21">
        <v>1200</v>
      </c>
      <c r="E643" s="21">
        <v>60</v>
      </c>
      <c r="F643" s="21"/>
    </row>
    <row r="644" spans="1:6" x14ac:dyDescent="0.25">
      <c r="A644" s="21" t="s">
        <v>711</v>
      </c>
      <c r="B644" s="21" t="s">
        <v>22</v>
      </c>
      <c r="C644" s="21">
        <v>20</v>
      </c>
      <c r="D644" s="21">
        <v>1200</v>
      </c>
      <c r="E644" s="21">
        <v>60</v>
      </c>
      <c r="F644" s="21"/>
    </row>
    <row r="645" spans="1:6" x14ac:dyDescent="0.25">
      <c r="A645" s="21" t="s">
        <v>712</v>
      </c>
      <c r="B645" s="21" t="s">
        <v>22</v>
      </c>
      <c r="C645" s="21">
        <v>20</v>
      </c>
      <c r="D645" s="21">
        <v>1200</v>
      </c>
      <c r="E645" s="21">
        <v>60</v>
      </c>
      <c r="F645" s="21"/>
    </row>
    <row r="646" spans="1:6" x14ac:dyDescent="0.25">
      <c r="A646" s="21" t="s">
        <v>713</v>
      </c>
      <c r="B646" s="21" t="s">
        <v>22</v>
      </c>
      <c r="C646" s="21">
        <v>40</v>
      </c>
      <c r="D646" s="21">
        <v>1600</v>
      </c>
      <c r="E646" s="21">
        <v>40</v>
      </c>
      <c r="F646" s="21"/>
    </row>
    <row r="647" spans="1:6" x14ac:dyDescent="0.25">
      <c r="A647" s="21" t="s">
        <v>714</v>
      </c>
      <c r="B647" s="21" t="s">
        <v>22</v>
      </c>
      <c r="C647" s="21">
        <v>40</v>
      </c>
      <c r="D647" s="21">
        <v>1600</v>
      </c>
      <c r="E647" s="21">
        <v>40</v>
      </c>
      <c r="F647" s="21"/>
    </row>
    <row r="648" spans="1:6" x14ac:dyDescent="0.25">
      <c r="A648" s="21" t="s">
        <v>715</v>
      </c>
      <c r="B648" s="21" t="s">
        <v>22</v>
      </c>
      <c r="C648" s="21">
        <v>40</v>
      </c>
      <c r="D648" s="21">
        <v>1600</v>
      </c>
      <c r="E648" s="21">
        <v>40</v>
      </c>
      <c r="F648" s="21"/>
    </row>
    <row r="649" spans="1:6" x14ac:dyDescent="0.25">
      <c r="A649" s="21" t="s">
        <v>716</v>
      </c>
      <c r="B649" s="21" t="s">
        <v>22</v>
      </c>
      <c r="C649" s="21">
        <v>40</v>
      </c>
      <c r="D649" s="21">
        <v>1600</v>
      </c>
      <c r="E649" s="21">
        <v>40</v>
      </c>
      <c r="F649" s="21"/>
    </row>
    <row r="650" spans="1:6" x14ac:dyDescent="0.25">
      <c r="A650" s="21" t="s">
        <v>717</v>
      </c>
      <c r="B650" s="21" t="s">
        <v>22</v>
      </c>
      <c r="C650" s="21">
        <v>40</v>
      </c>
      <c r="D650" s="21">
        <v>1600</v>
      </c>
      <c r="E650" s="21">
        <v>40</v>
      </c>
      <c r="F650" s="21"/>
    </row>
    <row r="651" spans="1:6" x14ac:dyDescent="0.25">
      <c r="A651" s="21" t="s">
        <v>718</v>
      </c>
      <c r="B651" s="21" t="s">
        <v>22</v>
      </c>
      <c r="C651" s="21">
        <v>40</v>
      </c>
      <c r="D651" s="21">
        <v>1600</v>
      </c>
      <c r="E651" s="21">
        <v>40</v>
      </c>
      <c r="F651" s="21"/>
    </row>
    <row r="652" spans="1:6" x14ac:dyDescent="0.25">
      <c r="A652" s="21" t="s">
        <v>719</v>
      </c>
      <c r="B652" s="21" t="s">
        <v>22</v>
      </c>
      <c r="C652" s="21">
        <v>40</v>
      </c>
      <c r="D652" s="21">
        <v>1600</v>
      </c>
      <c r="E652" s="21">
        <v>40</v>
      </c>
      <c r="F652" s="21"/>
    </row>
    <row r="653" spans="1:6" x14ac:dyDescent="0.25">
      <c r="A653" s="21" t="s">
        <v>720</v>
      </c>
      <c r="B653" s="21" t="s">
        <v>22</v>
      </c>
      <c r="C653" s="21">
        <v>30</v>
      </c>
      <c r="D653" s="21">
        <v>1500</v>
      </c>
      <c r="E653" s="21">
        <v>50</v>
      </c>
      <c r="F653" s="21"/>
    </row>
    <row r="654" spans="1:6" x14ac:dyDescent="0.25">
      <c r="A654" s="21" t="s">
        <v>721</v>
      </c>
      <c r="B654" s="21" t="s">
        <v>22</v>
      </c>
      <c r="C654" s="21">
        <v>30</v>
      </c>
      <c r="D654" s="21">
        <v>1500</v>
      </c>
      <c r="E654" s="21">
        <v>50</v>
      </c>
      <c r="F654" s="21"/>
    </row>
    <row r="655" spans="1:6" x14ac:dyDescent="0.25">
      <c r="A655" s="21" t="s">
        <v>722</v>
      </c>
      <c r="B655" s="21" t="s">
        <v>22</v>
      </c>
      <c r="C655" s="21">
        <v>30</v>
      </c>
      <c r="D655" s="21">
        <v>1500</v>
      </c>
      <c r="E655" s="21">
        <v>50</v>
      </c>
      <c r="F655" s="21"/>
    </row>
    <row r="656" spans="1:6" x14ac:dyDescent="0.25">
      <c r="A656" s="21" t="s">
        <v>723</v>
      </c>
      <c r="B656" s="21" t="s">
        <v>22</v>
      </c>
      <c r="C656" s="21">
        <v>30</v>
      </c>
      <c r="D656" s="21">
        <v>1500</v>
      </c>
      <c r="E656" s="21">
        <v>50</v>
      </c>
      <c r="F656" s="21"/>
    </row>
    <row r="657" spans="1:6" x14ac:dyDescent="0.25">
      <c r="A657" s="21" t="s">
        <v>724</v>
      </c>
      <c r="B657" s="21" t="s">
        <v>22</v>
      </c>
      <c r="C657" s="21">
        <v>30</v>
      </c>
      <c r="D657" s="21">
        <v>1500</v>
      </c>
      <c r="E657" s="21">
        <v>50</v>
      </c>
      <c r="F657" s="21"/>
    </row>
    <row r="658" spans="1:6" x14ac:dyDescent="0.25">
      <c r="A658" s="21" t="s">
        <v>725</v>
      </c>
      <c r="B658" s="21" t="s">
        <v>22</v>
      </c>
      <c r="C658" s="21">
        <v>30</v>
      </c>
      <c r="D658" s="21">
        <v>1500</v>
      </c>
      <c r="E658" s="21">
        <v>50</v>
      </c>
      <c r="F658" s="21"/>
    </row>
    <row r="659" spans="1:6" x14ac:dyDescent="0.25">
      <c r="A659" s="21" t="s">
        <v>726</v>
      </c>
      <c r="B659" s="21" t="s">
        <v>22</v>
      </c>
      <c r="C659" s="21">
        <v>30</v>
      </c>
      <c r="D659" s="21">
        <v>1500</v>
      </c>
      <c r="E659" s="21">
        <v>50</v>
      </c>
      <c r="F659" s="21"/>
    </row>
    <row r="660" spans="1:6" x14ac:dyDescent="0.25">
      <c r="A660" s="21" t="s">
        <v>727</v>
      </c>
      <c r="B660" s="21" t="s">
        <v>22</v>
      </c>
      <c r="C660" s="21">
        <v>30</v>
      </c>
      <c r="D660" s="21">
        <v>1500</v>
      </c>
      <c r="E660" s="21">
        <v>50</v>
      </c>
      <c r="F660" s="21"/>
    </row>
    <row r="661" spans="1:6" x14ac:dyDescent="0.25">
      <c r="A661" s="21" t="s">
        <v>728</v>
      </c>
      <c r="B661" s="21" t="s">
        <v>22</v>
      </c>
      <c r="C661" s="21">
        <v>30</v>
      </c>
      <c r="D661" s="21">
        <v>1500</v>
      </c>
      <c r="E661" s="21">
        <v>50</v>
      </c>
      <c r="F661" s="21"/>
    </row>
    <row r="662" spans="1:6" x14ac:dyDescent="0.25">
      <c r="A662" s="21" t="s">
        <v>729</v>
      </c>
      <c r="B662" s="21" t="s">
        <v>22</v>
      </c>
      <c r="C662" s="21">
        <v>30</v>
      </c>
      <c r="D662" s="21">
        <v>1500</v>
      </c>
      <c r="E662" s="21">
        <v>50</v>
      </c>
      <c r="F662" s="21"/>
    </row>
    <row r="663" spans="1:6" x14ac:dyDescent="0.25">
      <c r="A663" s="21" t="s">
        <v>730</v>
      </c>
      <c r="B663" s="21" t="s">
        <v>22</v>
      </c>
      <c r="C663" s="21">
        <v>30</v>
      </c>
      <c r="D663" s="21">
        <v>1500</v>
      </c>
      <c r="E663" s="21">
        <v>50</v>
      </c>
      <c r="F663" s="21"/>
    </row>
    <row r="664" spans="1:6" x14ac:dyDescent="0.25">
      <c r="A664" s="21" t="s">
        <v>731</v>
      </c>
      <c r="B664" s="21" t="s">
        <v>22</v>
      </c>
      <c r="C664" s="21">
        <v>30</v>
      </c>
      <c r="D664" s="21">
        <v>1500</v>
      </c>
      <c r="E664" s="21">
        <v>50</v>
      </c>
      <c r="F664" s="21"/>
    </row>
    <row r="665" spans="1:6" x14ac:dyDescent="0.25">
      <c r="A665" s="21" t="s">
        <v>732</v>
      </c>
      <c r="B665" s="21" t="s">
        <v>22</v>
      </c>
      <c r="C665" s="21">
        <v>30</v>
      </c>
      <c r="D665" s="21">
        <v>1500</v>
      </c>
      <c r="E665" s="21">
        <v>50</v>
      </c>
      <c r="F665" s="21"/>
    </row>
    <row r="666" spans="1:6" x14ac:dyDescent="0.25">
      <c r="A666" s="21" t="s">
        <v>733</v>
      </c>
      <c r="B666" s="21" t="s">
        <v>22</v>
      </c>
      <c r="C666" s="21">
        <v>30</v>
      </c>
      <c r="D666" s="21">
        <v>1500</v>
      </c>
      <c r="E666" s="21">
        <v>50</v>
      </c>
      <c r="F666" s="21"/>
    </row>
    <row r="667" spans="1:6" x14ac:dyDescent="0.25">
      <c r="A667" s="21" t="s">
        <v>734</v>
      </c>
      <c r="B667" s="21" t="s">
        <v>22</v>
      </c>
      <c r="C667" s="21">
        <v>20</v>
      </c>
      <c r="D667" s="21">
        <v>1200</v>
      </c>
      <c r="E667" s="21">
        <v>60</v>
      </c>
      <c r="F667" s="21"/>
    </row>
    <row r="668" spans="1:6" x14ac:dyDescent="0.25">
      <c r="A668" s="21" t="s">
        <v>735</v>
      </c>
      <c r="B668" s="21" t="s">
        <v>22</v>
      </c>
      <c r="C668" s="21">
        <v>20</v>
      </c>
      <c r="D668" s="21">
        <v>1200</v>
      </c>
      <c r="E668" s="21">
        <v>60</v>
      </c>
      <c r="F668" s="21"/>
    </row>
    <row r="669" spans="1:6" x14ac:dyDescent="0.25">
      <c r="A669" s="21" t="s">
        <v>736</v>
      </c>
      <c r="B669" s="21" t="s">
        <v>22</v>
      </c>
      <c r="C669" s="21">
        <v>20</v>
      </c>
      <c r="D669" s="21">
        <v>1200</v>
      </c>
      <c r="E669" s="21">
        <v>60</v>
      </c>
      <c r="F669" s="21"/>
    </row>
    <row r="670" spans="1:6" x14ac:dyDescent="0.25">
      <c r="A670" s="21" t="s">
        <v>737</v>
      </c>
      <c r="B670" s="21" t="s">
        <v>22</v>
      </c>
      <c r="C670" s="21">
        <v>40</v>
      </c>
      <c r="D670" s="21">
        <v>1600</v>
      </c>
      <c r="E670" s="21">
        <v>40</v>
      </c>
      <c r="F670" s="21"/>
    </row>
    <row r="671" spans="1:6" x14ac:dyDescent="0.25">
      <c r="A671" s="21" t="s">
        <v>738</v>
      </c>
      <c r="B671" s="21" t="s">
        <v>22</v>
      </c>
      <c r="C671" s="21">
        <v>40</v>
      </c>
      <c r="D671" s="21">
        <v>1600</v>
      </c>
      <c r="E671" s="21">
        <v>40</v>
      </c>
      <c r="F671" s="21"/>
    </row>
    <row r="672" spans="1:6" x14ac:dyDescent="0.25">
      <c r="A672" s="21" t="s">
        <v>739</v>
      </c>
      <c r="B672" s="21" t="s">
        <v>22</v>
      </c>
      <c r="C672" s="21">
        <v>40</v>
      </c>
      <c r="D672" s="21">
        <v>1600</v>
      </c>
      <c r="E672" s="21">
        <v>40</v>
      </c>
      <c r="F672" s="21"/>
    </row>
    <row r="673" spans="1:6" x14ac:dyDescent="0.25">
      <c r="A673" s="21" t="s">
        <v>740</v>
      </c>
      <c r="B673" s="21" t="s">
        <v>22</v>
      </c>
      <c r="C673" s="21">
        <v>40</v>
      </c>
      <c r="D673" s="21">
        <v>1600</v>
      </c>
      <c r="E673" s="21">
        <v>40</v>
      </c>
      <c r="F673" s="21"/>
    </row>
    <row r="674" spans="1:6" x14ac:dyDescent="0.25">
      <c r="A674" s="21" t="s">
        <v>741</v>
      </c>
      <c r="B674" s="21" t="s">
        <v>22</v>
      </c>
      <c r="C674" s="21">
        <v>40</v>
      </c>
      <c r="D674" s="21">
        <v>1600</v>
      </c>
      <c r="E674" s="21">
        <v>40</v>
      </c>
      <c r="F674" s="21"/>
    </row>
    <row r="675" spans="1:6" x14ac:dyDescent="0.25">
      <c r="A675" s="21" t="s">
        <v>742</v>
      </c>
      <c r="B675" s="21" t="s">
        <v>22</v>
      </c>
      <c r="C675" s="21">
        <v>40</v>
      </c>
      <c r="D675" s="21">
        <v>1600</v>
      </c>
      <c r="E675" s="21">
        <v>40</v>
      </c>
      <c r="F675" s="21"/>
    </row>
    <row r="676" spans="1:6" x14ac:dyDescent="0.25">
      <c r="A676" s="21" t="s">
        <v>743</v>
      </c>
      <c r="B676" s="21" t="s">
        <v>22</v>
      </c>
      <c r="C676" s="21">
        <v>40</v>
      </c>
      <c r="D676" s="21">
        <v>1600</v>
      </c>
      <c r="E676" s="21">
        <v>40</v>
      </c>
      <c r="F676" s="21"/>
    </row>
    <row r="677" spans="1:6" x14ac:dyDescent="0.25">
      <c r="A677" s="21" t="s">
        <v>744</v>
      </c>
      <c r="B677" s="21" t="s">
        <v>22</v>
      </c>
      <c r="C677" s="21">
        <v>40</v>
      </c>
      <c r="D677" s="21">
        <v>1600</v>
      </c>
      <c r="E677" s="21">
        <v>40</v>
      </c>
      <c r="F677" s="21"/>
    </row>
    <row r="678" spans="1:6" x14ac:dyDescent="0.25">
      <c r="A678" s="21" t="s">
        <v>745</v>
      </c>
      <c r="B678" s="21" t="s">
        <v>22</v>
      </c>
      <c r="C678" s="21">
        <v>40</v>
      </c>
      <c r="D678" s="21">
        <v>1600</v>
      </c>
      <c r="E678" s="21">
        <v>40</v>
      </c>
      <c r="F678" s="21"/>
    </row>
    <row r="679" spans="1:6" x14ac:dyDescent="0.25">
      <c r="A679" s="21" t="s">
        <v>746</v>
      </c>
      <c r="B679" s="21" t="s">
        <v>22</v>
      </c>
      <c r="C679" s="21">
        <v>40</v>
      </c>
      <c r="D679" s="21">
        <v>1600</v>
      </c>
      <c r="E679" s="21">
        <v>40</v>
      </c>
      <c r="F679" s="21"/>
    </row>
    <row r="680" spans="1:6" x14ac:dyDescent="0.25">
      <c r="A680" s="21" t="s">
        <v>747</v>
      </c>
      <c r="B680" s="21" t="s">
        <v>22</v>
      </c>
      <c r="C680" s="21">
        <v>40</v>
      </c>
      <c r="D680" s="21">
        <v>1600</v>
      </c>
      <c r="E680" s="21">
        <v>40</v>
      </c>
      <c r="F680" s="21"/>
    </row>
    <row r="681" spans="1:6" x14ac:dyDescent="0.25">
      <c r="A681" s="21" t="s">
        <v>748</v>
      </c>
      <c r="B681" s="21" t="s">
        <v>22</v>
      </c>
      <c r="C681" s="21">
        <v>40</v>
      </c>
      <c r="D681" s="21">
        <v>1600</v>
      </c>
      <c r="E681" s="21">
        <v>40</v>
      </c>
      <c r="F681" s="21"/>
    </row>
    <row r="682" spans="1:6" x14ac:dyDescent="0.25">
      <c r="A682" s="21" t="s">
        <v>749</v>
      </c>
      <c r="B682" s="21" t="s">
        <v>22</v>
      </c>
      <c r="C682" s="21">
        <v>40</v>
      </c>
      <c r="D682" s="21">
        <v>1600</v>
      </c>
      <c r="E682" s="21">
        <v>40</v>
      </c>
      <c r="F682" s="21"/>
    </row>
    <row r="683" spans="1:6" x14ac:dyDescent="0.25">
      <c r="A683" s="21" t="s">
        <v>750</v>
      </c>
      <c r="B683" s="21" t="s">
        <v>22</v>
      </c>
      <c r="C683" s="21">
        <v>30</v>
      </c>
      <c r="D683" s="21">
        <v>1500</v>
      </c>
      <c r="E683" s="21">
        <v>50</v>
      </c>
      <c r="F683" s="21"/>
    </row>
    <row r="684" spans="1:6" x14ac:dyDescent="0.25">
      <c r="A684" s="21" t="s">
        <v>751</v>
      </c>
      <c r="B684" s="21" t="s">
        <v>22</v>
      </c>
      <c r="C684" s="21">
        <v>30</v>
      </c>
      <c r="D684" s="21">
        <v>1500</v>
      </c>
      <c r="E684" s="21">
        <v>50</v>
      </c>
      <c r="F684" s="21"/>
    </row>
    <row r="685" spans="1:6" x14ac:dyDescent="0.25">
      <c r="A685" s="21" t="s">
        <v>752</v>
      </c>
      <c r="B685" s="21" t="s">
        <v>22</v>
      </c>
      <c r="C685" s="21">
        <v>30</v>
      </c>
      <c r="D685" s="21">
        <v>1500</v>
      </c>
      <c r="E685" s="21">
        <v>50</v>
      </c>
      <c r="F685" s="21"/>
    </row>
    <row r="686" spans="1:6" x14ac:dyDescent="0.25">
      <c r="A686" s="21" t="s">
        <v>753</v>
      </c>
      <c r="B686" s="21" t="s">
        <v>22</v>
      </c>
      <c r="C686" s="21">
        <v>30</v>
      </c>
      <c r="D686" s="21">
        <v>1500</v>
      </c>
      <c r="E686" s="21">
        <v>50</v>
      </c>
      <c r="F686" s="21"/>
    </row>
    <row r="687" spans="1:6" x14ac:dyDescent="0.25">
      <c r="A687" s="21" t="s">
        <v>754</v>
      </c>
      <c r="B687" s="21" t="s">
        <v>22</v>
      </c>
      <c r="C687" s="21">
        <v>30</v>
      </c>
      <c r="D687" s="21">
        <v>1500</v>
      </c>
      <c r="E687" s="21">
        <v>50</v>
      </c>
      <c r="F687" s="21"/>
    </row>
    <row r="688" spans="1:6" x14ac:dyDescent="0.25">
      <c r="A688" s="21" t="s">
        <v>755</v>
      </c>
      <c r="B688" s="21" t="s">
        <v>22</v>
      </c>
      <c r="C688" s="21">
        <v>30</v>
      </c>
      <c r="D688" s="21">
        <v>1500</v>
      </c>
      <c r="E688" s="21">
        <v>50</v>
      </c>
      <c r="F688" s="21"/>
    </row>
    <row r="689" spans="1:6" x14ac:dyDescent="0.25">
      <c r="A689" s="21" t="s">
        <v>3215</v>
      </c>
      <c r="B689" s="21" t="s">
        <v>22</v>
      </c>
      <c r="C689" s="21">
        <v>30</v>
      </c>
      <c r="D689" s="21">
        <v>1500</v>
      </c>
      <c r="E689" s="21">
        <v>50</v>
      </c>
      <c r="F689" s="21" t="s">
        <v>3216</v>
      </c>
    </row>
    <row r="690" spans="1:6" x14ac:dyDescent="0.25">
      <c r="A690" s="21" t="s">
        <v>756</v>
      </c>
      <c r="B690" s="21" t="s">
        <v>22</v>
      </c>
      <c r="C690" s="21">
        <v>30</v>
      </c>
      <c r="D690" s="21">
        <v>1500</v>
      </c>
      <c r="E690" s="21">
        <v>50</v>
      </c>
      <c r="F690" s="21"/>
    </row>
    <row r="691" spans="1:6" x14ac:dyDescent="0.25">
      <c r="A691" s="21" t="s">
        <v>757</v>
      </c>
      <c r="B691" s="21" t="s">
        <v>22</v>
      </c>
      <c r="C691" s="21">
        <v>30</v>
      </c>
      <c r="D691" s="21">
        <v>1500</v>
      </c>
      <c r="E691" s="21">
        <v>50</v>
      </c>
      <c r="F691" s="21"/>
    </row>
    <row r="692" spans="1:6" x14ac:dyDescent="0.25">
      <c r="A692" s="21" t="s">
        <v>758</v>
      </c>
      <c r="B692" s="21" t="s">
        <v>22</v>
      </c>
      <c r="C692" s="21">
        <v>30</v>
      </c>
      <c r="D692" s="21">
        <v>1500</v>
      </c>
      <c r="E692" s="21">
        <v>50</v>
      </c>
      <c r="F692" s="21"/>
    </row>
    <row r="693" spans="1:6" x14ac:dyDescent="0.25">
      <c r="A693" s="21" t="s">
        <v>759</v>
      </c>
      <c r="B693" s="21" t="s">
        <v>22</v>
      </c>
      <c r="C693" s="21">
        <v>30</v>
      </c>
      <c r="D693" s="21">
        <v>1500</v>
      </c>
      <c r="E693" s="21">
        <v>50</v>
      </c>
      <c r="F693" s="21"/>
    </row>
    <row r="694" spans="1:6" x14ac:dyDescent="0.25">
      <c r="A694" s="21" t="s">
        <v>760</v>
      </c>
      <c r="B694" s="21" t="s">
        <v>22</v>
      </c>
      <c r="C694" s="21">
        <v>30</v>
      </c>
      <c r="D694" s="21">
        <v>1500</v>
      </c>
      <c r="E694" s="21">
        <v>50</v>
      </c>
      <c r="F694" s="21"/>
    </row>
    <row r="695" spans="1:6" x14ac:dyDescent="0.25">
      <c r="A695" s="21" t="s">
        <v>761</v>
      </c>
      <c r="B695" s="21" t="s">
        <v>22</v>
      </c>
      <c r="C695" s="21">
        <v>30</v>
      </c>
      <c r="D695" s="21">
        <v>1500</v>
      </c>
      <c r="E695" s="21">
        <v>50</v>
      </c>
      <c r="F695" s="21"/>
    </row>
    <row r="696" spans="1:6" x14ac:dyDescent="0.25">
      <c r="A696" s="21" t="s">
        <v>762</v>
      </c>
      <c r="B696" s="21" t="s">
        <v>22</v>
      </c>
      <c r="C696" s="21">
        <v>30</v>
      </c>
      <c r="D696" s="21">
        <v>1500</v>
      </c>
      <c r="E696" s="21">
        <v>50</v>
      </c>
      <c r="F696" s="21"/>
    </row>
    <row r="697" spans="1:6" x14ac:dyDescent="0.25">
      <c r="A697" s="21" t="s">
        <v>763</v>
      </c>
      <c r="B697" s="21" t="s">
        <v>22</v>
      </c>
      <c r="C697" s="21">
        <v>30</v>
      </c>
      <c r="D697" s="21">
        <v>1500</v>
      </c>
      <c r="E697" s="21">
        <v>50</v>
      </c>
      <c r="F697" s="21"/>
    </row>
    <row r="698" spans="1:6" x14ac:dyDescent="0.25">
      <c r="A698" s="21" t="s">
        <v>764</v>
      </c>
      <c r="B698" s="21" t="s">
        <v>22</v>
      </c>
      <c r="C698" s="21">
        <v>30</v>
      </c>
      <c r="D698" s="21">
        <v>1500</v>
      </c>
      <c r="E698" s="21">
        <v>50</v>
      </c>
      <c r="F698" s="21"/>
    </row>
    <row r="699" spans="1:6" x14ac:dyDescent="0.25">
      <c r="A699" s="21" t="s">
        <v>765</v>
      </c>
      <c r="B699" s="21" t="s">
        <v>22</v>
      </c>
      <c r="C699" s="21">
        <v>30</v>
      </c>
      <c r="D699" s="21">
        <v>1500</v>
      </c>
      <c r="E699" s="21">
        <v>50</v>
      </c>
      <c r="F699" s="21"/>
    </row>
    <row r="700" spans="1:6" x14ac:dyDescent="0.25">
      <c r="A700" s="21" t="s">
        <v>766</v>
      </c>
      <c r="B700" s="21" t="s">
        <v>22</v>
      </c>
      <c r="C700" s="21">
        <v>30</v>
      </c>
      <c r="D700" s="21">
        <v>1500</v>
      </c>
      <c r="E700" s="21">
        <v>50</v>
      </c>
      <c r="F700" s="21"/>
    </row>
    <row r="701" spans="1:6" x14ac:dyDescent="0.25">
      <c r="A701" s="21" t="s">
        <v>767</v>
      </c>
      <c r="B701" s="21" t="s">
        <v>22</v>
      </c>
      <c r="C701" s="21">
        <v>30</v>
      </c>
      <c r="D701" s="21">
        <v>1500</v>
      </c>
      <c r="E701" s="21">
        <v>50</v>
      </c>
      <c r="F701" s="21"/>
    </row>
    <row r="702" spans="1:6" x14ac:dyDescent="0.25">
      <c r="A702" s="21" t="s">
        <v>768</v>
      </c>
      <c r="B702" s="21" t="s">
        <v>22</v>
      </c>
      <c r="C702" s="21">
        <v>30</v>
      </c>
      <c r="D702" s="21">
        <v>1500</v>
      </c>
      <c r="E702" s="21">
        <v>50</v>
      </c>
      <c r="F702" s="21"/>
    </row>
    <row r="703" spans="1:6" x14ac:dyDescent="0.25">
      <c r="A703" s="21" t="s">
        <v>769</v>
      </c>
      <c r="B703" s="21" t="s">
        <v>22</v>
      </c>
      <c r="C703" s="21">
        <v>30</v>
      </c>
      <c r="D703" s="21">
        <v>1500</v>
      </c>
      <c r="E703" s="21">
        <v>50</v>
      </c>
      <c r="F703" s="21"/>
    </row>
    <row r="704" spans="1:6" x14ac:dyDescent="0.25">
      <c r="A704" s="21" t="s">
        <v>770</v>
      </c>
      <c r="B704" s="21" t="s">
        <v>22</v>
      </c>
      <c r="C704" s="21">
        <v>30</v>
      </c>
      <c r="D704" s="21">
        <v>1500</v>
      </c>
      <c r="E704" s="21">
        <v>50</v>
      </c>
      <c r="F704" s="21"/>
    </row>
    <row r="705" spans="1:6" x14ac:dyDescent="0.25">
      <c r="A705" s="21" t="s">
        <v>771</v>
      </c>
      <c r="B705" s="21" t="s">
        <v>22</v>
      </c>
      <c r="C705" s="21">
        <v>30</v>
      </c>
      <c r="D705" s="21">
        <v>1500</v>
      </c>
      <c r="E705" s="21">
        <v>50</v>
      </c>
      <c r="F705" s="21"/>
    </row>
    <row r="706" spans="1:6" x14ac:dyDescent="0.25">
      <c r="A706" s="21" t="s">
        <v>772</v>
      </c>
      <c r="B706" s="21" t="s">
        <v>22</v>
      </c>
      <c r="C706" s="21">
        <v>30</v>
      </c>
      <c r="D706" s="21">
        <v>1500</v>
      </c>
      <c r="E706" s="21">
        <v>50</v>
      </c>
      <c r="F706" s="21"/>
    </row>
    <row r="707" spans="1:6" x14ac:dyDescent="0.25">
      <c r="A707" s="21" t="s">
        <v>773</v>
      </c>
      <c r="B707" s="21" t="s">
        <v>22</v>
      </c>
      <c r="C707" s="21">
        <v>30</v>
      </c>
      <c r="D707" s="21">
        <v>1500</v>
      </c>
      <c r="E707" s="21">
        <v>50</v>
      </c>
      <c r="F707" s="21"/>
    </row>
    <row r="708" spans="1:6" x14ac:dyDescent="0.25">
      <c r="A708" s="21" t="s">
        <v>774</v>
      </c>
      <c r="B708" s="21" t="s">
        <v>22</v>
      </c>
      <c r="C708" s="21">
        <v>30</v>
      </c>
      <c r="D708" s="21">
        <v>1500</v>
      </c>
      <c r="E708" s="21">
        <v>50</v>
      </c>
      <c r="F708" s="21"/>
    </row>
    <row r="709" spans="1:6" x14ac:dyDescent="0.25">
      <c r="A709" s="21" t="s">
        <v>775</v>
      </c>
      <c r="B709" s="21" t="s">
        <v>22</v>
      </c>
      <c r="C709" s="21">
        <v>30</v>
      </c>
      <c r="D709" s="21">
        <v>1500</v>
      </c>
      <c r="E709" s="21">
        <v>50</v>
      </c>
      <c r="F709" s="21"/>
    </row>
    <row r="710" spans="1:6" x14ac:dyDescent="0.25">
      <c r="A710" s="21" t="s">
        <v>776</v>
      </c>
      <c r="B710" s="21" t="s">
        <v>22</v>
      </c>
      <c r="C710" s="21">
        <v>30</v>
      </c>
      <c r="D710" s="21">
        <v>1500</v>
      </c>
      <c r="E710" s="21">
        <v>50</v>
      </c>
      <c r="F710" s="21"/>
    </row>
    <row r="711" spans="1:6" x14ac:dyDescent="0.25">
      <c r="A711" s="21" t="s">
        <v>777</v>
      </c>
      <c r="B711" s="21" t="s">
        <v>22</v>
      </c>
      <c r="C711" s="21">
        <v>30</v>
      </c>
      <c r="D711" s="21">
        <v>1500</v>
      </c>
      <c r="E711" s="21">
        <v>50</v>
      </c>
      <c r="F711" s="21"/>
    </row>
    <row r="712" spans="1:6" x14ac:dyDescent="0.25">
      <c r="A712" s="21" t="s">
        <v>778</v>
      </c>
      <c r="B712" s="21" t="s">
        <v>22</v>
      </c>
      <c r="C712" s="21">
        <v>30</v>
      </c>
      <c r="D712" s="21">
        <v>1500</v>
      </c>
      <c r="E712" s="21">
        <v>50</v>
      </c>
      <c r="F712" s="21"/>
    </row>
    <row r="713" spans="1:6" x14ac:dyDescent="0.25">
      <c r="A713" s="21" t="s">
        <v>779</v>
      </c>
      <c r="B713" s="21" t="s">
        <v>22</v>
      </c>
      <c r="C713" s="21">
        <v>20</v>
      </c>
      <c r="D713" s="21">
        <v>1200</v>
      </c>
      <c r="E713" s="21">
        <v>60</v>
      </c>
      <c r="F713" s="21"/>
    </row>
    <row r="714" spans="1:6" x14ac:dyDescent="0.25">
      <c r="A714" s="21" t="s">
        <v>780</v>
      </c>
      <c r="B714" s="21" t="s">
        <v>22</v>
      </c>
      <c r="C714" s="21">
        <v>20</v>
      </c>
      <c r="D714" s="21">
        <v>1040</v>
      </c>
      <c r="E714" s="21">
        <v>52</v>
      </c>
      <c r="F714" s="21"/>
    </row>
    <row r="715" spans="1:6" x14ac:dyDescent="0.25">
      <c r="A715" s="21" t="s">
        <v>781</v>
      </c>
      <c r="B715" s="21" t="s">
        <v>22</v>
      </c>
      <c r="C715" s="21">
        <v>20</v>
      </c>
      <c r="D715" s="21">
        <v>1200</v>
      </c>
      <c r="E715" s="21">
        <v>60</v>
      </c>
      <c r="F715" s="21"/>
    </row>
    <row r="716" spans="1:6" x14ac:dyDescent="0.25">
      <c r="A716" s="21" t="s">
        <v>782</v>
      </c>
      <c r="B716" s="21" t="s">
        <v>22</v>
      </c>
      <c r="C716" s="21">
        <v>20</v>
      </c>
      <c r="D716" s="21">
        <v>1200</v>
      </c>
      <c r="E716" s="21">
        <v>60</v>
      </c>
      <c r="F716" s="21"/>
    </row>
    <row r="717" spans="1:6" x14ac:dyDescent="0.25">
      <c r="A717" s="21" t="s">
        <v>783</v>
      </c>
      <c r="B717" s="21" t="s">
        <v>22</v>
      </c>
      <c r="C717" s="21">
        <v>20</v>
      </c>
      <c r="D717" s="21">
        <v>1200</v>
      </c>
      <c r="E717" s="21">
        <v>60</v>
      </c>
      <c r="F717" s="21"/>
    </row>
    <row r="718" spans="1:6" x14ac:dyDescent="0.25">
      <c r="A718" s="21" t="s">
        <v>784</v>
      </c>
      <c r="B718" s="21" t="s">
        <v>22</v>
      </c>
      <c r="C718" s="21">
        <v>20</v>
      </c>
      <c r="D718" s="21">
        <v>1040</v>
      </c>
      <c r="E718" s="21">
        <v>52</v>
      </c>
      <c r="F718" s="21"/>
    </row>
    <row r="719" spans="1:6" x14ac:dyDescent="0.25">
      <c r="A719" s="21" t="s">
        <v>785</v>
      </c>
      <c r="B719" s="21" t="s">
        <v>22</v>
      </c>
      <c r="C719" s="21">
        <v>20</v>
      </c>
      <c r="D719" s="21">
        <v>1200</v>
      </c>
      <c r="E719" s="21">
        <v>60</v>
      </c>
      <c r="F719" s="21"/>
    </row>
    <row r="720" spans="1:6" x14ac:dyDescent="0.25">
      <c r="A720" s="21" t="s">
        <v>786</v>
      </c>
      <c r="B720" s="21" t="s">
        <v>22</v>
      </c>
      <c r="C720" s="21">
        <v>20</v>
      </c>
      <c r="D720" s="21">
        <v>1040</v>
      </c>
      <c r="E720" s="21">
        <v>52</v>
      </c>
      <c r="F720" s="21"/>
    </row>
    <row r="721" spans="1:6" x14ac:dyDescent="0.25">
      <c r="A721" s="21" t="s">
        <v>787</v>
      </c>
      <c r="B721" s="21" t="s">
        <v>22</v>
      </c>
      <c r="C721" s="21">
        <v>20</v>
      </c>
      <c r="D721" s="21">
        <v>1040</v>
      </c>
      <c r="E721" s="21">
        <v>52</v>
      </c>
      <c r="F721" s="21"/>
    </row>
    <row r="722" spans="1:6" x14ac:dyDescent="0.25">
      <c r="A722" s="21" t="s">
        <v>788</v>
      </c>
      <c r="B722" s="21" t="s">
        <v>22</v>
      </c>
      <c r="C722" s="21">
        <v>20</v>
      </c>
      <c r="D722" s="21">
        <v>1040</v>
      </c>
      <c r="E722" s="21">
        <v>52</v>
      </c>
      <c r="F722" s="21"/>
    </row>
    <row r="723" spans="1:6" x14ac:dyDescent="0.25">
      <c r="A723" s="21" t="s">
        <v>789</v>
      </c>
      <c r="B723" s="21" t="s">
        <v>22</v>
      </c>
      <c r="C723" s="21">
        <v>0</v>
      </c>
      <c r="D723" s="21">
        <v>1040</v>
      </c>
      <c r="E723" s="21">
        <v>52</v>
      </c>
      <c r="F723" s="21"/>
    </row>
    <row r="724" spans="1:6" x14ac:dyDescent="0.25">
      <c r="A724" s="21" t="s">
        <v>790</v>
      </c>
      <c r="B724" s="21" t="s">
        <v>22</v>
      </c>
      <c r="C724" s="21">
        <v>20</v>
      </c>
      <c r="D724" s="21">
        <v>1040</v>
      </c>
      <c r="E724" s="21">
        <v>52</v>
      </c>
      <c r="F724" s="21"/>
    </row>
    <row r="725" spans="1:6" x14ac:dyDescent="0.25">
      <c r="A725" s="21" t="s">
        <v>791</v>
      </c>
      <c r="B725" s="21" t="s">
        <v>22</v>
      </c>
      <c r="C725" s="21">
        <v>20</v>
      </c>
      <c r="D725" s="21">
        <v>1040</v>
      </c>
      <c r="E725" s="21">
        <v>52</v>
      </c>
      <c r="F725" s="21"/>
    </row>
    <row r="726" spans="1:6" x14ac:dyDescent="0.25">
      <c r="A726" s="21" t="s">
        <v>792</v>
      </c>
      <c r="B726" s="21" t="s">
        <v>22</v>
      </c>
      <c r="C726" s="21">
        <v>20</v>
      </c>
      <c r="D726" s="21">
        <v>1040</v>
      </c>
      <c r="E726" s="21">
        <v>52</v>
      </c>
      <c r="F726" s="21"/>
    </row>
    <row r="727" spans="1:6" x14ac:dyDescent="0.25">
      <c r="A727" s="21" t="s">
        <v>793</v>
      </c>
      <c r="B727" s="21" t="s">
        <v>22</v>
      </c>
      <c r="C727" s="21">
        <v>20</v>
      </c>
      <c r="D727" s="21">
        <v>1040</v>
      </c>
      <c r="E727" s="21">
        <v>52</v>
      </c>
      <c r="F727" s="21"/>
    </row>
    <row r="728" spans="1:6" x14ac:dyDescent="0.25">
      <c r="A728" s="21" t="s">
        <v>794</v>
      </c>
      <c r="B728" s="21" t="s">
        <v>22</v>
      </c>
      <c r="C728" s="21">
        <v>20</v>
      </c>
      <c r="D728" s="21">
        <v>1040</v>
      </c>
      <c r="E728" s="21">
        <v>52</v>
      </c>
      <c r="F728" s="21"/>
    </row>
    <row r="729" spans="1:6" x14ac:dyDescent="0.25">
      <c r="A729" s="21" t="s">
        <v>795</v>
      </c>
      <c r="B729" s="21" t="s">
        <v>22</v>
      </c>
      <c r="C729" s="21">
        <v>20</v>
      </c>
      <c r="D729" s="21">
        <v>1040</v>
      </c>
      <c r="E729" s="21">
        <v>52</v>
      </c>
      <c r="F729" s="21"/>
    </row>
    <row r="730" spans="1:6" x14ac:dyDescent="0.25">
      <c r="A730" s="21" t="s">
        <v>796</v>
      </c>
      <c r="B730" s="21" t="s">
        <v>22</v>
      </c>
      <c r="C730" s="21">
        <v>12</v>
      </c>
      <c r="D730" s="21">
        <v>420</v>
      </c>
      <c r="E730" s="21">
        <v>35</v>
      </c>
      <c r="F730" s="21"/>
    </row>
    <row r="731" spans="1:6" x14ac:dyDescent="0.25">
      <c r="A731" s="21" t="s">
        <v>797</v>
      </c>
      <c r="B731" s="21" t="s">
        <v>22</v>
      </c>
      <c r="C731" s="21">
        <v>8</v>
      </c>
      <c r="D731" s="21">
        <v>256</v>
      </c>
      <c r="E731" s="21">
        <v>32</v>
      </c>
      <c r="F731" s="21"/>
    </row>
    <row r="732" spans="1:6" x14ac:dyDescent="0.25">
      <c r="A732" s="21" t="s">
        <v>798</v>
      </c>
      <c r="B732" s="21" t="s">
        <v>22</v>
      </c>
      <c r="C732" s="21">
        <v>8</v>
      </c>
      <c r="D732" s="21">
        <v>224</v>
      </c>
      <c r="E732" s="21">
        <v>28</v>
      </c>
      <c r="F732" s="21"/>
    </row>
    <row r="733" spans="1:6" x14ac:dyDescent="0.25">
      <c r="A733" s="21" t="s">
        <v>799</v>
      </c>
      <c r="B733" s="21" t="s">
        <v>22</v>
      </c>
      <c r="C733" s="21">
        <v>8</v>
      </c>
      <c r="D733" s="21">
        <v>256</v>
      </c>
      <c r="E733" s="21">
        <v>32</v>
      </c>
      <c r="F733" s="21"/>
    </row>
    <row r="734" spans="1:6" x14ac:dyDescent="0.25">
      <c r="A734" s="21" t="s">
        <v>800</v>
      </c>
      <c r="B734" s="21" t="s">
        <v>22</v>
      </c>
      <c r="C734" s="21">
        <v>8</v>
      </c>
      <c r="D734" s="21">
        <v>256</v>
      </c>
      <c r="E734" s="21">
        <v>32</v>
      </c>
      <c r="F734" s="21"/>
    </row>
    <row r="735" spans="1:6" x14ac:dyDescent="0.25">
      <c r="A735" s="21" t="s">
        <v>801</v>
      </c>
      <c r="B735" s="21" t="s">
        <v>22</v>
      </c>
      <c r="C735" s="21">
        <v>8</v>
      </c>
      <c r="D735" s="21">
        <v>224</v>
      </c>
      <c r="E735" s="21">
        <v>28</v>
      </c>
      <c r="F735" s="21"/>
    </row>
    <row r="736" spans="1:6" x14ac:dyDescent="0.25">
      <c r="A736" s="21" t="s">
        <v>802</v>
      </c>
      <c r="B736" s="21" t="s">
        <v>22</v>
      </c>
      <c r="C736" s="21">
        <v>24</v>
      </c>
      <c r="D736" s="52">
        <v>0</v>
      </c>
      <c r="E736" s="21"/>
      <c r="F736" s="21"/>
    </row>
    <row r="737" spans="1:6" x14ac:dyDescent="0.25">
      <c r="A737" s="21" t="s">
        <v>803</v>
      </c>
      <c r="B737" s="21" t="s">
        <v>22</v>
      </c>
      <c r="C737" s="21">
        <v>20</v>
      </c>
      <c r="D737" s="21">
        <v>200</v>
      </c>
      <c r="E737" s="21">
        <v>10</v>
      </c>
      <c r="F737" s="21"/>
    </row>
    <row r="738" spans="1:6" x14ac:dyDescent="0.25">
      <c r="A738" s="21" t="s">
        <v>804</v>
      </c>
      <c r="B738" s="21" t="s">
        <v>22</v>
      </c>
      <c r="C738" s="21">
        <v>20</v>
      </c>
      <c r="D738" s="21">
        <v>480</v>
      </c>
      <c r="E738" s="21">
        <v>24</v>
      </c>
      <c r="F738" s="21"/>
    </row>
    <row r="739" spans="1:6" x14ac:dyDescent="0.25">
      <c r="A739" s="21" t="s">
        <v>805</v>
      </c>
      <c r="B739" s="21" t="s">
        <v>22</v>
      </c>
      <c r="C739" s="21">
        <v>20</v>
      </c>
      <c r="D739" s="21">
        <v>480</v>
      </c>
      <c r="E739" s="21">
        <v>24</v>
      </c>
      <c r="F739" s="21"/>
    </row>
    <row r="740" spans="1:6" x14ac:dyDescent="0.25">
      <c r="A740" s="21" t="s">
        <v>806</v>
      </c>
      <c r="B740" s="21" t="s">
        <v>22</v>
      </c>
      <c r="C740" s="21">
        <v>20</v>
      </c>
      <c r="D740" s="21">
        <v>480</v>
      </c>
      <c r="E740" s="21">
        <v>24</v>
      </c>
      <c r="F740" s="21"/>
    </row>
    <row r="741" spans="1:6" x14ac:dyDescent="0.25">
      <c r="A741" s="21" t="s">
        <v>807</v>
      </c>
      <c r="B741" s="21" t="s">
        <v>22</v>
      </c>
      <c r="C741" s="21">
        <v>20</v>
      </c>
      <c r="D741" s="21">
        <v>480</v>
      </c>
      <c r="E741" s="21">
        <v>24</v>
      </c>
      <c r="F741" s="21"/>
    </row>
    <row r="742" spans="1:6" x14ac:dyDescent="0.25">
      <c r="A742" s="21" t="s">
        <v>808</v>
      </c>
      <c r="B742" s="21" t="s">
        <v>22</v>
      </c>
      <c r="C742" s="21">
        <v>10</v>
      </c>
      <c r="D742" s="21">
        <v>300</v>
      </c>
      <c r="E742" s="21">
        <v>30</v>
      </c>
      <c r="F742" s="21"/>
    </row>
    <row r="743" spans="1:6" x14ac:dyDescent="0.25">
      <c r="A743" s="21" t="s">
        <v>809</v>
      </c>
      <c r="B743" s="21" t="s">
        <v>22</v>
      </c>
      <c r="C743" s="21">
        <v>10</v>
      </c>
      <c r="D743" s="21">
        <v>300</v>
      </c>
      <c r="E743" s="21">
        <v>30</v>
      </c>
      <c r="F743" s="21"/>
    </row>
    <row r="744" spans="1:6" x14ac:dyDescent="0.25">
      <c r="A744" s="21" t="s">
        <v>810</v>
      </c>
      <c r="B744" s="21" t="s">
        <v>22</v>
      </c>
      <c r="C744" s="21">
        <v>10</v>
      </c>
      <c r="D744" s="21">
        <v>300</v>
      </c>
      <c r="E744" s="21">
        <v>30</v>
      </c>
      <c r="F744" s="21"/>
    </row>
    <row r="745" spans="1:6" x14ac:dyDescent="0.25">
      <c r="A745" s="21" t="s">
        <v>811</v>
      </c>
      <c r="B745" s="21" t="s">
        <v>22</v>
      </c>
      <c r="C745" s="21">
        <v>10</v>
      </c>
      <c r="D745" s="21">
        <v>300</v>
      </c>
      <c r="E745" s="21">
        <v>30</v>
      </c>
      <c r="F745" s="21"/>
    </row>
    <row r="746" spans="1:6" x14ac:dyDescent="0.25">
      <c r="A746" s="21" t="s">
        <v>812</v>
      </c>
      <c r="B746" s="21" t="s">
        <v>22</v>
      </c>
      <c r="C746" s="21">
        <v>40</v>
      </c>
      <c r="D746" s="21">
        <v>1920</v>
      </c>
      <c r="E746" s="21">
        <v>48</v>
      </c>
      <c r="F746" s="21"/>
    </row>
    <row r="747" spans="1:6" x14ac:dyDescent="0.25">
      <c r="A747" s="21" t="s">
        <v>813</v>
      </c>
      <c r="B747" s="21" t="s">
        <v>22</v>
      </c>
      <c r="C747" s="21">
        <v>40</v>
      </c>
      <c r="D747" s="21">
        <v>1920</v>
      </c>
      <c r="E747" s="21">
        <v>48</v>
      </c>
      <c r="F747" s="21"/>
    </row>
    <row r="748" spans="1:6" x14ac:dyDescent="0.25">
      <c r="A748" s="21" t="s">
        <v>814</v>
      </c>
      <c r="B748" s="21" t="s">
        <v>22</v>
      </c>
      <c r="C748" s="21">
        <v>40</v>
      </c>
      <c r="D748" s="21">
        <v>1920</v>
      </c>
      <c r="E748" s="21">
        <v>48</v>
      </c>
      <c r="F748" s="21"/>
    </row>
    <row r="749" spans="1:6" x14ac:dyDescent="0.25">
      <c r="A749" s="21" t="s">
        <v>815</v>
      </c>
      <c r="B749" s="21" t="s">
        <v>22</v>
      </c>
      <c r="C749" s="21">
        <v>40</v>
      </c>
      <c r="D749" s="21">
        <v>1920</v>
      </c>
      <c r="E749" s="21">
        <v>48</v>
      </c>
      <c r="F749" s="21"/>
    </row>
    <row r="750" spans="1:6" x14ac:dyDescent="0.25">
      <c r="A750" s="21" t="s">
        <v>816</v>
      </c>
      <c r="B750" s="21" t="s">
        <v>22</v>
      </c>
      <c r="C750" s="21">
        <v>40</v>
      </c>
      <c r="D750" s="21">
        <v>1920</v>
      </c>
      <c r="E750" s="21">
        <v>48</v>
      </c>
      <c r="F750" s="21"/>
    </row>
    <row r="751" spans="1:6" x14ac:dyDescent="0.25">
      <c r="A751" s="21" t="s">
        <v>817</v>
      </c>
      <c r="B751" s="21" t="s">
        <v>22</v>
      </c>
      <c r="C751" s="21">
        <v>40</v>
      </c>
      <c r="D751" s="21">
        <v>1920</v>
      </c>
      <c r="E751" s="21">
        <v>48</v>
      </c>
      <c r="F751" s="21"/>
    </row>
    <row r="752" spans="1:6" x14ac:dyDescent="0.25">
      <c r="A752" s="21" t="s">
        <v>818</v>
      </c>
      <c r="B752" s="21" t="s">
        <v>22</v>
      </c>
      <c r="C752" s="21">
        <v>30</v>
      </c>
      <c r="D752" s="21">
        <v>1350</v>
      </c>
      <c r="E752" s="21">
        <v>45</v>
      </c>
      <c r="F752" s="21"/>
    </row>
    <row r="753" spans="1:6" x14ac:dyDescent="0.25">
      <c r="A753" s="21" t="s">
        <v>819</v>
      </c>
      <c r="B753" s="21" t="s">
        <v>22</v>
      </c>
      <c r="C753" s="21">
        <v>40</v>
      </c>
      <c r="D753" s="21">
        <v>1920</v>
      </c>
      <c r="E753" s="21">
        <v>48</v>
      </c>
      <c r="F753" s="21"/>
    </row>
    <row r="754" spans="1:6" x14ac:dyDescent="0.25">
      <c r="A754" s="21" t="s">
        <v>820</v>
      </c>
      <c r="B754" s="21" t="s">
        <v>22</v>
      </c>
      <c r="C754" s="21">
        <v>40</v>
      </c>
      <c r="D754" s="21">
        <v>1920</v>
      </c>
      <c r="E754" s="21">
        <v>48</v>
      </c>
      <c r="F754" s="21"/>
    </row>
    <row r="755" spans="1:6" x14ac:dyDescent="0.25">
      <c r="A755" s="21" t="s">
        <v>821</v>
      </c>
      <c r="B755" s="21" t="s">
        <v>22</v>
      </c>
      <c r="C755" s="21">
        <v>30</v>
      </c>
      <c r="D755" s="52">
        <v>0</v>
      </c>
      <c r="E755" s="21"/>
      <c r="F755" s="21"/>
    </row>
    <row r="756" spans="1:6" x14ac:dyDescent="0.25">
      <c r="A756" s="21" t="s">
        <v>822</v>
      </c>
      <c r="B756" s="21" t="s">
        <v>22</v>
      </c>
      <c r="C756" s="21">
        <v>40</v>
      </c>
      <c r="D756" s="21">
        <v>1920</v>
      </c>
      <c r="E756" s="21">
        <v>48</v>
      </c>
      <c r="F756" s="21"/>
    </row>
    <row r="757" spans="1:6" x14ac:dyDescent="0.25">
      <c r="A757" s="21" t="s">
        <v>823</v>
      </c>
      <c r="B757" s="21" t="s">
        <v>22</v>
      </c>
      <c r="C757" s="21">
        <v>0</v>
      </c>
      <c r="D757" s="52">
        <v>0</v>
      </c>
      <c r="E757" s="21"/>
      <c r="F757" s="21"/>
    </row>
    <row r="758" spans="1:6" x14ac:dyDescent="0.25">
      <c r="A758" s="21" t="s">
        <v>824</v>
      </c>
      <c r="B758" s="21" t="s">
        <v>22</v>
      </c>
      <c r="C758" s="21">
        <v>40</v>
      </c>
      <c r="D758" s="21">
        <v>1920</v>
      </c>
      <c r="E758" s="21">
        <v>48</v>
      </c>
      <c r="F758" s="21"/>
    </row>
    <row r="759" spans="1:6" x14ac:dyDescent="0.25">
      <c r="A759" s="21" t="s">
        <v>825</v>
      </c>
      <c r="B759" s="21" t="s">
        <v>22</v>
      </c>
      <c r="C759" s="21">
        <v>40</v>
      </c>
      <c r="D759" s="21">
        <v>1920</v>
      </c>
      <c r="E759" s="21">
        <v>48</v>
      </c>
      <c r="F759" s="21"/>
    </row>
    <row r="760" spans="1:6" x14ac:dyDescent="0.25">
      <c r="A760" s="21" t="s">
        <v>826</v>
      </c>
      <c r="B760" s="21" t="s">
        <v>22</v>
      </c>
      <c r="C760" s="21">
        <v>40</v>
      </c>
      <c r="D760" s="21">
        <v>1920</v>
      </c>
      <c r="E760" s="21">
        <v>48</v>
      </c>
      <c r="F760" s="21"/>
    </row>
    <row r="761" spans="1:6" x14ac:dyDescent="0.25">
      <c r="A761" s="21" t="s">
        <v>827</v>
      </c>
      <c r="B761" s="21" t="s">
        <v>22</v>
      </c>
      <c r="C761" s="21">
        <v>40</v>
      </c>
      <c r="D761" s="21">
        <v>1920</v>
      </c>
      <c r="E761" s="21">
        <v>48</v>
      </c>
      <c r="F761" s="21"/>
    </row>
    <row r="762" spans="1:6" x14ac:dyDescent="0.25">
      <c r="A762" s="21" t="s">
        <v>828</v>
      </c>
      <c r="B762" s="21" t="s">
        <v>22</v>
      </c>
      <c r="C762" s="21">
        <v>30</v>
      </c>
      <c r="D762" s="21">
        <v>1350</v>
      </c>
      <c r="E762" s="21">
        <v>45</v>
      </c>
      <c r="F762" s="21"/>
    </row>
    <row r="763" spans="1:6" x14ac:dyDescent="0.25">
      <c r="A763" s="21" t="s">
        <v>829</v>
      </c>
      <c r="B763" s="21" t="s">
        <v>22</v>
      </c>
      <c r="C763" s="21">
        <v>30</v>
      </c>
      <c r="D763" s="21">
        <v>1350</v>
      </c>
      <c r="E763" s="21">
        <v>45</v>
      </c>
      <c r="F763" s="21"/>
    </row>
    <row r="764" spans="1:6" x14ac:dyDescent="0.25">
      <c r="A764" s="21" t="s">
        <v>830</v>
      </c>
      <c r="B764" s="21" t="s">
        <v>22</v>
      </c>
      <c r="C764" s="21">
        <v>30</v>
      </c>
      <c r="D764" s="21">
        <v>1350</v>
      </c>
      <c r="E764" s="21">
        <v>45</v>
      </c>
      <c r="F764" s="21"/>
    </row>
    <row r="765" spans="1:6" x14ac:dyDescent="0.25">
      <c r="A765" s="21" t="s">
        <v>831</v>
      </c>
      <c r="B765" s="21" t="s">
        <v>22</v>
      </c>
      <c r="C765" s="21">
        <v>30</v>
      </c>
      <c r="D765" s="21">
        <v>1350</v>
      </c>
      <c r="E765" s="21">
        <v>45</v>
      </c>
      <c r="F765" s="21"/>
    </row>
    <row r="766" spans="1:6" x14ac:dyDescent="0.25">
      <c r="A766" s="30" t="s">
        <v>832</v>
      </c>
      <c r="B766" s="30" t="s">
        <v>22</v>
      </c>
      <c r="C766" s="30">
        <v>20</v>
      </c>
      <c r="D766" s="30">
        <v>960</v>
      </c>
      <c r="E766" s="30">
        <v>48</v>
      </c>
      <c r="F766" s="14"/>
    </row>
    <row r="767" spans="1:6" x14ac:dyDescent="0.25">
      <c r="A767" s="30" t="s">
        <v>833</v>
      </c>
      <c r="B767" s="30" t="s">
        <v>22</v>
      </c>
      <c r="C767" s="30">
        <v>20</v>
      </c>
      <c r="D767" s="30">
        <v>960</v>
      </c>
      <c r="E767" s="30">
        <v>48</v>
      </c>
      <c r="F767" s="14"/>
    </row>
    <row r="768" spans="1:6" x14ac:dyDescent="0.25">
      <c r="A768" s="30" t="s">
        <v>834</v>
      </c>
      <c r="B768" s="30" t="s">
        <v>22</v>
      </c>
      <c r="C768" s="30">
        <v>20</v>
      </c>
      <c r="D768" s="30">
        <v>540</v>
      </c>
      <c r="E768" s="30">
        <v>27</v>
      </c>
      <c r="F768" s="14"/>
    </row>
    <row r="769" spans="1:6" x14ac:dyDescent="0.25">
      <c r="A769" s="30" t="s">
        <v>835</v>
      </c>
      <c r="B769" s="30" t="s">
        <v>22</v>
      </c>
      <c r="C769" s="30">
        <v>20</v>
      </c>
      <c r="D769" s="30">
        <v>540</v>
      </c>
      <c r="E769" s="30">
        <v>27</v>
      </c>
      <c r="F769" s="14"/>
    </row>
    <row r="770" spans="1:6" x14ac:dyDescent="0.25">
      <c r="A770" s="21" t="s">
        <v>836</v>
      </c>
      <c r="B770" s="21" t="s">
        <v>22</v>
      </c>
      <c r="C770" s="21">
        <v>40</v>
      </c>
      <c r="D770" s="21">
        <v>1000</v>
      </c>
      <c r="E770" s="21">
        <v>25</v>
      </c>
      <c r="F770" s="21"/>
    </row>
    <row r="771" spans="1:6" x14ac:dyDescent="0.25">
      <c r="A771" s="21" t="s">
        <v>837</v>
      </c>
      <c r="B771" s="21" t="s">
        <v>22</v>
      </c>
      <c r="C771" s="21">
        <v>40</v>
      </c>
      <c r="D771" s="21">
        <v>1000</v>
      </c>
      <c r="E771" s="21">
        <v>25</v>
      </c>
      <c r="F771" s="21"/>
    </row>
    <row r="772" spans="1:6" x14ac:dyDescent="0.25">
      <c r="A772" s="21" t="s">
        <v>838</v>
      </c>
      <c r="B772" s="21" t="s">
        <v>22</v>
      </c>
      <c r="C772" s="21">
        <v>24</v>
      </c>
      <c r="D772" s="21">
        <v>360</v>
      </c>
      <c r="E772" s="21">
        <v>15</v>
      </c>
      <c r="F772" s="21"/>
    </row>
    <row r="773" spans="1:6" x14ac:dyDescent="0.25">
      <c r="A773" s="21" t="s">
        <v>839</v>
      </c>
      <c r="B773" s="21" t="s">
        <v>22</v>
      </c>
      <c r="C773" s="21">
        <v>24</v>
      </c>
      <c r="D773" s="21">
        <v>360</v>
      </c>
      <c r="E773" s="21">
        <v>15</v>
      </c>
      <c r="F773" s="21"/>
    </row>
    <row r="774" spans="1:6" x14ac:dyDescent="0.25">
      <c r="A774" s="21" t="s">
        <v>840</v>
      </c>
      <c r="B774" s="21" t="s">
        <v>22</v>
      </c>
      <c r="C774" s="21">
        <v>24</v>
      </c>
      <c r="D774" s="21">
        <v>360</v>
      </c>
      <c r="E774" s="21">
        <v>15</v>
      </c>
      <c r="F774" s="21"/>
    </row>
    <row r="775" spans="1:6" x14ac:dyDescent="0.25">
      <c r="A775" s="21" t="s">
        <v>841</v>
      </c>
      <c r="B775" s="21" t="s">
        <v>22</v>
      </c>
      <c r="C775" s="21">
        <v>8</v>
      </c>
      <c r="D775" s="21">
        <v>160</v>
      </c>
      <c r="E775" s="21">
        <v>20</v>
      </c>
      <c r="F775" s="21"/>
    </row>
    <row r="776" spans="1:6" x14ac:dyDescent="0.25">
      <c r="A776" s="21" t="s">
        <v>842</v>
      </c>
      <c r="B776" s="21" t="s">
        <v>22</v>
      </c>
      <c r="C776" s="21">
        <v>8</v>
      </c>
      <c r="D776" s="21">
        <v>160</v>
      </c>
      <c r="E776" s="21">
        <v>20</v>
      </c>
      <c r="F776" s="21"/>
    </row>
    <row r="777" spans="1:6" x14ac:dyDescent="0.25">
      <c r="A777" s="21" t="s">
        <v>843</v>
      </c>
      <c r="B777" s="21" t="s">
        <v>22</v>
      </c>
      <c r="C777" s="21">
        <v>8</v>
      </c>
      <c r="D777" s="21">
        <v>160</v>
      </c>
      <c r="E777" s="21">
        <v>20</v>
      </c>
      <c r="F777" s="21"/>
    </row>
    <row r="778" spans="1:6" x14ac:dyDescent="0.25">
      <c r="A778" s="21" t="s">
        <v>844</v>
      </c>
      <c r="B778" s="21" t="s">
        <v>22</v>
      </c>
      <c r="C778" s="21">
        <v>8</v>
      </c>
      <c r="D778" s="21">
        <v>160</v>
      </c>
      <c r="E778" s="21">
        <v>20</v>
      </c>
      <c r="F778" s="21"/>
    </row>
    <row r="779" spans="1:6" x14ac:dyDescent="0.25">
      <c r="A779" s="21" t="s">
        <v>845</v>
      </c>
      <c r="B779" s="21" t="s">
        <v>22</v>
      </c>
      <c r="C779" s="21">
        <v>4</v>
      </c>
      <c r="D779" s="21">
        <v>96</v>
      </c>
      <c r="E779" s="21">
        <v>24</v>
      </c>
      <c r="F779" s="21"/>
    </row>
    <row r="780" spans="1:6" x14ac:dyDescent="0.25">
      <c r="A780" s="21" t="s">
        <v>846</v>
      </c>
      <c r="B780" s="21" t="s">
        <v>22</v>
      </c>
      <c r="C780" s="21">
        <v>8</v>
      </c>
      <c r="D780" s="21">
        <v>160</v>
      </c>
      <c r="E780" s="21">
        <v>20</v>
      </c>
      <c r="F780" s="21"/>
    </row>
    <row r="781" spans="1:6" x14ac:dyDescent="0.25">
      <c r="A781" s="21" t="s">
        <v>847</v>
      </c>
      <c r="B781" s="21" t="s">
        <v>22</v>
      </c>
      <c r="C781" s="21">
        <v>8</v>
      </c>
      <c r="D781" s="21">
        <v>160</v>
      </c>
      <c r="E781" s="21">
        <v>20</v>
      </c>
      <c r="F781" s="21"/>
    </row>
    <row r="782" spans="1:6" x14ac:dyDescent="0.25">
      <c r="A782" s="21" t="s">
        <v>848</v>
      </c>
      <c r="B782" s="21" t="s">
        <v>22</v>
      </c>
      <c r="C782" s="21">
        <v>20</v>
      </c>
      <c r="D782" s="52">
        <v>240</v>
      </c>
      <c r="E782" s="21">
        <v>12</v>
      </c>
      <c r="F782" s="21"/>
    </row>
    <row r="783" spans="1:6" x14ac:dyDescent="0.25">
      <c r="A783" s="21" t="s">
        <v>849</v>
      </c>
      <c r="B783" s="21" t="s">
        <v>22</v>
      </c>
      <c r="C783" s="21">
        <v>20</v>
      </c>
      <c r="D783" s="52">
        <v>0</v>
      </c>
      <c r="E783" s="21"/>
      <c r="F783" s="21"/>
    </row>
    <row r="784" spans="1:6" x14ac:dyDescent="0.25">
      <c r="A784" s="21" t="s">
        <v>850</v>
      </c>
      <c r="B784" s="21" t="s">
        <v>22</v>
      </c>
      <c r="C784" s="21">
        <v>50</v>
      </c>
      <c r="D784" s="21">
        <v>1800</v>
      </c>
      <c r="E784" s="21">
        <v>36</v>
      </c>
      <c r="F784" s="21"/>
    </row>
    <row r="785" spans="1:6" x14ac:dyDescent="0.25">
      <c r="A785" s="21" t="s">
        <v>851</v>
      </c>
      <c r="B785" s="21" t="s">
        <v>22</v>
      </c>
      <c r="C785" s="21">
        <v>50</v>
      </c>
      <c r="D785" s="21">
        <v>1800</v>
      </c>
      <c r="E785" s="21">
        <v>36</v>
      </c>
      <c r="F785" s="21"/>
    </row>
    <row r="786" spans="1:6" x14ac:dyDescent="0.25">
      <c r="A786" s="21" t="s">
        <v>852</v>
      </c>
      <c r="B786" s="21" t="s">
        <v>22</v>
      </c>
      <c r="C786" s="21">
        <v>12</v>
      </c>
      <c r="D786" s="21">
        <v>120</v>
      </c>
      <c r="E786" s="21">
        <v>10</v>
      </c>
      <c r="F786" s="21"/>
    </row>
    <row r="787" spans="1:6" x14ac:dyDescent="0.25">
      <c r="A787" s="21" t="s">
        <v>853</v>
      </c>
      <c r="B787" s="21" t="s">
        <v>22</v>
      </c>
      <c r="C787" s="21">
        <v>12</v>
      </c>
      <c r="D787" s="21">
        <v>120</v>
      </c>
      <c r="E787" s="21">
        <v>10</v>
      </c>
      <c r="F787" s="21"/>
    </row>
    <row r="788" spans="1:6" x14ac:dyDescent="0.25">
      <c r="A788" s="30" t="s">
        <v>854</v>
      </c>
      <c r="B788" s="30" t="s">
        <v>22</v>
      </c>
      <c r="C788" s="30">
        <v>20</v>
      </c>
      <c r="D788" s="30">
        <v>1120</v>
      </c>
      <c r="E788" s="30">
        <v>56</v>
      </c>
      <c r="F788" s="14"/>
    </row>
    <row r="789" spans="1:6" x14ac:dyDescent="0.25">
      <c r="A789" s="30" t="s">
        <v>855</v>
      </c>
      <c r="B789" s="30" t="s">
        <v>22</v>
      </c>
      <c r="C789" s="30">
        <v>20</v>
      </c>
      <c r="D789" s="30">
        <v>1120</v>
      </c>
      <c r="E789" s="30">
        <v>56</v>
      </c>
      <c r="F789" s="14"/>
    </row>
    <row r="790" spans="1:6" x14ac:dyDescent="0.25">
      <c r="A790" s="21" t="s">
        <v>856</v>
      </c>
      <c r="B790" s="21" t="s">
        <v>22</v>
      </c>
      <c r="C790" s="21">
        <v>40</v>
      </c>
      <c r="D790" s="21">
        <v>1440</v>
      </c>
      <c r="E790" s="21">
        <v>36</v>
      </c>
      <c r="F790" s="21"/>
    </row>
    <row r="791" spans="1:6" x14ac:dyDescent="0.25">
      <c r="A791" s="21" t="s">
        <v>857</v>
      </c>
      <c r="B791" s="21" t="s">
        <v>22</v>
      </c>
      <c r="C791" s="21">
        <v>18</v>
      </c>
      <c r="D791" s="21">
        <v>288</v>
      </c>
      <c r="E791" s="21">
        <v>16</v>
      </c>
      <c r="F791" s="21"/>
    </row>
    <row r="792" spans="1:6" x14ac:dyDescent="0.25">
      <c r="A792" s="21" t="s">
        <v>858</v>
      </c>
      <c r="B792" s="21" t="s">
        <v>22</v>
      </c>
      <c r="C792" s="21">
        <v>18</v>
      </c>
      <c r="D792" s="21">
        <v>288</v>
      </c>
      <c r="E792" s="21">
        <v>16</v>
      </c>
      <c r="F792" s="21"/>
    </row>
    <row r="793" spans="1:6" x14ac:dyDescent="0.25">
      <c r="A793" s="21" t="s">
        <v>859</v>
      </c>
      <c r="B793" s="21" t="s">
        <v>22</v>
      </c>
      <c r="C793" s="21">
        <v>18</v>
      </c>
      <c r="D793" s="21">
        <v>288</v>
      </c>
      <c r="E793" s="21">
        <v>16</v>
      </c>
      <c r="F793" s="21"/>
    </row>
    <row r="794" spans="1:6" x14ac:dyDescent="0.25">
      <c r="A794" s="21" t="s">
        <v>860</v>
      </c>
      <c r="B794" s="21" t="s">
        <v>22</v>
      </c>
      <c r="C794" s="21">
        <v>18</v>
      </c>
      <c r="D794" s="21">
        <v>288</v>
      </c>
      <c r="E794" s="21">
        <v>16</v>
      </c>
      <c r="F794" s="21"/>
    </row>
    <row r="795" spans="1:6" x14ac:dyDescent="0.25">
      <c r="A795" s="21" t="s">
        <v>861</v>
      </c>
      <c r="B795" s="21" t="s">
        <v>22</v>
      </c>
      <c r="C795" s="21">
        <v>18</v>
      </c>
      <c r="D795" s="21">
        <v>288</v>
      </c>
      <c r="E795" s="21">
        <v>16</v>
      </c>
      <c r="F795" s="21"/>
    </row>
    <row r="796" spans="1:6" x14ac:dyDescent="0.25">
      <c r="A796" s="21" t="s">
        <v>862</v>
      </c>
      <c r="B796" s="21" t="s">
        <v>22</v>
      </c>
      <c r="C796" s="21">
        <v>18</v>
      </c>
      <c r="D796" s="21">
        <v>288</v>
      </c>
      <c r="E796" s="21">
        <v>16</v>
      </c>
      <c r="F796" s="21"/>
    </row>
    <row r="797" spans="1:6" x14ac:dyDescent="0.25">
      <c r="A797" s="21" t="s">
        <v>863</v>
      </c>
      <c r="B797" s="21" t="s">
        <v>22</v>
      </c>
      <c r="C797" s="21">
        <v>12</v>
      </c>
      <c r="D797" s="21">
        <v>216</v>
      </c>
      <c r="E797" s="21">
        <v>18</v>
      </c>
      <c r="F797" s="21"/>
    </row>
    <row r="798" spans="1:6" x14ac:dyDescent="0.25">
      <c r="A798" s="21" t="s">
        <v>864</v>
      </c>
      <c r="B798" s="21" t="s">
        <v>22</v>
      </c>
      <c r="C798" s="21">
        <v>12</v>
      </c>
      <c r="D798" s="21">
        <v>288</v>
      </c>
      <c r="E798" s="21">
        <v>24</v>
      </c>
      <c r="F798" s="21"/>
    </row>
    <row r="799" spans="1:6" x14ac:dyDescent="0.25">
      <c r="A799" s="21" t="s">
        <v>865</v>
      </c>
      <c r="B799" s="21" t="s">
        <v>22</v>
      </c>
      <c r="C799" s="21">
        <v>12</v>
      </c>
      <c r="D799" s="21">
        <v>216</v>
      </c>
      <c r="E799" s="21">
        <v>18</v>
      </c>
      <c r="F799" s="21"/>
    </row>
    <row r="800" spans="1:6" x14ac:dyDescent="0.25">
      <c r="A800" s="21" t="s">
        <v>866</v>
      </c>
      <c r="B800" s="21" t="s">
        <v>22</v>
      </c>
      <c r="C800" s="21">
        <v>12</v>
      </c>
      <c r="D800" s="21">
        <v>216</v>
      </c>
      <c r="E800" s="21">
        <v>18</v>
      </c>
      <c r="F800" s="21"/>
    </row>
    <row r="801" spans="1:6" x14ac:dyDescent="0.25">
      <c r="A801" s="21" t="s">
        <v>867</v>
      </c>
      <c r="B801" s="21" t="s">
        <v>22</v>
      </c>
      <c r="C801" s="21">
        <v>12</v>
      </c>
      <c r="D801" s="21">
        <v>288</v>
      </c>
      <c r="E801" s="21">
        <v>24</v>
      </c>
      <c r="F801" s="21"/>
    </row>
    <row r="802" spans="1:6" x14ac:dyDescent="0.25">
      <c r="A802" s="21" t="s">
        <v>868</v>
      </c>
      <c r="B802" s="21" t="s">
        <v>22</v>
      </c>
      <c r="C802" s="21">
        <v>12</v>
      </c>
      <c r="D802" s="21">
        <v>192</v>
      </c>
      <c r="E802" s="21">
        <v>16</v>
      </c>
      <c r="F802" s="21"/>
    </row>
    <row r="803" spans="1:6" x14ac:dyDescent="0.25">
      <c r="A803" s="21" t="s">
        <v>869</v>
      </c>
      <c r="B803" s="21" t="s">
        <v>22</v>
      </c>
      <c r="C803" s="21">
        <v>12</v>
      </c>
      <c r="D803" s="21">
        <v>192</v>
      </c>
      <c r="E803" s="21">
        <v>16</v>
      </c>
      <c r="F803" s="21"/>
    </row>
    <row r="804" spans="1:6" x14ac:dyDescent="0.25">
      <c r="A804" s="21" t="s">
        <v>870</v>
      </c>
      <c r="B804" s="21" t="s">
        <v>22</v>
      </c>
      <c r="C804" s="21">
        <v>12</v>
      </c>
      <c r="D804" s="21">
        <v>192</v>
      </c>
      <c r="E804" s="21">
        <v>16</v>
      </c>
      <c r="F804" s="21"/>
    </row>
    <row r="805" spans="1:6" x14ac:dyDescent="0.25">
      <c r="A805" s="21" t="s">
        <v>871</v>
      </c>
      <c r="B805" s="21" t="s">
        <v>22</v>
      </c>
      <c r="C805" s="21">
        <v>6</v>
      </c>
      <c r="D805" s="21">
        <v>144</v>
      </c>
      <c r="E805" s="21">
        <v>24</v>
      </c>
      <c r="F805" s="21"/>
    </row>
    <row r="806" spans="1:6" x14ac:dyDescent="0.25">
      <c r="A806" s="21" t="s">
        <v>872</v>
      </c>
      <c r="B806" s="21" t="s">
        <v>22</v>
      </c>
      <c r="C806" s="21">
        <v>6</v>
      </c>
      <c r="D806" s="21">
        <v>144</v>
      </c>
      <c r="E806" s="21">
        <v>24</v>
      </c>
      <c r="F806" s="21"/>
    </row>
    <row r="807" spans="1:6" x14ac:dyDescent="0.25">
      <c r="A807" s="21" t="s">
        <v>873</v>
      </c>
      <c r="B807" s="21" t="s">
        <v>22</v>
      </c>
      <c r="C807" s="21">
        <v>6</v>
      </c>
      <c r="D807" s="21">
        <v>144</v>
      </c>
      <c r="E807" s="21">
        <v>24</v>
      </c>
      <c r="F807" s="21"/>
    </row>
    <row r="808" spans="1:6" x14ac:dyDescent="0.25">
      <c r="A808" s="21" t="s">
        <v>874</v>
      </c>
      <c r="B808" s="21" t="s">
        <v>22</v>
      </c>
      <c r="C808" s="21">
        <v>9</v>
      </c>
      <c r="D808" s="21">
        <v>162</v>
      </c>
      <c r="E808" s="21">
        <v>18</v>
      </c>
      <c r="F808" s="21"/>
    </row>
    <row r="809" spans="1:6" x14ac:dyDescent="0.25">
      <c r="A809" s="21" t="s">
        <v>875</v>
      </c>
      <c r="B809" s="21" t="s">
        <v>22</v>
      </c>
      <c r="C809" s="21">
        <v>6</v>
      </c>
      <c r="D809" s="21">
        <v>144</v>
      </c>
      <c r="E809" s="21">
        <v>24</v>
      </c>
      <c r="F809" s="21"/>
    </row>
    <row r="810" spans="1:6" x14ac:dyDescent="0.25">
      <c r="A810" s="21" t="s">
        <v>876</v>
      </c>
      <c r="B810" s="21" t="s">
        <v>22</v>
      </c>
      <c r="C810" s="21">
        <v>9</v>
      </c>
      <c r="D810" s="21">
        <v>162</v>
      </c>
      <c r="E810" s="21">
        <v>18</v>
      </c>
      <c r="F810" s="21"/>
    </row>
    <row r="811" spans="1:6" x14ac:dyDescent="0.25">
      <c r="A811" s="21" t="s">
        <v>877</v>
      </c>
      <c r="B811" s="21" t="s">
        <v>22</v>
      </c>
      <c r="C811" s="21">
        <v>6</v>
      </c>
      <c r="D811" s="21">
        <v>144</v>
      </c>
      <c r="E811" s="21">
        <v>24</v>
      </c>
      <c r="F811" s="21"/>
    </row>
    <row r="812" spans="1:6" x14ac:dyDescent="0.25">
      <c r="A812" s="21" t="s">
        <v>878</v>
      </c>
      <c r="B812" s="21" t="s">
        <v>22</v>
      </c>
      <c r="C812" s="21">
        <v>9</v>
      </c>
      <c r="D812" s="21">
        <v>162</v>
      </c>
      <c r="E812" s="21">
        <v>18</v>
      </c>
      <c r="F812" s="21"/>
    </row>
    <row r="813" spans="1:6" x14ac:dyDescent="0.25">
      <c r="A813" s="21" t="s">
        <v>879</v>
      </c>
      <c r="B813" s="21" t="s">
        <v>22</v>
      </c>
      <c r="C813" s="21">
        <v>6</v>
      </c>
      <c r="D813" s="21">
        <v>144</v>
      </c>
      <c r="E813" s="21">
        <v>24</v>
      </c>
      <c r="F813" s="21"/>
    </row>
    <row r="814" spans="1:6" x14ac:dyDescent="0.25">
      <c r="A814" s="21" t="s">
        <v>880</v>
      </c>
      <c r="B814" s="21" t="s">
        <v>22</v>
      </c>
      <c r="C814" s="21">
        <v>4</v>
      </c>
      <c r="D814" s="21">
        <v>96</v>
      </c>
      <c r="E814" s="21">
        <v>24</v>
      </c>
      <c r="F814" s="21"/>
    </row>
    <row r="815" spans="1:6" x14ac:dyDescent="0.25">
      <c r="A815" s="21" t="s">
        <v>881</v>
      </c>
      <c r="B815" s="21" t="s">
        <v>22</v>
      </c>
      <c r="C815" s="21">
        <v>4</v>
      </c>
      <c r="D815" s="21">
        <v>96</v>
      </c>
      <c r="E815" s="21">
        <v>24</v>
      </c>
      <c r="F815" s="21"/>
    </row>
    <row r="816" spans="1:6" x14ac:dyDescent="0.25">
      <c r="A816" s="21" t="s">
        <v>882</v>
      </c>
      <c r="B816" s="21" t="s">
        <v>22</v>
      </c>
      <c r="C816" s="21">
        <v>4</v>
      </c>
      <c r="D816" s="21">
        <v>96</v>
      </c>
      <c r="E816" s="21">
        <v>24</v>
      </c>
      <c r="F816" s="21"/>
    </row>
    <row r="817" spans="1:6" x14ac:dyDescent="0.25">
      <c r="A817" s="21" t="s">
        <v>883</v>
      </c>
      <c r="B817" s="21" t="s">
        <v>22</v>
      </c>
      <c r="C817" s="21">
        <v>4</v>
      </c>
      <c r="D817" s="21">
        <v>96</v>
      </c>
      <c r="E817" s="21">
        <v>24</v>
      </c>
      <c r="F817" s="21"/>
    </row>
    <row r="818" spans="1:6" x14ac:dyDescent="0.25">
      <c r="A818" s="21" t="s">
        <v>884</v>
      </c>
      <c r="B818" s="21" t="s">
        <v>22</v>
      </c>
      <c r="C818" s="21">
        <v>9</v>
      </c>
      <c r="D818" s="21">
        <v>162</v>
      </c>
      <c r="E818" s="21">
        <v>18</v>
      </c>
      <c r="F818" s="21"/>
    </row>
    <row r="819" spans="1:6" x14ac:dyDescent="0.25">
      <c r="A819" s="21" t="s">
        <v>885</v>
      </c>
      <c r="B819" s="21" t="s">
        <v>22</v>
      </c>
      <c r="C819" s="21">
        <v>4</v>
      </c>
      <c r="D819" s="21">
        <v>96</v>
      </c>
      <c r="E819" s="21">
        <v>24</v>
      </c>
      <c r="F819" s="21"/>
    </row>
    <row r="820" spans="1:6" x14ac:dyDescent="0.25">
      <c r="A820" s="21" t="s">
        <v>886</v>
      </c>
      <c r="B820" s="21" t="s">
        <v>22</v>
      </c>
      <c r="C820" s="21">
        <v>4</v>
      </c>
      <c r="D820" s="21">
        <v>96</v>
      </c>
      <c r="E820" s="21">
        <v>24</v>
      </c>
      <c r="F820" s="21"/>
    </row>
    <row r="821" spans="1:6" x14ac:dyDescent="0.25">
      <c r="A821" s="21" t="s">
        <v>887</v>
      </c>
      <c r="B821" s="21" t="s">
        <v>22</v>
      </c>
      <c r="C821" s="21">
        <v>20</v>
      </c>
      <c r="D821" s="21">
        <v>1680</v>
      </c>
      <c r="E821" s="21">
        <v>84</v>
      </c>
      <c r="F821" s="21"/>
    </row>
    <row r="822" spans="1:6" x14ac:dyDescent="0.25">
      <c r="A822" s="21" t="s">
        <v>888</v>
      </c>
      <c r="B822" s="21" t="s">
        <v>22</v>
      </c>
      <c r="C822" s="21">
        <v>20</v>
      </c>
      <c r="D822" s="21">
        <v>1040</v>
      </c>
      <c r="E822" s="21">
        <v>52</v>
      </c>
      <c r="F822" s="21"/>
    </row>
    <row r="823" spans="1:6" x14ac:dyDescent="0.25">
      <c r="A823" s="21" t="s">
        <v>889</v>
      </c>
      <c r="B823" s="21" t="s">
        <v>22</v>
      </c>
      <c r="C823" s="21">
        <v>20</v>
      </c>
      <c r="D823" s="21">
        <v>1040</v>
      </c>
      <c r="E823" s="21">
        <v>52</v>
      </c>
      <c r="F823" s="21"/>
    </row>
    <row r="824" spans="1:6" x14ac:dyDescent="0.25">
      <c r="A824" s="21" t="s">
        <v>890</v>
      </c>
      <c r="B824" s="21" t="s">
        <v>22</v>
      </c>
      <c r="C824" s="21">
        <v>20</v>
      </c>
      <c r="D824" s="21">
        <v>1040</v>
      </c>
      <c r="E824" s="21">
        <v>52</v>
      </c>
      <c r="F824" s="21"/>
    </row>
    <row r="825" spans="1:6" x14ac:dyDescent="0.25">
      <c r="A825" s="21" t="s">
        <v>891</v>
      </c>
      <c r="B825" s="21" t="s">
        <v>22</v>
      </c>
      <c r="C825" s="21">
        <v>20</v>
      </c>
      <c r="D825" s="21">
        <v>1040</v>
      </c>
      <c r="E825" s="21">
        <v>52</v>
      </c>
      <c r="F825" s="21"/>
    </row>
    <row r="826" spans="1:6" x14ac:dyDescent="0.25">
      <c r="A826" s="21" t="s">
        <v>892</v>
      </c>
      <c r="B826" s="21" t="s">
        <v>22</v>
      </c>
      <c r="C826" s="21">
        <v>20</v>
      </c>
      <c r="D826" s="21">
        <v>1040</v>
      </c>
      <c r="E826" s="21">
        <v>52</v>
      </c>
      <c r="F826" s="21"/>
    </row>
    <row r="827" spans="1:6" x14ac:dyDescent="0.25">
      <c r="A827" s="21" t="s">
        <v>893</v>
      </c>
      <c r="B827" s="21" t="s">
        <v>22</v>
      </c>
      <c r="C827" s="21">
        <v>20</v>
      </c>
      <c r="D827" s="21">
        <v>1040</v>
      </c>
      <c r="E827" s="21">
        <v>52</v>
      </c>
      <c r="F827" s="21"/>
    </row>
    <row r="828" spans="1:6" x14ac:dyDescent="0.25">
      <c r="A828" s="21" t="s">
        <v>894</v>
      </c>
      <c r="B828" s="21" t="s">
        <v>22</v>
      </c>
      <c r="C828" s="21">
        <v>20</v>
      </c>
      <c r="D828" s="21">
        <v>1040</v>
      </c>
      <c r="E828" s="21">
        <v>52</v>
      </c>
      <c r="F828" s="21"/>
    </row>
    <row r="829" spans="1:6" x14ac:dyDescent="0.25">
      <c r="A829" s="21" t="s">
        <v>895</v>
      </c>
      <c r="B829" s="21" t="s">
        <v>22</v>
      </c>
      <c r="C829" s="21">
        <v>20</v>
      </c>
      <c r="D829" s="21">
        <v>1040</v>
      </c>
      <c r="E829" s="21">
        <v>52</v>
      </c>
      <c r="F829" s="21"/>
    </row>
    <row r="830" spans="1:6" x14ac:dyDescent="0.25">
      <c r="A830" s="21" t="s">
        <v>896</v>
      </c>
      <c r="B830" s="21" t="s">
        <v>22</v>
      </c>
      <c r="C830" s="21">
        <v>20</v>
      </c>
      <c r="D830" s="21">
        <v>1040</v>
      </c>
      <c r="E830" s="21">
        <v>52</v>
      </c>
      <c r="F830" s="21"/>
    </row>
    <row r="831" spans="1:6" x14ac:dyDescent="0.25">
      <c r="A831" s="21" t="s">
        <v>897</v>
      </c>
      <c r="B831" s="21" t="s">
        <v>22</v>
      </c>
      <c r="C831" s="21">
        <v>20</v>
      </c>
      <c r="D831" s="21">
        <v>1040</v>
      </c>
      <c r="E831" s="21">
        <v>52</v>
      </c>
      <c r="F831" s="21"/>
    </row>
    <row r="832" spans="1:6" x14ac:dyDescent="0.25">
      <c r="A832" s="21" t="s">
        <v>898</v>
      </c>
      <c r="B832" s="21" t="s">
        <v>22</v>
      </c>
      <c r="C832" s="21">
        <v>20</v>
      </c>
      <c r="D832" s="21">
        <v>1040</v>
      </c>
      <c r="E832" s="21">
        <v>52</v>
      </c>
      <c r="F832" s="21"/>
    </row>
    <row r="833" spans="1:6" x14ac:dyDescent="0.25">
      <c r="A833" s="21" t="s">
        <v>899</v>
      </c>
      <c r="B833" s="21" t="s">
        <v>22</v>
      </c>
      <c r="C833" s="21">
        <v>20</v>
      </c>
      <c r="D833" s="21">
        <v>1040</v>
      </c>
      <c r="E833" s="21">
        <v>52</v>
      </c>
      <c r="F833" s="21"/>
    </row>
    <row r="834" spans="1:6" x14ac:dyDescent="0.25">
      <c r="A834" s="21" t="s">
        <v>900</v>
      </c>
      <c r="B834" s="21" t="s">
        <v>22</v>
      </c>
      <c r="C834" s="21">
        <v>20</v>
      </c>
      <c r="D834" s="21">
        <v>1040</v>
      </c>
      <c r="E834" s="21">
        <v>52</v>
      </c>
      <c r="F834" s="21"/>
    </row>
    <row r="835" spans="1:6" x14ac:dyDescent="0.25">
      <c r="A835" s="21" t="s">
        <v>901</v>
      </c>
      <c r="B835" s="21" t="s">
        <v>22</v>
      </c>
      <c r="C835" s="21">
        <v>20</v>
      </c>
      <c r="D835" s="21">
        <v>1040</v>
      </c>
      <c r="E835" s="21">
        <v>52</v>
      </c>
      <c r="F835" s="21"/>
    </row>
    <row r="836" spans="1:6" x14ac:dyDescent="0.25">
      <c r="A836" s="21" t="s">
        <v>902</v>
      </c>
      <c r="B836" s="21" t="s">
        <v>22</v>
      </c>
      <c r="C836" s="21">
        <v>20</v>
      </c>
      <c r="D836" s="21">
        <v>1040</v>
      </c>
      <c r="E836" s="21">
        <v>52</v>
      </c>
      <c r="F836" s="21"/>
    </row>
    <row r="837" spans="1:6" x14ac:dyDescent="0.25">
      <c r="A837" s="21" t="s">
        <v>903</v>
      </c>
      <c r="B837" s="21" t="s">
        <v>22</v>
      </c>
      <c r="C837" s="21">
        <v>20</v>
      </c>
      <c r="D837" s="21">
        <v>1200</v>
      </c>
      <c r="E837" s="21">
        <v>60</v>
      </c>
      <c r="F837" s="21"/>
    </row>
    <row r="838" spans="1:6" x14ac:dyDescent="0.25">
      <c r="A838" s="21" t="s">
        <v>904</v>
      </c>
      <c r="B838" s="21" t="s">
        <v>22</v>
      </c>
      <c r="C838" s="21">
        <v>20</v>
      </c>
      <c r="D838" s="21">
        <v>1200</v>
      </c>
      <c r="E838" s="21">
        <v>60</v>
      </c>
      <c r="F838" s="21"/>
    </row>
    <row r="839" spans="1:6" x14ac:dyDescent="0.25">
      <c r="A839" s="21" t="s">
        <v>905</v>
      </c>
      <c r="B839" s="21" t="s">
        <v>22</v>
      </c>
      <c r="C839" s="21">
        <v>20</v>
      </c>
      <c r="D839" s="21">
        <v>1200</v>
      </c>
      <c r="E839" s="21">
        <v>60</v>
      </c>
      <c r="F839" s="21"/>
    </row>
    <row r="840" spans="1:6" x14ac:dyDescent="0.25">
      <c r="A840" s="21" t="s">
        <v>906</v>
      </c>
      <c r="B840" s="21" t="s">
        <v>22</v>
      </c>
      <c r="C840" s="21">
        <v>20</v>
      </c>
      <c r="D840" s="21">
        <v>1200</v>
      </c>
      <c r="E840" s="21">
        <v>60</v>
      </c>
      <c r="F840" s="21"/>
    </row>
    <row r="841" spans="1:6" x14ac:dyDescent="0.25">
      <c r="A841" s="21" t="s">
        <v>907</v>
      </c>
      <c r="B841" s="21" t="s">
        <v>22</v>
      </c>
      <c r="C841" s="21">
        <v>20</v>
      </c>
      <c r="D841" s="21">
        <v>1200</v>
      </c>
      <c r="E841" s="21">
        <v>60</v>
      </c>
      <c r="F841" s="21"/>
    </row>
    <row r="842" spans="1:6" x14ac:dyDescent="0.25">
      <c r="A842" s="21" t="s">
        <v>908</v>
      </c>
      <c r="B842" s="21" t="s">
        <v>22</v>
      </c>
      <c r="C842" s="21">
        <v>20</v>
      </c>
      <c r="D842" s="21">
        <v>1200</v>
      </c>
      <c r="E842" s="21">
        <v>60</v>
      </c>
      <c r="F842" s="21"/>
    </row>
    <row r="843" spans="1:6" x14ac:dyDescent="0.25">
      <c r="A843" s="21" t="s">
        <v>909</v>
      </c>
      <c r="B843" s="21" t="s">
        <v>22</v>
      </c>
      <c r="C843" s="21">
        <v>20</v>
      </c>
      <c r="D843" s="21">
        <v>1200</v>
      </c>
      <c r="E843" s="21">
        <v>60</v>
      </c>
      <c r="F843" s="21"/>
    </row>
    <row r="844" spans="1:6" x14ac:dyDescent="0.25">
      <c r="A844" s="21" t="s">
        <v>910</v>
      </c>
      <c r="B844" s="21" t="s">
        <v>22</v>
      </c>
      <c r="C844" s="21">
        <v>40</v>
      </c>
      <c r="D844" s="21">
        <v>1600</v>
      </c>
      <c r="E844" s="21">
        <v>40</v>
      </c>
      <c r="F844" s="21"/>
    </row>
    <row r="845" spans="1:6" x14ac:dyDescent="0.25">
      <c r="A845" s="21" t="s">
        <v>911</v>
      </c>
      <c r="B845" s="21" t="s">
        <v>22</v>
      </c>
      <c r="C845" s="21">
        <v>40</v>
      </c>
      <c r="D845" s="21">
        <v>1600</v>
      </c>
      <c r="E845" s="21">
        <v>40</v>
      </c>
      <c r="F845" s="21"/>
    </row>
    <row r="846" spans="1:6" x14ac:dyDescent="0.25">
      <c r="A846" s="21" t="s">
        <v>912</v>
      </c>
      <c r="B846" s="21" t="s">
        <v>22</v>
      </c>
      <c r="C846" s="21">
        <v>40</v>
      </c>
      <c r="D846" s="21">
        <v>1600</v>
      </c>
      <c r="E846" s="21">
        <v>40</v>
      </c>
      <c r="F846" s="21"/>
    </row>
    <row r="847" spans="1:6" x14ac:dyDescent="0.25">
      <c r="A847" s="21" t="s">
        <v>913</v>
      </c>
      <c r="B847" s="21" t="s">
        <v>22</v>
      </c>
      <c r="C847" s="21">
        <v>40</v>
      </c>
      <c r="D847" s="21">
        <v>1600</v>
      </c>
      <c r="E847" s="21">
        <v>40</v>
      </c>
      <c r="F847" s="21"/>
    </row>
    <row r="848" spans="1:6" x14ac:dyDescent="0.25">
      <c r="A848" s="21" t="s">
        <v>914</v>
      </c>
      <c r="B848" s="21" t="s">
        <v>22</v>
      </c>
      <c r="C848" s="21">
        <v>40</v>
      </c>
      <c r="D848" s="21">
        <v>1600</v>
      </c>
      <c r="E848" s="21">
        <v>40</v>
      </c>
      <c r="F848" s="21"/>
    </row>
    <row r="849" spans="1:6" x14ac:dyDescent="0.25">
      <c r="A849" s="21" t="s">
        <v>915</v>
      </c>
      <c r="B849" s="21" t="s">
        <v>22</v>
      </c>
      <c r="C849" s="21">
        <v>40</v>
      </c>
      <c r="D849" s="21">
        <v>1600</v>
      </c>
      <c r="E849" s="21">
        <v>40</v>
      </c>
      <c r="F849" s="21"/>
    </row>
    <row r="850" spans="1:6" x14ac:dyDescent="0.25">
      <c r="A850" s="21" t="s">
        <v>916</v>
      </c>
      <c r="B850" s="21" t="s">
        <v>22</v>
      </c>
      <c r="C850" s="21">
        <v>40</v>
      </c>
      <c r="D850" s="21">
        <v>1600</v>
      </c>
      <c r="E850" s="21">
        <v>40</v>
      </c>
      <c r="F850" s="21"/>
    </row>
    <row r="851" spans="1:6" x14ac:dyDescent="0.25">
      <c r="A851" s="21" t="s">
        <v>917</v>
      </c>
      <c r="B851" s="21" t="s">
        <v>22</v>
      </c>
      <c r="C851" s="21">
        <v>30</v>
      </c>
      <c r="D851" s="21">
        <v>1500</v>
      </c>
      <c r="E851" s="21">
        <v>50</v>
      </c>
      <c r="F851" s="21"/>
    </row>
    <row r="852" spans="1:6" x14ac:dyDescent="0.25">
      <c r="A852" s="21" t="s">
        <v>918</v>
      </c>
      <c r="B852" s="21" t="s">
        <v>22</v>
      </c>
      <c r="C852" s="21">
        <v>30</v>
      </c>
      <c r="D852" s="21">
        <v>1500</v>
      </c>
      <c r="E852" s="21">
        <v>50</v>
      </c>
      <c r="F852" s="21"/>
    </row>
    <row r="853" spans="1:6" x14ac:dyDescent="0.25">
      <c r="A853" s="21" t="s">
        <v>919</v>
      </c>
      <c r="B853" s="21" t="s">
        <v>22</v>
      </c>
      <c r="C853" s="21">
        <v>30</v>
      </c>
      <c r="D853" s="21">
        <v>1500</v>
      </c>
      <c r="E853" s="21">
        <v>50</v>
      </c>
      <c r="F853" s="21"/>
    </row>
    <row r="854" spans="1:6" x14ac:dyDescent="0.25">
      <c r="A854" s="21" t="s">
        <v>920</v>
      </c>
      <c r="B854" s="21" t="s">
        <v>22</v>
      </c>
      <c r="C854" s="21">
        <v>30</v>
      </c>
      <c r="D854" s="21">
        <v>1500</v>
      </c>
      <c r="E854" s="21">
        <v>50</v>
      </c>
      <c r="F854" s="21"/>
    </row>
    <row r="855" spans="1:6" x14ac:dyDescent="0.25">
      <c r="A855" s="21" t="s">
        <v>921</v>
      </c>
      <c r="B855" s="21" t="s">
        <v>22</v>
      </c>
      <c r="C855" s="21">
        <v>30</v>
      </c>
      <c r="D855" s="21">
        <v>1500</v>
      </c>
      <c r="E855" s="21">
        <v>50</v>
      </c>
      <c r="F855" s="21"/>
    </row>
    <row r="856" spans="1:6" x14ac:dyDescent="0.25">
      <c r="A856" s="21" t="s">
        <v>922</v>
      </c>
      <c r="B856" s="21" t="s">
        <v>22</v>
      </c>
      <c r="C856" s="21">
        <v>30</v>
      </c>
      <c r="D856" s="21">
        <v>1500</v>
      </c>
      <c r="E856" s="21">
        <v>50</v>
      </c>
      <c r="F856" s="21"/>
    </row>
    <row r="857" spans="1:6" x14ac:dyDescent="0.25">
      <c r="A857" s="21" t="s">
        <v>923</v>
      </c>
      <c r="B857" s="21" t="s">
        <v>22</v>
      </c>
      <c r="C857" s="21">
        <v>30</v>
      </c>
      <c r="D857" s="21">
        <v>1500</v>
      </c>
      <c r="E857" s="21">
        <v>50</v>
      </c>
      <c r="F857" s="21"/>
    </row>
    <row r="858" spans="1:6" x14ac:dyDescent="0.25">
      <c r="A858" s="21" t="s">
        <v>924</v>
      </c>
      <c r="B858" s="21" t="s">
        <v>22</v>
      </c>
      <c r="C858" s="21">
        <v>30</v>
      </c>
      <c r="D858" s="21">
        <v>1500</v>
      </c>
      <c r="E858" s="21">
        <v>50</v>
      </c>
      <c r="F858" s="21"/>
    </row>
    <row r="859" spans="1:6" x14ac:dyDescent="0.25">
      <c r="A859" s="21" t="s">
        <v>925</v>
      </c>
      <c r="B859" s="21" t="s">
        <v>22</v>
      </c>
      <c r="C859" s="21">
        <v>30</v>
      </c>
      <c r="D859" s="21">
        <v>1500</v>
      </c>
      <c r="E859" s="21">
        <v>50</v>
      </c>
      <c r="F859" s="21"/>
    </row>
    <row r="860" spans="1:6" x14ac:dyDescent="0.25">
      <c r="A860" s="21" t="s">
        <v>926</v>
      </c>
      <c r="B860" s="21" t="s">
        <v>22</v>
      </c>
      <c r="C860" s="21">
        <v>30</v>
      </c>
      <c r="D860" s="21">
        <v>1500</v>
      </c>
      <c r="E860" s="21">
        <v>50</v>
      </c>
      <c r="F860" s="21"/>
    </row>
    <row r="861" spans="1:6" x14ac:dyDescent="0.25">
      <c r="A861" s="21" t="s">
        <v>927</v>
      </c>
      <c r="B861" s="21" t="s">
        <v>22</v>
      </c>
      <c r="C861" s="21">
        <v>30</v>
      </c>
      <c r="D861" s="21">
        <v>1500</v>
      </c>
      <c r="E861" s="21">
        <v>50</v>
      </c>
      <c r="F861" s="21"/>
    </row>
    <row r="862" spans="1:6" x14ac:dyDescent="0.25">
      <c r="A862" s="21" t="s">
        <v>928</v>
      </c>
      <c r="B862" s="21" t="s">
        <v>22</v>
      </c>
      <c r="C862" s="21">
        <v>30</v>
      </c>
      <c r="D862" s="21">
        <v>1500</v>
      </c>
      <c r="E862" s="21">
        <v>50</v>
      </c>
      <c r="F862" s="21"/>
    </row>
    <row r="863" spans="1:6" x14ac:dyDescent="0.25">
      <c r="A863" s="21" t="s">
        <v>929</v>
      </c>
      <c r="B863" s="21" t="s">
        <v>22</v>
      </c>
      <c r="C863" s="21">
        <v>30</v>
      </c>
      <c r="D863" s="21">
        <v>1500</v>
      </c>
      <c r="E863" s="21">
        <v>50</v>
      </c>
      <c r="F863" s="21"/>
    </row>
    <row r="864" spans="1:6" x14ac:dyDescent="0.25">
      <c r="A864" s="21" t="s">
        <v>930</v>
      </c>
      <c r="B864" s="21" t="s">
        <v>22</v>
      </c>
      <c r="C864" s="21">
        <v>30</v>
      </c>
      <c r="D864" s="21">
        <v>1500</v>
      </c>
      <c r="E864" s="21">
        <v>50</v>
      </c>
      <c r="F864" s="21"/>
    </row>
    <row r="865" spans="1:6" x14ac:dyDescent="0.25">
      <c r="A865" s="21" t="s">
        <v>931</v>
      </c>
      <c r="B865" s="21" t="s">
        <v>22</v>
      </c>
      <c r="C865" s="21">
        <v>30</v>
      </c>
      <c r="D865" s="21">
        <v>1500</v>
      </c>
      <c r="E865" s="21">
        <v>50</v>
      </c>
      <c r="F865" s="21"/>
    </row>
    <row r="866" spans="1:6" x14ac:dyDescent="0.25">
      <c r="A866" s="21" t="s">
        <v>932</v>
      </c>
      <c r="B866" s="21" t="s">
        <v>22</v>
      </c>
      <c r="C866" s="21">
        <v>20</v>
      </c>
      <c r="D866" s="21">
        <v>1200</v>
      </c>
      <c r="E866" s="21">
        <v>60</v>
      </c>
      <c r="F866" s="21"/>
    </row>
    <row r="867" spans="1:6" x14ac:dyDescent="0.25">
      <c r="A867" s="21" t="s">
        <v>933</v>
      </c>
      <c r="B867" s="21" t="s">
        <v>22</v>
      </c>
      <c r="C867" s="21">
        <v>20</v>
      </c>
      <c r="D867" s="21">
        <v>1200</v>
      </c>
      <c r="E867" s="21">
        <v>60</v>
      </c>
      <c r="F867" s="21"/>
    </row>
    <row r="868" spans="1:6" x14ac:dyDescent="0.25">
      <c r="A868" s="21" t="s">
        <v>934</v>
      </c>
      <c r="B868" s="21" t="s">
        <v>22</v>
      </c>
      <c r="C868" s="21">
        <v>20</v>
      </c>
      <c r="D868" s="21">
        <v>1200</v>
      </c>
      <c r="E868" s="21">
        <v>60</v>
      </c>
      <c r="F868" s="21"/>
    </row>
    <row r="869" spans="1:6" x14ac:dyDescent="0.25">
      <c r="A869" s="21" t="s">
        <v>935</v>
      </c>
      <c r="B869" s="21" t="s">
        <v>22</v>
      </c>
      <c r="C869" s="21">
        <v>40</v>
      </c>
      <c r="D869" s="21">
        <v>1600</v>
      </c>
      <c r="E869" s="21">
        <v>40</v>
      </c>
      <c r="F869" s="21"/>
    </row>
    <row r="870" spans="1:6" x14ac:dyDescent="0.25">
      <c r="A870" s="21" t="s">
        <v>936</v>
      </c>
      <c r="B870" s="21" t="s">
        <v>22</v>
      </c>
      <c r="C870" s="21">
        <v>40</v>
      </c>
      <c r="D870" s="21">
        <v>1600</v>
      </c>
      <c r="E870" s="21">
        <v>40</v>
      </c>
      <c r="F870" s="21"/>
    </row>
    <row r="871" spans="1:6" x14ac:dyDescent="0.25">
      <c r="A871" s="21" t="s">
        <v>937</v>
      </c>
      <c r="B871" s="21" t="s">
        <v>22</v>
      </c>
      <c r="C871" s="21">
        <v>40</v>
      </c>
      <c r="D871" s="21">
        <v>1600</v>
      </c>
      <c r="E871" s="21">
        <v>40</v>
      </c>
      <c r="F871" s="21"/>
    </row>
    <row r="872" spans="1:6" x14ac:dyDescent="0.25">
      <c r="A872" s="21" t="s">
        <v>938</v>
      </c>
      <c r="B872" s="21" t="s">
        <v>22</v>
      </c>
      <c r="C872" s="21">
        <v>40</v>
      </c>
      <c r="D872" s="21">
        <v>1600</v>
      </c>
      <c r="E872" s="21">
        <v>40</v>
      </c>
      <c r="F872" s="21"/>
    </row>
    <row r="873" spans="1:6" x14ac:dyDescent="0.25">
      <c r="A873" s="21" t="s">
        <v>939</v>
      </c>
      <c r="B873" s="21" t="s">
        <v>22</v>
      </c>
      <c r="C873" s="21">
        <v>40</v>
      </c>
      <c r="D873" s="21">
        <v>1600</v>
      </c>
      <c r="E873" s="21">
        <v>40</v>
      </c>
      <c r="F873" s="21"/>
    </row>
    <row r="874" spans="1:6" x14ac:dyDescent="0.25">
      <c r="A874" s="21" t="s">
        <v>940</v>
      </c>
      <c r="B874" s="21" t="s">
        <v>22</v>
      </c>
      <c r="C874" s="21">
        <v>40</v>
      </c>
      <c r="D874" s="21">
        <v>1600</v>
      </c>
      <c r="E874" s="21">
        <v>40</v>
      </c>
      <c r="F874" s="21"/>
    </row>
    <row r="875" spans="1:6" x14ac:dyDescent="0.25">
      <c r="A875" s="21" t="s">
        <v>941</v>
      </c>
      <c r="B875" s="21" t="s">
        <v>22</v>
      </c>
      <c r="C875" s="21">
        <v>40</v>
      </c>
      <c r="D875" s="21">
        <v>1600</v>
      </c>
      <c r="E875" s="21">
        <v>40</v>
      </c>
      <c r="F875" s="21"/>
    </row>
    <row r="876" spans="1:6" x14ac:dyDescent="0.25">
      <c r="A876" s="21" t="s">
        <v>942</v>
      </c>
      <c r="B876" s="21" t="s">
        <v>22</v>
      </c>
      <c r="C876" s="21">
        <v>40</v>
      </c>
      <c r="D876" s="21">
        <v>1600</v>
      </c>
      <c r="E876" s="21">
        <v>40</v>
      </c>
      <c r="F876" s="21"/>
    </row>
    <row r="877" spans="1:6" x14ac:dyDescent="0.25">
      <c r="A877" s="21" t="s">
        <v>943</v>
      </c>
      <c r="B877" s="21" t="s">
        <v>22</v>
      </c>
      <c r="C877" s="21">
        <v>40</v>
      </c>
      <c r="D877" s="21">
        <v>1600</v>
      </c>
      <c r="E877" s="21">
        <v>40</v>
      </c>
      <c r="F877" s="21"/>
    </row>
    <row r="878" spans="1:6" x14ac:dyDescent="0.25">
      <c r="A878" s="21" t="s">
        <v>944</v>
      </c>
      <c r="B878" s="21" t="s">
        <v>22</v>
      </c>
      <c r="C878" s="21">
        <v>40</v>
      </c>
      <c r="D878" s="21">
        <v>1600</v>
      </c>
      <c r="E878" s="21">
        <v>40</v>
      </c>
      <c r="F878" s="21"/>
    </row>
    <row r="879" spans="1:6" x14ac:dyDescent="0.25">
      <c r="A879" s="21" t="s">
        <v>945</v>
      </c>
      <c r="B879" s="21" t="s">
        <v>22</v>
      </c>
      <c r="C879" s="21">
        <v>40</v>
      </c>
      <c r="D879" s="21">
        <v>1600</v>
      </c>
      <c r="E879" s="21">
        <v>40</v>
      </c>
      <c r="F879" s="21"/>
    </row>
    <row r="880" spans="1:6" x14ac:dyDescent="0.25">
      <c r="A880" s="21" t="s">
        <v>946</v>
      </c>
      <c r="B880" s="21" t="s">
        <v>22</v>
      </c>
      <c r="C880" s="21">
        <v>40</v>
      </c>
      <c r="D880" s="21">
        <v>1600</v>
      </c>
      <c r="E880" s="21">
        <v>40</v>
      </c>
      <c r="F880" s="21"/>
    </row>
    <row r="881" spans="1:6" x14ac:dyDescent="0.25">
      <c r="A881" s="21" t="s">
        <v>947</v>
      </c>
      <c r="B881" s="21" t="s">
        <v>22</v>
      </c>
      <c r="C881" s="21">
        <v>30</v>
      </c>
      <c r="D881" s="21">
        <v>1500</v>
      </c>
      <c r="E881" s="21">
        <v>50</v>
      </c>
      <c r="F881" s="21"/>
    </row>
    <row r="882" spans="1:6" x14ac:dyDescent="0.25">
      <c r="A882" s="21" t="s">
        <v>948</v>
      </c>
      <c r="B882" s="21" t="s">
        <v>22</v>
      </c>
      <c r="C882" s="21">
        <v>30</v>
      </c>
      <c r="D882" s="21">
        <v>1500</v>
      </c>
      <c r="E882" s="21">
        <v>50</v>
      </c>
      <c r="F882" s="21"/>
    </row>
    <row r="883" spans="1:6" x14ac:dyDescent="0.25">
      <c r="A883" s="21" t="s">
        <v>949</v>
      </c>
      <c r="B883" s="21" t="s">
        <v>22</v>
      </c>
      <c r="C883" s="21">
        <v>30</v>
      </c>
      <c r="D883" s="21">
        <v>1500</v>
      </c>
      <c r="E883" s="21">
        <v>50</v>
      </c>
      <c r="F883" s="21"/>
    </row>
    <row r="884" spans="1:6" x14ac:dyDescent="0.25">
      <c r="A884" s="21" t="s">
        <v>950</v>
      </c>
      <c r="B884" s="21" t="s">
        <v>22</v>
      </c>
      <c r="C884" s="21">
        <v>30</v>
      </c>
      <c r="D884" s="21">
        <v>1500</v>
      </c>
      <c r="E884" s="21">
        <v>50</v>
      </c>
      <c r="F884" s="21"/>
    </row>
    <row r="885" spans="1:6" x14ac:dyDescent="0.25">
      <c r="A885" s="21" t="s">
        <v>951</v>
      </c>
      <c r="B885" s="21" t="s">
        <v>22</v>
      </c>
      <c r="C885" s="21">
        <v>30</v>
      </c>
      <c r="D885" s="21">
        <v>1500</v>
      </c>
      <c r="E885" s="21">
        <v>50</v>
      </c>
      <c r="F885" s="21"/>
    </row>
    <row r="886" spans="1:6" x14ac:dyDescent="0.25">
      <c r="A886" s="21" t="s">
        <v>952</v>
      </c>
      <c r="B886" s="21" t="s">
        <v>22</v>
      </c>
      <c r="C886" s="21">
        <v>30</v>
      </c>
      <c r="D886" s="21">
        <v>1500</v>
      </c>
      <c r="E886" s="21">
        <v>50</v>
      </c>
      <c r="F886" s="21"/>
    </row>
    <row r="887" spans="1:6" x14ac:dyDescent="0.25">
      <c r="A887" s="21" t="s">
        <v>953</v>
      </c>
      <c r="B887" s="21" t="s">
        <v>22</v>
      </c>
      <c r="C887" s="21">
        <v>30</v>
      </c>
      <c r="D887" s="21">
        <v>1500</v>
      </c>
      <c r="E887" s="21">
        <v>50</v>
      </c>
      <c r="F887" s="21"/>
    </row>
    <row r="888" spans="1:6" x14ac:dyDescent="0.25">
      <c r="A888" s="21" t="s">
        <v>954</v>
      </c>
      <c r="B888" s="21" t="s">
        <v>22</v>
      </c>
      <c r="C888" s="21">
        <v>30</v>
      </c>
      <c r="D888" s="21">
        <v>1500</v>
      </c>
      <c r="E888" s="21">
        <v>50</v>
      </c>
      <c r="F888" s="21"/>
    </row>
    <row r="889" spans="1:6" x14ac:dyDescent="0.25">
      <c r="A889" s="21" t="s">
        <v>955</v>
      </c>
      <c r="B889" s="21" t="s">
        <v>22</v>
      </c>
      <c r="C889" s="21">
        <v>30</v>
      </c>
      <c r="D889" s="21">
        <v>1500</v>
      </c>
      <c r="E889" s="21">
        <v>50</v>
      </c>
      <c r="F889" s="21"/>
    </row>
    <row r="890" spans="1:6" x14ac:dyDescent="0.25">
      <c r="A890" s="21" t="s">
        <v>956</v>
      </c>
      <c r="B890" s="21" t="s">
        <v>22</v>
      </c>
      <c r="C890" s="21">
        <v>30</v>
      </c>
      <c r="D890" s="21">
        <v>1500</v>
      </c>
      <c r="E890" s="21">
        <v>50</v>
      </c>
      <c r="F890" s="21"/>
    </row>
    <row r="891" spans="1:6" x14ac:dyDescent="0.25">
      <c r="A891" s="21" t="s">
        <v>957</v>
      </c>
      <c r="B891" s="21" t="s">
        <v>22</v>
      </c>
      <c r="C891" s="21">
        <v>30</v>
      </c>
      <c r="D891" s="21">
        <v>1500</v>
      </c>
      <c r="E891" s="21">
        <v>50</v>
      </c>
      <c r="F891" s="21"/>
    </row>
    <row r="892" spans="1:6" x14ac:dyDescent="0.25">
      <c r="A892" s="21" t="s">
        <v>958</v>
      </c>
      <c r="B892" s="21" t="s">
        <v>22</v>
      </c>
      <c r="C892" s="21">
        <v>30</v>
      </c>
      <c r="D892" s="21">
        <v>1500</v>
      </c>
      <c r="E892" s="21">
        <v>50</v>
      </c>
      <c r="F892" s="21"/>
    </row>
    <row r="893" spans="1:6" x14ac:dyDescent="0.25">
      <c r="A893" s="21" t="s">
        <v>959</v>
      </c>
      <c r="B893" s="21" t="s">
        <v>22</v>
      </c>
      <c r="C893" s="21">
        <v>30</v>
      </c>
      <c r="D893" s="21">
        <v>1500</v>
      </c>
      <c r="E893" s="21">
        <v>50</v>
      </c>
      <c r="F893" s="21"/>
    </row>
    <row r="894" spans="1:6" x14ac:dyDescent="0.25">
      <c r="A894" s="21" t="s">
        <v>960</v>
      </c>
      <c r="B894" s="21" t="s">
        <v>22</v>
      </c>
      <c r="C894" s="21">
        <v>30</v>
      </c>
      <c r="D894" s="21">
        <v>1500</v>
      </c>
      <c r="E894" s="21">
        <v>50</v>
      </c>
      <c r="F894" s="21"/>
    </row>
    <row r="895" spans="1:6" x14ac:dyDescent="0.25">
      <c r="A895" s="21" t="s">
        <v>961</v>
      </c>
      <c r="B895" s="21" t="s">
        <v>22</v>
      </c>
      <c r="C895" s="21">
        <v>30</v>
      </c>
      <c r="D895" s="21">
        <v>1500</v>
      </c>
      <c r="E895" s="21">
        <v>50</v>
      </c>
      <c r="F895" s="21"/>
    </row>
    <row r="896" spans="1:6" x14ac:dyDescent="0.25">
      <c r="A896" s="21" t="s">
        <v>962</v>
      </c>
      <c r="B896" s="21" t="s">
        <v>22</v>
      </c>
      <c r="C896" s="21">
        <v>30</v>
      </c>
      <c r="D896" s="21">
        <v>1500</v>
      </c>
      <c r="E896" s="21">
        <v>50</v>
      </c>
      <c r="F896" s="21"/>
    </row>
    <row r="897" spans="1:6" x14ac:dyDescent="0.25">
      <c r="A897" s="21" t="s">
        <v>963</v>
      </c>
      <c r="B897" s="21" t="s">
        <v>22</v>
      </c>
      <c r="C897" s="21">
        <v>30</v>
      </c>
      <c r="D897" s="21">
        <v>1500</v>
      </c>
      <c r="E897" s="21">
        <v>50</v>
      </c>
      <c r="F897" s="21"/>
    </row>
    <row r="898" spans="1:6" x14ac:dyDescent="0.25">
      <c r="A898" s="21" t="s">
        <v>964</v>
      </c>
      <c r="B898" s="21" t="s">
        <v>22</v>
      </c>
      <c r="C898" s="21">
        <v>30</v>
      </c>
      <c r="D898" s="21">
        <v>1500</v>
      </c>
      <c r="E898" s="21">
        <v>50</v>
      </c>
      <c r="F898" s="21"/>
    </row>
    <row r="899" spans="1:6" x14ac:dyDescent="0.25">
      <c r="A899" s="21" t="s">
        <v>965</v>
      </c>
      <c r="B899" s="21" t="s">
        <v>22</v>
      </c>
      <c r="C899" s="21">
        <v>30</v>
      </c>
      <c r="D899" s="21">
        <v>1500</v>
      </c>
      <c r="E899" s="21">
        <v>50</v>
      </c>
      <c r="F899" s="21"/>
    </row>
    <row r="900" spans="1:6" x14ac:dyDescent="0.25">
      <c r="A900" s="21" t="s">
        <v>966</v>
      </c>
      <c r="B900" s="21" t="s">
        <v>22</v>
      </c>
      <c r="C900" s="21">
        <v>30</v>
      </c>
      <c r="D900" s="21">
        <v>1500</v>
      </c>
      <c r="E900" s="21">
        <v>50</v>
      </c>
      <c r="F900" s="21"/>
    </row>
    <row r="901" spans="1:6" x14ac:dyDescent="0.25">
      <c r="A901" s="21" t="s">
        <v>967</v>
      </c>
      <c r="B901" s="21" t="s">
        <v>22</v>
      </c>
      <c r="C901" s="21">
        <v>30</v>
      </c>
      <c r="D901" s="21">
        <v>1500</v>
      </c>
      <c r="E901" s="21">
        <v>50</v>
      </c>
      <c r="F901" s="21"/>
    </row>
    <row r="902" spans="1:6" x14ac:dyDescent="0.25">
      <c r="A902" s="21" t="s">
        <v>968</v>
      </c>
      <c r="B902" s="21" t="s">
        <v>22</v>
      </c>
      <c r="C902" s="21">
        <v>30</v>
      </c>
      <c r="D902" s="21">
        <v>1500</v>
      </c>
      <c r="E902" s="21">
        <v>50</v>
      </c>
      <c r="F902" s="21"/>
    </row>
    <row r="903" spans="1:6" x14ac:dyDescent="0.25">
      <c r="A903" s="21" t="s">
        <v>969</v>
      </c>
      <c r="B903" s="21" t="s">
        <v>22</v>
      </c>
      <c r="C903" s="21">
        <v>30</v>
      </c>
      <c r="D903" s="21">
        <v>1500</v>
      </c>
      <c r="E903" s="21">
        <v>50</v>
      </c>
      <c r="F903" s="21"/>
    </row>
    <row r="904" spans="1:6" x14ac:dyDescent="0.25">
      <c r="A904" s="21" t="s">
        <v>970</v>
      </c>
      <c r="B904" s="21" t="s">
        <v>22</v>
      </c>
      <c r="C904" s="21">
        <v>30</v>
      </c>
      <c r="D904" s="21">
        <v>1500</v>
      </c>
      <c r="E904" s="21">
        <v>50</v>
      </c>
      <c r="F904" s="21"/>
    </row>
    <row r="905" spans="1:6" x14ac:dyDescent="0.25">
      <c r="A905" s="21" t="s">
        <v>971</v>
      </c>
      <c r="B905" s="21" t="s">
        <v>22</v>
      </c>
      <c r="C905" s="21">
        <v>30</v>
      </c>
      <c r="D905" s="21">
        <v>1500</v>
      </c>
      <c r="E905" s="21">
        <v>50</v>
      </c>
      <c r="F905" s="21"/>
    </row>
    <row r="906" spans="1:6" x14ac:dyDescent="0.25">
      <c r="A906" s="21" t="s">
        <v>972</v>
      </c>
      <c r="B906" s="21" t="s">
        <v>22</v>
      </c>
      <c r="C906" s="21">
        <v>30</v>
      </c>
      <c r="D906" s="21">
        <v>1500</v>
      </c>
      <c r="E906" s="21">
        <v>50</v>
      </c>
      <c r="F906" s="21"/>
    </row>
    <row r="907" spans="1:6" x14ac:dyDescent="0.25">
      <c r="A907" s="21" t="s">
        <v>973</v>
      </c>
      <c r="B907" s="21" t="s">
        <v>22</v>
      </c>
      <c r="C907" s="21">
        <v>30</v>
      </c>
      <c r="D907" s="21">
        <v>1500</v>
      </c>
      <c r="E907" s="21">
        <v>50</v>
      </c>
      <c r="F907" s="21"/>
    </row>
    <row r="908" spans="1:6" x14ac:dyDescent="0.25">
      <c r="A908" s="21" t="s">
        <v>974</v>
      </c>
      <c r="B908" s="21" t="s">
        <v>22</v>
      </c>
      <c r="C908" s="21">
        <v>30</v>
      </c>
      <c r="D908" s="21">
        <v>1500</v>
      </c>
      <c r="E908" s="21">
        <v>50</v>
      </c>
      <c r="F908" s="21"/>
    </row>
    <row r="909" spans="1:6" x14ac:dyDescent="0.25">
      <c r="A909" s="21" t="s">
        <v>975</v>
      </c>
      <c r="B909" s="21" t="s">
        <v>22</v>
      </c>
      <c r="C909" s="21">
        <v>30</v>
      </c>
      <c r="D909" s="21">
        <v>1500</v>
      </c>
      <c r="E909" s="21">
        <v>50</v>
      </c>
      <c r="F909" s="21"/>
    </row>
    <row r="910" spans="1:6" x14ac:dyDescent="0.25">
      <c r="A910" s="21" t="s">
        <v>976</v>
      </c>
      <c r="B910" s="21" t="s">
        <v>22</v>
      </c>
      <c r="C910" s="21">
        <v>30</v>
      </c>
      <c r="D910" s="21">
        <v>1500</v>
      </c>
      <c r="E910" s="21">
        <v>50</v>
      </c>
      <c r="F910" s="21"/>
    </row>
    <row r="911" spans="1:6" x14ac:dyDescent="0.25">
      <c r="A911" s="21" t="s">
        <v>977</v>
      </c>
      <c r="B911" s="21" t="s">
        <v>22</v>
      </c>
      <c r="C911" s="21">
        <v>30</v>
      </c>
      <c r="D911" s="21">
        <v>1500</v>
      </c>
      <c r="E911" s="21">
        <v>50</v>
      </c>
      <c r="F911" s="21"/>
    </row>
    <row r="912" spans="1:6" x14ac:dyDescent="0.25">
      <c r="A912" s="21" t="s">
        <v>978</v>
      </c>
      <c r="B912" s="21" t="s">
        <v>22</v>
      </c>
      <c r="C912" s="21">
        <v>30</v>
      </c>
      <c r="D912" s="21">
        <v>1500</v>
      </c>
      <c r="E912" s="21">
        <v>50</v>
      </c>
      <c r="F912" s="21"/>
    </row>
    <row r="913" spans="1:6" x14ac:dyDescent="0.25">
      <c r="A913" s="21" t="s">
        <v>979</v>
      </c>
      <c r="B913" s="21" t="s">
        <v>22</v>
      </c>
      <c r="C913" s="21">
        <v>20</v>
      </c>
      <c r="D913" s="21">
        <v>1200</v>
      </c>
      <c r="E913" s="21">
        <v>60</v>
      </c>
      <c r="F913" s="21"/>
    </row>
    <row r="914" spans="1:6" x14ac:dyDescent="0.25">
      <c r="A914" s="21" t="s">
        <v>980</v>
      </c>
      <c r="B914" s="21" t="s">
        <v>22</v>
      </c>
      <c r="C914" s="21">
        <v>20</v>
      </c>
      <c r="D914" s="21">
        <v>1040</v>
      </c>
      <c r="E914" s="21">
        <v>52</v>
      </c>
      <c r="F914" s="21"/>
    </row>
    <row r="915" spans="1:6" x14ac:dyDescent="0.25">
      <c r="A915" s="21" t="s">
        <v>981</v>
      </c>
      <c r="B915" s="21" t="s">
        <v>22</v>
      </c>
      <c r="C915" s="21">
        <v>20</v>
      </c>
      <c r="D915" s="21">
        <v>1200</v>
      </c>
      <c r="E915" s="21">
        <v>60</v>
      </c>
      <c r="F915" s="21"/>
    </row>
    <row r="916" spans="1:6" x14ac:dyDescent="0.25">
      <c r="A916" s="21" t="s">
        <v>982</v>
      </c>
      <c r="B916" s="21" t="s">
        <v>22</v>
      </c>
      <c r="C916" s="21">
        <v>20</v>
      </c>
      <c r="D916" s="21">
        <v>1040</v>
      </c>
      <c r="E916" s="21">
        <v>52</v>
      </c>
      <c r="F916" s="21"/>
    </row>
    <row r="917" spans="1:6" x14ac:dyDescent="0.25">
      <c r="A917" s="21" t="s">
        <v>983</v>
      </c>
      <c r="B917" s="21" t="s">
        <v>22</v>
      </c>
      <c r="C917" s="21">
        <v>20</v>
      </c>
      <c r="D917" s="21">
        <v>1200</v>
      </c>
      <c r="E917" s="21">
        <v>60</v>
      </c>
      <c r="F917" s="21"/>
    </row>
    <row r="918" spans="1:6" x14ac:dyDescent="0.25">
      <c r="A918" s="21" t="s">
        <v>984</v>
      </c>
      <c r="B918" s="21" t="s">
        <v>22</v>
      </c>
      <c r="C918" s="21">
        <v>20</v>
      </c>
      <c r="D918" s="21">
        <v>1040</v>
      </c>
      <c r="E918" s="21">
        <v>52</v>
      </c>
      <c r="F918" s="21"/>
    </row>
    <row r="919" spans="1:6" x14ac:dyDescent="0.25">
      <c r="A919" s="21" t="s">
        <v>985</v>
      </c>
      <c r="B919" s="21" t="s">
        <v>22</v>
      </c>
      <c r="C919" s="21">
        <v>20</v>
      </c>
      <c r="D919" s="21">
        <v>1200</v>
      </c>
      <c r="E919" s="21">
        <v>60</v>
      </c>
      <c r="F919" s="21"/>
    </row>
    <row r="920" spans="1:6" x14ac:dyDescent="0.25">
      <c r="A920" s="21" t="s">
        <v>986</v>
      </c>
      <c r="B920" s="21" t="s">
        <v>22</v>
      </c>
      <c r="C920" s="21">
        <v>20</v>
      </c>
      <c r="D920" s="21">
        <v>1040</v>
      </c>
      <c r="E920" s="21">
        <v>52</v>
      </c>
      <c r="F920" s="21"/>
    </row>
    <row r="921" spans="1:6" x14ac:dyDescent="0.25">
      <c r="A921" s="21" t="s">
        <v>987</v>
      </c>
      <c r="B921" s="21" t="s">
        <v>22</v>
      </c>
      <c r="C921" s="21">
        <v>20</v>
      </c>
      <c r="D921" s="21">
        <v>1040</v>
      </c>
      <c r="E921" s="21">
        <v>52</v>
      </c>
      <c r="F921" s="21"/>
    </row>
    <row r="922" spans="1:6" x14ac:dyDescent="0.25">
      <c r="A922" s="21" t="s">
        <v>988</v>
      </c>
      <c r="B922" s="21" t="s">
        <v>22</v>
      </c>
      <c r="C922" s="21">
        <v>20</v>
      </c>
      <c r="D922" s="21">
        <v>1040</v>
      </c>
      <c r="E922" s="21">
        <v>52</v>
      </c>
      <c r="F922" s="21"/>
    </row>
    <row r="923" spans="1:6" x14ac:dyDescent="0.25">
      <c r="A923" s="21" t="s">
        <v>989</v>
      </c>
      <c r="B923" s="21" t="s">
        <v>22</v>
      </c>
      <c r="C923" s="21">
        <v>20</v>
      </c>
      <c r="D923" s="21">
        <v>1040</v>
      </c>
      <c r="E923" s="21">
        <v>52</v>
      </c>
      <c r="F923" s="21"/>
    </row>
    <row r="924" spans="1:6" x14ac:dyDescent="0.25">
      <c r="A924" s="21" t="s">
        <v>990</v>
      </c>
      <c r="B924" s="21" t="s">
        <v>22</v>
      </c>
      <c r="C924" s="21">
        <v>20</v>
      </c>
      <c r="D924" s="21">
        <v>1040</v>
      </c>
      <c r="E924" s="21">
        <v>52</v>
      </c>
      <c r="F924" s="21"/>
    </row>
    <row r="925" spans="1:6" x14ac:dyDescent="0.25">
      <c r="A925" s="21" t="s">
        <v>991</v>
      </c>
      <c r="B925" s="21" t="s">
        <v>22</v>
      </c>
      <c r="C925" s="21">
        <v>20</v>
      </c>
      <c r="D925" s="21">
        <v>1040</v>
      </c>
      <c r="E925" s="21">
        <v>52</v>
      </c>
      <c r="F925" s="21"/>
    </row>
    <row r="926" spans="1:6" x14ac:dyDescent="0.25">
      <c r="A926" s="21" t="s">
        <v>992</v>
      </c>
      <c r="B926" s="21" t="s">
        <v>22</v>
      </c>
      <c r="C926" s="21">
        <v>20</v>
      </c>
      <c r="D926" s="21">
        <v>1040</v>
      </c>
      <c r="E926" s="21">
        <v>52</v>
      </c>
      <c r="F926" s="21"/>
    </row>
    <row r="927" spans="1:6" x14ac:dyDescent="0.25">
      <c r="A927" s="21" t="s">
        <v>993</v>
      </c>
      <c r="B927" s="21" t="s">
        <v>22</v>
      </c>
      <c r="C927" s="21">
        <v>20</v>
      </c>
      <c r="D927" s="21">
        <v>1040</v>
      </c>
      <c r="E927" s="21">
        <v>52</v>
      </c>
      <c r="F927" s="21"/>
    </row>
    <row r="928" spans="1:6" x14ac:dyDescent="0.25">
      <c r="A928" s="21" t="s">
        <v>994</v>
      </c>
      <c r="B928" s="21" t="s">
        <v>22</v>
      </c>
      <c r="C928" s="21">
        <v>20</v>
      </c>
      <c r="D928" s="21">
        <v>1040</v>
      </c>
      <c r="E928" s="21">
        <v>52</v>
      </c>
      <c r="F928" s="21"/>
    </row>
    <row r="929" spans="1:6" x14ac:dyDescent="0.25">
      <c r="A929" s="21" t="s">
        <v>995</v>
      </c>
      <c r="B929" s="21" t="s">
        <v>22</v>
      </c>
      <c r="C929" s="21">
        <v>20</v>
      </c>
      <c r="D929" s="21">
        <v>1040</v>
      </c>
      <c r="E929" s="21">
        <v>52</v>
      </c>
      <c r="F929" s="21"/>
    </row>
    <row r="930" spans="1:6" x14ac:dyDescent="0.25">
      <c r="A930" s="21" t="s">
        <v>996</v>
      </c>
      <c r="B930" s="21" t="s">
        <v>22</v>
      </c>
      <c r="C930" s="21">
        <v>20</v>
      </c>
      <c r="D930" s="21">
        <v>1040</v>
      </c>
      <c r="E930" s="21">
        <v>52</v>
      </c>
      <c r="F930" s="21"/>
    </row>
    <row r="931" spans="1:6" x14ac:dyDescent="0.25">
      <c r="A931" s="21" t="s">
        <v>997</v>
      </c>
      <c r="B931" s="21" t="s">
        <v>22</v>
      </c>
      <c r="C931" s="21">
        <v>20</v>
      </c>
      <c r="D931" s="21">
        <v>1040</v>
      </c>
      <c r="E931" s="21">
        <v>52</v>
      </c>
      <c r="F931" s="21"/>
    </row>
    <row r="932" spans="1:6" x14ac:dyDescent="0.25">
      <c r="A932" s="21" t="s">
        <v>998</v>
      </c>
      <c r="B932" s="21" t="s">
        <v>22</v>
      </c>
      <c r="C932" s="21">
        <v>20</v>
      </c>
      <c r="D932" s="21">
        <v>1040</v>
      </c>
      <c r="E932" s="21">
        <v>52</v>
      </c>
      <c r="F932" s="21"/>
    </row>
    <row r="933" spans="1:6" x14ac:dyDescent="0.25">
      <c r="A933" s="21" t="s">
        <v>999</v>
      </c>
      <c r="B933" s="21" t="s">
        <v>22</v>
      </c>
      <c r="C933" s="21">
        <v>20</v>
      </c>
      <c r="D933" s="21">
        <v>1040</v>
      </c>
      <c r="E933" s="21">
        <v>52</v>
      </c>
      <c r="F933" s="21"/>
    </row>
    <row r="934" spans="1:6" x14ac:dyDescent="0.25">
      <c r="A934" s="21" t="s">
        <v>1000</v>
      </c>
      <c r="B934" s="21" t="s">
        <v>22</v>
      </c>
      <c r="C934" s="21">
        <v>20</v>
      </c>
      <c r="D934" s="21">
        <v>1040</v>
      </c>
      <c r="E934" s="21">
        <v>52</v>
      </c>
      <c r="F934" s="21"/>
    </row>
    <row r="935" spans="1:6" x14ac:dyDescent="0.25">
      <c r="A935" s="21" t="s">
        <v>1001</v>
      </c>
      <c r="B935" s="21" t="s">
        <v>22</v>
      </c>
      <c r="C935" s="21">
        <v>20</v>
      </c>
      <c r="D935" s="21">
        <v>1040</v>
      </c>
      <c r="E935" s="21">
        <v>52</v>
      </c>
      <c r="F935" s="21"/>
    </row>
    <row r="936" spans="1:6" x14ac:dyDescent="0.25">
      <c r="A936" s="21" t="s">
        <v>1002</v>
      </c>
      <c r="B936" s="21" t="s">
        <v>22</v>
      </c>
      <c r="C936" s="21">
        <v>20</v>
      </c>
      <c r="D936" s="21">
        <v>1040</v>
      </c>
      <c r="E936" s="21">
        <v>52</v>
      </c>
      <c r="F936" s="21"/>
    </row>
    <row r="937" spans="1:6" x14ac:dyDescent="0.25">
      <c r="A937" s="21" t="s">
        <v>1003</v>
      </c>
      <c r="B937" s="21" t="s">
        <v>22</v>
      </c>
      <c r="C937" s="21">
        <v>20</v>
      </c>
      <c r="D937" s="21">
        <v>1040</v>
      </c>
      <c r="E937" s="21">
        <v>52</v>
      </c>
      <c r="F937" s="21"/>
    </row>
    <row r="938" spans="1:6" x14ac:dyDescent="0.25">
      <c r="A938" s="21" t="s">
        <v>1004</v>
      </c>
      <c r="B938" s="21" t="s">
        <v>22</v>
      </c>
      <c r="C938" s="21">
        <v>20</v>
      </c>
      <c r="D938" s="21">
        <v>1040</v>
      </c>
      <c r="E938" s="21">
        <v>52</v>
      </c>
      <c r="F938" s="21"/>
    </row>
    <row r="939" spans="1:6" x14ac:dyDescent="0.25">
      <c r="A939" s="21" t="s">
        <v>1005</v>
      </c>
      <c r="B939" s="21" t="s">
        <v>22</v>
      </c>
      <c r="C939" s="21">
        <v>20</v>
      </c>
      <c r="D939" s="21">
        <v>1040</v>
      </c>
      <c r="E939" s="21">
        <v>52</v>
      </c>
      <c r="F939" s="21"/>
    </row>
    <row r="940" spans="1:6" x14ac:dyDescent="0.25">
      <c r="A940" s="21" t="s">
        <v>1006</v>
      </c>
      <c r="B940" s="21" t="s">
        <v>22</v>
      </c>
      <c r="C940" s="21">
        <v>20</v>
      </c>
      <c r="D940" s="21">
        <v>1040</v>
      </c>
      <c r="E940" s="21">
        <v>52</v>
      </c>
      <c r="F940" s="21"/>
    </row>
    <row r="941" spans="1:6" x14ac:dyDescent="0.25">
      <c r="A941" s="21" t="s">
        <v>1007</v>
      </c>
      <c r="B941" s="21" t="s">
        <v>22</v>
      </c>
      <c r="C941" s="21">
        <v>20</v>
      </c>
      <c r="D941" s="21">
        <v>1040</v>
      </c>
      <c r="E941" s="21">
        <v>52</v>
      </c>
      <c r="F941" s="21"/>
    </row>
    <row r="942" spans="1:6" x14ac:dyDescent="0.25">
      <c r="A942" s="21" t="s">
        <v>1008</v>
      </c>
      <c r="B942" s="21" t="s">
        <v>22</v>
      </c>
      <c r="C942" s="21">
        <v>20</v>
      </c>
      <c r="D942" s="21">
        <v>1040</v>
      </c>
      <c r="E942" s="21">
        <v>52</v>
      </c>
      <c r="F942" s="21"/>
    </row>
    <row r="943" spans="1:6" x14ac:dyDescent="0.25">
      <c r="A943" s="21" t="s">
        <v>1009</v>
      </c>
      <c r="B943" s="21" t="s">
        <v>22</v>
      </c>
      <c r="C943" s="21">
        <v>20</v>
      </c>
      <c r="D943" s="21">
        <v>1040</v>
      </c>
      <c r="E943" s="21">
        <v>52</v>
      </c>
      <c r="F943" s="21"/>
    </row>
    <row r="944" spans="1:6" x14ac:dyDescent="0.25">
      <c r="A944" s="21" t="s">
        <v>1010</v>
      </c>
      <c r="B944" s="21" t="s">
        <v>22</v>
      </c>
      <c r="C944" s="21">
        <v>20</v>
      </c>
      <c r="D944" s="21">
        <v>1040</v>
      </c>
      <c r="E944" s="21">
        <v>52</v>
      </c>
      <c r="F944" s="21"/>
    </row>
    <row r="945" spans="1:6" x14ac:dyDescent="0.25">
      <c r="A945" s="21" t="s">
        <v>1011</v>
      </c>
      <c r="B945" s="21" t="s">
        <v>22</v>
      </c>
      <c r="C945" s="21">
        <v>20</v>
      </c>
      <c r="D945" s="21">
        <v>1200</v>
      </c>
      <c r="E945" s="21">
        <v>60</v>
      </c>
      <c r="F945" s="21"/>
    </row>
    <row r="946" spans="1:6" x14ac:dyDescent="0.25">
      <c r="A946" s="21" t="s">
        <v>1012</v>
      </c>
      <c r="B946" s="21" t="s">
        <v>22</v>
      </c>
      <c r="C946" s="21">
        <v>20</v>
      </c>
      <c r="D946" s="21">
        <v>1200</v>
      </c>
      <c r="E946" s="21">
        <v>60</v>
      </c>
      <c r="F946" s="21"/>
    </row>
    <row r="947" spans="1:6" x14ac:dyDescent="0.25">
      <c r="A947" s="21" t="s">
        <v>1013</v>
      </c>
      <c r="B947" s="21" t="s">
        <v>22</v>
      </c>
      <c r="C947" s="21">
        <v>20</v>
      </c>
      <c r="D947" s="21">
        <v>1200</v>
      </c>
      <c r="E947" s="21">
        <v>60</v>
      </c>
      <c r="F947" s="21"/>
    </row>
    <row r="948" spans="1:6" x14ac:dyDescent="0.25">
      <c r="A948" s="21" t="s">
        <v>1014</v>
      </c>
      <c r="B948" s="21" t="s">
        <v>22</v>
      </c>
      <c r="C948" s="21">
        <v>20</v>
      </c>
      <c r="D948" s="21">
        <v>1200</v>
      </c>
      <c r="E948" s="21">
        <v>60</v>
      </c>
      <c r="F948" s="21"/>
    </row>
    <row r="949" spans="1:6" x14ac:dyDescent="0.25">
      <c r="A949" s="21" t="s">
        <v>1015</v>
      </c>
      <c r="B949" s="21" t="s">
        <v>22</v>
      </c>
      <c r="C949" s="21">
        <v>20</v>
      </c>
      <c r="D949" s="21">
        <v>1200</v>
      </c>
      <c r="E949" s="21">
        <v>60</v>
      </c>
      <c r="F949" s="21"/>
    </row>
    <row r="950" spans="1:6" x14ac:dyDescent="0.25">
      <c r="A950" s="21" t="s">
        <v>1016</v>
      </c>
      <c r="B950" s="21" t="s">
        <v>22</v>
      </c>
      <c r="C950" s="21">
        <v>20</v>
      </c>
      <c r="D950" s="21">
        <v>1040</v>
      </c>
      <c r="E950" s="21">
        <v>52</v>
      </c>
      <c r="F950" s="21"/>
    </row>
    <row r="951" spans="1:6" x14ac:dyDescent="0.25">
      <c r="A951" s="21" t="s">
        <v>1017</v>
      </c>
      <c r="B951" s="21" t="s">
        <v>22</v>
      </c>
      <c r="C951" s="21">
        <v>20</v>
      </c>
      <c r="D951" s="21">
        <v>1200</v>
      </c>
      <c r="E951" s="21">
        <v>60</v>
      </c>
      <c r="F951" s="21"/>
    </row>
    <row r="952" spans="1:6" x14ac:dyDescent="0.25">
      <c r="A952" s="21" t="s">
        <v>1018</v>
      </c>
      <c r="B952" s="21" t="s">
        <v>22</v>
      </c>
      <c r="C952" s="21">
        <v>20</v>
      </c>
      <c r="D952" s="21">
        <v>1200</v>
      </c>
      <c r="E952" s="21">
        <v>60</v>
      </c>
      <c r="F952" s="21"/>
    </row>
    <row r="953" spans="1:6" x14ac:dyDescent="0.25">
      <c r="A953" s="21" t="s">
        <v>1019</v>
      </c>
      <c r="B953" s="21" t="s">
        <v>22</v>
      </c>
      <c r="C953" s="21">
        <v>40</v>
      </c>
      <c r="D953" s="21">
        <v>1600</v>
      </c>
      <c r="E953" s="21">
        <v>40</v>
      </c>
      <c r="F953" s="21"/>
    </row>
    <row r="954" spans="1:6" x14ac:dyDescent="0.25">
      <c r="A954" s="21" t="s">
        <v>1020</v>
      </c>
      <c r="B954" s="21" t="s">
        <v>22</v>
      </c>
      <c r="C954" s="21">
        <v>40</v>
      </c>
      <c r="D954" s="21">
        <v>1600</v>
      </c>
      <c r="E954" s="21">
        <v>40</v>
      </c>
      <c r="F954" s="21"/>
    </row>
    <row r="955" spans="1:6" x14ac:dyDescent="0.25">
      <c r="A955" s="21" t="s">
        <v>1021</v>
      </c>
      <c r="B955" s="21" t="s">
        <v>22</v>
      </c>
      <c r="C955" s="21">
        <v>40</v>
      </c>
      <c r="D955" s="21">
        <v>1600</v>
      </c>
      <c r="E955" s="21">
        <v>40</v>
      </c>
      <c r="F955" s="21"/>
    </row>
    <row r="956" spans="1:6" x14ac:dyDescent="0.25">
      <c r="A956" s="21" t="s">
        <v>1022</v>
      </c>
      <c r="B956" s="21" t="s">
        <v>22</v>
      </c>
      <c r="C956" s="21">
        <v>40</v>
      </c>
      <c r="D956" s="21">
        <v>1600</v>
      </c>
      <c r="E956" s="21">
        <v>40</v>
      </c>
      <c r="F956" s="21"/>
    </row>
    <row r="957" spans="1:6" x14ac:dyDescent="0.25">
      <c r="A957" s="21" t="s">
        <v>1023</v>
      </c>
      <c r="B957" s="21" t="s">
        <v>22</v>
      </c>
      <c r="C957" s="21">
        <v>40</v>
      </c>
      <c r="D957" s="21">
        <v>1600</v>
      </c>
      <c r="E957" s="21">
        <v>40</v>
      </c>
      <c r="F957" s="21"/>
    </row>
    <row r="958" spans="1:6" x14ac:dyDescent="0.25">
      <c r="A958" s="21" t="s">
        <v>1024</v>
      </c>
      <c r="B958" s="21" t="s">
        <v>22</v>
      </c>
      <c r="C958" s="21">
        <v>40</v>
      </c>
      <c r="D958" s="21">
        <v>1600</v>
      </c>
      <c r="E958" s="21">
        <v>40</v>
      </c>
      <c r="F958" s="21"/>
    </row>
    <row r="959" spans="1:6" x14ac:dyDescent="0.25">
      <c r="A959" s="21" t="s">
        <v>1025</v>
      </c>
      <c r="B959" s="21" t="s">
        <v>22</v>
      </c>
      <c r="C959" s="21">
        <v>40</v>
      </c>
      <c r="D959" s="21">
        <v>1600</v>
      </c>
      <c r="E959" s="21">
        <v>40</v>
      </c>
      <c r="F959" s="21"/>
    </row>
    <row r="960" spans="1:6" x14ac:dyDescent="0.25">
      <c r="A960" s="21" t="s">
        <v>1026</v>
      </c>
      <c r="B960" s="21" t="s">
        <v>22</v>
      </c>
      <c r="C960" s="21">
        <v>40</v>
      </c>
      <c r="D960" s="21">
        <v>1600</v>
      </c>
      <c r="E960" s="21">
        <v>40</v>
      </c>
      <c r="F960" s="21"/>
    </row>
    <row r="961" spans="1:6" x14ac:dyDescent="0.25">
      <c r="A961" s="21" t="s">
        <v>1027</v>
      </c>
      <c r="B961" s="21" t="s">
        <v>22</v>
      </c>
      <c r="C961" s="21">
        <v>40</v>
      </c>
      <c r="D961" s="21">
        <v>1600</v>
      </c>
      <c r="E961" s="21">
        <v>40</v>
      </c>
      <c r="F961" s="21"/>
    </row>
    <row r="962" spans="1:6" x14ac:dyDescent="0.25">
      <c r="A962" s="21" t="s">
        <v>1028</v>
      </c>
      <c r="B962" s="21" t="s">
        <v>22</v>
      </c>
      <c r="C962" s="21">
        <v>30</v>
      </c>
      <c r="D962" s="21">
        <v>1500</v>
      </c>
      <c r="E962" s="21">
        <v>50</v>
      </c>
      <c r="F962" s="21"/>
    </row>
    <row r="963" spans="1:6" x14ac:dyDescent="0.25">
      <c r="A963" s="21" t="s">
        <v>1029</v>
      </c>
      <c r="B963" s="21" t="s">
        <v>22</v>
      </c>
      <c r="C963" s="21">
        <v>30</v>
      </c>
      <c r="D963" s="21">
        <v>1500</v>
      </c>
      <c r="E963" s="21">
        <v>50</v>
      </c>
      <c r="F963" s="21"/>
    </row>
    <row r="964" spans="1:6" x14ac:dyDescent="0.25">
      <c r="A964" s="21" t="s">
        <v>1030</v>
      </c>
      <c r="B964" s="21" t="s">
        <v>22</v>
      </c>
      <c r="C964" s="21">
        <v>30</v>
      </c>
      <c r="D964" s="21">
        <v>1500</v>
      </c>
      <c r="E964" s="21">
        <v>50</v>
      </c>
      <c r="F964" s="21"/>
    </row>
    <row r="965" spans="1:6" x14ac:dyDescent="0.25">
      <c r="A965" s="21" t="s">
        <v>1031</v>
      </c>
      <c r="B965" s="21" t="s">
        <v>22</v>
      </c>
      <c r="C965" s="21">
        <v>30</v>
      </c>
      <c r="D965" s="21">
        <v>1500</v>
      </c>
      <c r="E965" s="21">
        <v>50</v>
      </c>
      <c r="F965" s="21"/>
    </row>
    <row r="966" spans="1:6" x14ac:dyDescent="0.25">
      <c r="A966" s="21" t="s">
        <v>1032</v>
      </c>
      <c r="B966" s="21" t="s">
        <v>22</v>
      </c>
      <c r="C966" s="21">
        <v>30</v>
      </c>
      <c r="D966" s="21">
        <v>1500</v>
      </c>
      <c r="E966" s="21">
        <v>50</v>
      </c>
      <c r="F966" s="21"/>
    </row>
    <row r="967" spans="1:6" x14ac:dyDescent="0.25">
      <c r="A967" s="21" t="s">
        <v>1033</v>
      </c>
      <c r="B967" s="21" t="s">
        <v>22</v>
      </c>
      <c r="C967" s="21">
        <v>30</v>
      </c>
      <c r="D967" s="21">
        <v>1500</v>
      </c>
      <c r="E967" s="21">
        <v>50</v>
      </c>
      <c r="F967" s="21"/>
    </row>
    <row r="968" spans="1:6" x14ac:dyDescent="0.25">
      <c r="A968" s="21" t="s">
        <v>1034</v>
      </c>
      <c r="B968" s="21" t="s">
        <v>22</v>
      </c>
      <c r="C968" s="21">
        <v>30</v>
      </c>
      <c r="D968" s="21">
        <v>1500</v>
      </c>
      <c r="E968" s="21">
        <v>50</v>
      </c>
      <c r="F968" s="21"/>
    </row>
    <row r="969" spans="1:6" x14ac:dyDescent="0.25">
      <c r="A969" s="21" t="s">
        <v>1035</v>
      </c>
      <c r="B969" s="21" t="s">
        <v>22</v>
      </c>
      <c r="C969" s="21">
        <v>30</v>
      </c>
      <c r="D969" s="21">
        <v>1500</v>
      </c>
      <c r="E969" s="21">
        <v>50</v>
      </c>
      <c r="F969" s="21"/>
    </row>
    <row r="970" spans="1:6" x14ac:dyDescent="0.25">
      <c r="A970" s="21" t="s">
        <v>1036</v>
      </c>
      <c r="B970" s="21" t="s">
        <v>22</v>
      </c>
      <c r="C970" s="21">
        <v>30</v>
      </c>
      <c r="D970" s="21">
        <v>1500</v>
      </c>
      <c r="E970" s="21">
        <v>50</v>
      </c>
      <c r="F970" s="21"/>
    </row>
    <row r="971" spans="1:6" x14ac:dyDescent="0.25">
      <c r="A971" s="21" t="s">
        <v>1037</v>
      </c>
      <c r="B971" s="21" t="s">
        <v>22</v>
      </c>
      <c r="C971" s="21">
        <v>30</v>
      </c>
      <c r="D971" s="21">
        <v>1500</v>
      </c>
      <c r="E971" s="21">
        <v>50</v>
      </c>
      <c r="F971" s="21"/>
    </row>
    <row r="972" spans="1:6" x14ac:dyDescent="0.25">
      <c r="A972" s="21" t="s">
        <v>1038</v>
      </c>
      <c r="B972" s="21" t="s">
        <v>22</v>
      </c>
      <c r="C972" s="21">
        <v>30</v>
      </c>
      <c r="D972" s="21">
        <v>1500</v>
      </c>
      <c r="E972" s="21">
        <v>50</v>
      </c>
      <c r="F972" s="21"/>
    </row>
    <row r="973" spans="1:6" x14ac:dyDescent="0.25">
      <c r="A973" s="21" t="s">
        <v>1039</v>
      </c>
      <c r="B973" s="21" t="s">
        <v>22</v>
      </c>
      <c r="C973" s="21">
        <v>30</v>
      </c>
      <c r="D973" s="21">
        <v>1500</v>
      </c>
      <c r="E973" s="21">
        <v>50</v>
      </c>
      <c r="F973" s="21"/>
    </row>
    <row r="974" spans="1:6" x14ac:dyDescent="0.25">
      <c r="A974" s="21" t="s">
        <v>1040</v>
      </c>
      <c r="B974" s="21" t="s">
        <v>22</v>
      </c>
      <c r="C974" s="21">
        <v>30</v>
      </c>
      <c r="D974" s="21">
        <v>1500</v>
      </c>
      <c r="E974" s="21">
        <v>50</v>
      </c>
      <c r="F974" s="21"/>
    </row>
    <row r="975" spans="1:6" x14ac:dyDescent="0.25">
      <c r="A975" s="21" t="s">
        <v>1041</v>
      </c>
      <c r="B975" s="21" t="s">
        <v>22</v>
      </c>
      <c r="C975" s="21">
        <v>30</v>
      </c>
      <c r="D975" s="21">
        <v>1500</v>
      </c>
      <c r="E975" s="21">
        <v>50</v>
      </c>
      <c r="F975" s="21"/>
    </row>
    <row r="976" spans="1:6" x14ac:dyDescent="0.25">
      <c r="A976" s="21" t="s">
        <v>1042</v>
      </c>
      <c r="B976" s="21" t="s">
        <v>22</v>
      </c>
      <c r="C976" s="21">
        <v>30</v>
      </c>
      <c r="D976" s="21">
        <v>1500</v>
      </c>
      <c r="E976" s="21">
        <v>50</v>
      </c>
      <c r="F976" s="21"/>
    </row>
    <row r="977" spans="1:6" x14ac:dyDescent="0.25">
      <c r="A977" s="21" t="s">
        <v>1043</v>
      </c>
      <c r="B977" s="21" t="s">
        <v>22</v>
      </c>
      <c r="C977" s="21">
        <v>30</v>
      </c>
      <c r="D977" s="21">
        <v>1500</v>
      </c>
      <c r="E977" s="21">
        <v>50</v>
      </c>
      <c r="F977" s="21"/>
    </row>
    <row r="978" spans="1:6" x14ac:dyDescent="0.25">
      <c r="A978" s="21" t="s">
        <v>1044</v>
      </c>
      <c r="B978" s="21" t="s">
        <v>22</v>
      </c>
      <c r="C978" s="21">
        <v>30</v>
      </c>
      <c r="D978" s="21">
        <v>1500</v>
      </c>
      <c r="E978" s="21">
        <v>50</v>
      </c>
      <c r="F978" s="21"/>
    </row>
    <row r="979" spans="1:6" x14ac:dyDescent="0.25">
      <c r="A979" s="21" t="s">
        <v>1045</v>
      </c>
      <c r="B979" s="21" t="s">
        <v>22</v>
      </c>
      <c r="C979" s="21">
        <v>20</v>
      </c>
      <c r="D979" s="21">
        <v>1040</v>
      </c>
      <c r="E979" s="21">
        <v>52</v>
      </c>
      <c r="F979" s="21"/>
    </row>
    <row r="980" spans="1:6" x14ac:dyDescent="0.25">
      <c r="A980" s="21" t="s">
        <v>1046</v>
      </c>
      <c r="B980" s="21" t="s">
        <v>22</v>
      </c>
      <c r="C980" s="21">
        <v>20</v>
      </c>
      <c r="D980" s="21">
        <v>1200</v>
      </c>
      <c r="E980" s="21">
        <v>60</v>
      </c>
      <c r="F980" s="21"/>
    </row>
    <row r="981" spans="1:6" x14ac:dyDescent="0.25">
      <c r="A981" s="21" t="s">
        <v>1047</v>
      </c>
      <c r="B981" s="21" t="s">
        <v>22</v>
      </c>
      <c r="C981" s="21">
        <v>20</v>
      </c>
      <c r="D981" s="21">
        <v>1200</v>
      </c>
      <c r="E981" s="21">
        <v>60</v>
      </c>
      <c r="F981" s="21"/>
    </row>
    <row r="982" spans="1:6" x14ac:dyDescent="0.25">
      <c r="A982" s="21" t="s">
        <v>1048</v>
      </c>
      <c r="B982" s="21" t="s">
        <v>22</v>
      </c>
      <c r="C982" s="21">
        <v>20</v>
      </c>
      <c r="D982" s="21">
        <v>1040</v>
      </c>
      <c r="E982" s="21">
        <v>52</v>
      </c>
      <c r="F982" s="21"/>
    </row>
    <row r="983" spans="1:6" x14ac:dyDescent="0.25">
      <c r="A983" s="21" t="s">
        <v>1049</v>
      </c>
      <c r="B983" s="21" t="s">
        <v>22</v>
      </c>
      <c r="C983" s="21">
        <v>20</v>
      </c>
      <c r="D983" s="21">
        <v>1200</v>
      </c>
      <c r="E983" s="21">
        <v>60</v>
      </c>
      <c r="F983" s="21"/>
    </row>
    <row r="984" spans="1:6" x14ac:dyDescent="0.25">
      <c r="A984" s="21" t="s">
        <v>1050</v>
      </c>
      <c r="B984" s="21" t="s">
        <v>22</v>
      </c>
      <c r="C984" s="21">
        <v>40</v>
      </c>
      <c r="D984" s="21">
        <v>1600</v>
      </c>
      <c r="E984" s="21">
        <v>40</v>
      </c>
      <c r="F984" s="21"/>
    </row>
    <row r="985" spans="1:6" x14ac:dyDescent="0.25">
      <c r="A985" s="21" t="s">
        <v>1051</v>
      </c>
      <c r="B985" s="21" t="s">
        <v>22</v>
      </c>
      <c r="C985" s="21">
        <v>40</v>
      </c>
      <c r="D985" s="21">
        <v>1600</v>
      </c>
      <c r="E985" s="21">
        <v>40</v>
      </c>
      <c r="F985" s="21"/>
    </row>
    <row r="986" spans="1:6" x14ac:dyDescent="0.25">
      <c r="A986" s="21" t="s">
        <v>1052</v>
      </c>
      <c r="B986" s="21" t="s">
        <v>22</v>
      </c>
      <c r="C986" s="21">
        <v>40</v>
      </c>
      <c r="D986" s="21">
        <v>1600</v>
      </c>
      <c r="E986" s="21">
        <v>40</v>
      </c>
      <c r="F986" s="21"/>
    </row>
    <row r="987" spans="1:6" x14ac:dyDescent="0.25">
      <c r="A987" s="21" t="s">
        <v>1053</v>
      </c>
      <c r="B987" s="21" t="s">
        <v>22</v>
      </c>
      <c r="C987" s="21">
        <v>40</v>
      </c>
      <c r="D987" s="21">
        <v>1600</v>
      </c>
      <c r="E987" s="21">
        <v>40</v>
      </c>
      <c r="F987" s="21"/>
    </row>
    <row r="988" spans="1:6" x14ac:dyDescent="0.25">
      <c r="A988" s="21" t="s">
        <v>1054</v>
      </c>
      <c r="B988" s="21" t="s">
        <v>22</v>
      </c>
      <c r="C988" s="21">
        <v>40</v>
      </c>
      <c r="D988" s="21">
        <v>1600</v>
      </c>
      <c r="E988" s="21">
        <v>40</v>
      </c>
      <c r="F988" s="21"/>
    </row>
    <row r="989" spans="1:6" x14ac:dyDescent="0.25">
      <c r="A989" s="21" t="s">
        <v>1055</v>
      </c>
      <c r="B989" s="21" t="s">
        <v>22</v>
      </c>
      <c r="C989" s="21">
        <v>40</v>
      </c>
      <c r="D989" s="21">
        <v>1600</v>
      </c>
      <c r="E989" s="21">
        <v>40</v>
      </c>
      <c r="F989" s="21"/>
    </row>
    <row r="990" spans="1:6" x14ac:dyDescent="0.25">
      <c r="A990" s="21" t="s">
        <v>1056</v>
      </c>
      <c r="B990" s="21" t="s">
        <v>22</v>
      </c>
      <c r="C990" s="21">
        <v>40</v>
      </c>
      <c r="D990" s="21">
        <v>1600</v>
      </c>
      <c r="E990" s="21">
        <v>40</v>
      </c>
      <c r="F990" s="21"/>
    </row>
    <row r="991" spans="1:6" x14ac:dyDescent="0.25">
      <c r="A991" s="21" t="s">
        <v>1057</v>
      </c>
      <c r="B991" s="21" t="s">
        <v>22</v>
      </c>
      <c r="C991" s="21">
        <v>40</v>
      </c>
      <c r="D991" s="21">
        <v>1600</v>
      </c>
      <c r="E991" s="21">
        <v>40</v>
      </c>
      <c r="F991" s="21"/>
    </row>
    <row r="992" spans="1:6" x14ac:dyDescent="0.25">
      <c r="A992" s="21" t="s">
        <v>1058</v>
      </c>
      <c r="B992" s="21" t="s">
        <v>22</v>
      </c>
      <c r="C992" s="21">
        <v>40</v>
      </c>
      <c r="D992" s="21">
        <v>1600</v>
      </c>
      <c r="E992" s="21">
        <v>40</v>
      </c>
      <c r="F992" s="21"/>
    </row>
    <row r="993" spans="1:6" x14ac:dyDescent="0.25">
      <c r="A993" s="21" t="s">
        <v>1059</v>
      </c>
      <c r="B993" s="21" t="s">
        <v>22</v>
      </c>
      <c r="C993" s="21">
        <v>40</v>
      </c>
      <c r="D993" s="21">
        <v>1600</v>
      </c>
      <c r="E993" s="21">
        <v>40</v>
      </c>
      <c r="F993" s="21"/>
    </row>
    <row r="994" spans="1:6" x14ac:dyDescent="0.25">
      <c r="A994" s="21" t="s">
        <v>1060</v>
      </c>
      <c r="B994" s="21" t="s">
        <v>22</v>
      </c>
      <c r="C994" s="21">
        <v>40</v>
      </c>
      <c r="D994" s="21">
        <v>1600</v>
      </c>
      <c r="E994" s="21">
        <v>40</v>
      </c>
      <c r="F994" s="21"/>
    </row>
    <row r="995" spans="1:6" x14ac:dyDescent="0.25">
      <c r="A995" s="21" t="s">
        <v>1061</v>
      </c>
      <c r="B995" s="21" t="s">
        <v>22</v>
      </c>
      <c r="C995" s="21">
        <v>40</v>
      </c>
      <c r="D995" s="21">
        <v>1600</v>
      </c>
      <c r="E995" s="21">
        <v>40</v>
      </c>
      <c r="F995" s="21"/>
    </row>
    <row r="996" spans="1:6" x14ac:dyDescent="0.25">
      <c r="A996" s="21" t="s">
        <v>1062</v>
      </c>
      <c r="B996" s="21" t="s">
        <v>22</v>
      </c>
      <c r="C996" s="21">
        <v>40</v>
      </c>
      <c r="D996" s="21">
        <v>1600</v>
      </c>
      <c r="E996" s="21">
        <v>40</v>
      </c>
      <c r="F996" s="21"/>
    </row>
    <row r="997" spans="1:6" x14ac:dyDescent="0.25">
      <c r="A997" s="21" t="s">
        <v>1063</v>
      </c>
      <c r="B997" s="21" t="s">
        <v>22</v>
      </c>
      <c r="C997" s="21">
        <v>30</v>
      </c>
      <c r="D997" s="21">
        <v>1500</v>
      </c>
      <c r="E997" s="21">
        <v>50</v>
      </c>
      <c r="F997" s="21"/>
    </row>
    <row r="998" spans="1:6" x14ac:dyDescent="0.25">
      <c r="A998" s="21" t="s">
        <v>1064</v>
      </c>
      <c r="B998" s="21" t="s">
        <v>22</v>
      </c>
      <c r="C998" s="21">
        <v>30</v>
      </c>
      <c r="D998" s="21">
        <v>1500</v>
      </c>
      <c r="E998" s="21">
        <v>50</v>
      </c>
      <c r="F998" s="21"/>
    </row>
    <row r="999" spans="1:6" x14ac:dyDescent="0.25">
      <c r="A999" s="21" t="s">
        <v>1065</v>
      </c>
      <c r="B999" s="21" t="s">
        <v>22</v>
      </c>
      <c r="C999" s="21">
        <v>30</v>
      </c>
      <c r="D999" s="21">
        <v>1500</v>
      </c>
      <c r="E999" s="21">
        <v>50</v>
      </c>
      <c r="F999" s="21"/>
    </row>
    <row r="1000" spans="1:6" x14ac:dyDescent="0.25">
      <c r="A1000" s="21" t="s">
        <v>1066</v>
      </c>
      <c r="B1000" s="21" t="s">
        <v>22</v>
      </c>
      <c r="C1000" s="21">
        <v>30</v>
      </c>
      <c r="D1000" s="21">
        <v>1500</v>
      </c>
      <c r="E1000" s="21">
        <v>50</v>
      </c>
      <c r="F1000" s="21"/>
    </row>
    <row r="1001" spans="1:6" x14ac:dyDescent="0.25">
      <c r="A1001" s="21" t="s">
        <v>1067</v>
      </c>
      <c r="B1001" s="21" t="s">
        <v>22</v>
      </c>
      <c r="C1001" s="21">
        <v>30</v>
      </c>
      <c r="D1001" s="21">
        <v>1500</v>
      </c>
      <c r="E1001" s="21">
        <v>50</v>
      </c>
      <c r="F1001" s="21"/>
    </row>
    <row r="1002" spans="1:6" x14ac:dyDescent="0.25">
      <c r="A1002" s="21" t="s">
        <v>1068</v>
      </c>
      <c r="B1002" s="21" t="s">
        <v>22</v>
      </c>
      <c r="C1002" s="21">
        <v>30</v>
      </c>
      <c r="D1002" s="21">
        <v>1500</v>
      </c>
      <c r="E1002" s="21">
        <v>50</v>
      </c>
      <c r="F1002" s="21"/>
    </row>
    <row r="1003" spans="1:6" x14ac:dyDescent="0.25">
      <c r="A1003" s="21" t="s">
        <v>1069</v>
      </c>
      <c r="B1003" s="21" t="s">
        <v>22</v>
      </c>
      <c r="C1003" s="21">
        <v>30</v>
      </c>
      <c r="D1003" s="21">
        <v>1500</v>
      </c>
      <c r="E1003" s="21">
        <v>50</v>
      </c>
      <c r="F1003" s="21"/>
    </row>
    <row r="1004" spans="1:6" x14ac:dyDescent="0.25">
      <c r="A1004" s="21" t="s">
        <v>1070</v>
      </c>
      <c r="B1004" s="21" t="s">
        <v>22</v>
      </c>
      <c r="C1004" s="21">
        <v>30</v>
      </c>
      <c r="D1004" s="21">
        <v>1500</v>
      </c>
      <c r="E1004" s="21">
        <v>50</v>
      </c>
      <c r="F1004" s="21"/>
    </row>
    <row r="1005" spans="1:6" x14ac:dyDescent="0.25">
      <c r="A1005" s="21" t="s">
        <v>1071</v>
      </c>
      <c r="B1005" s="21" t="s">
        <v>22</v>
      </c>
      <c r="C1005" s="21">
        <v>30</v>
      </c>
      <c r="D1005" s="21">
        <v>1500</v>
      </c>
      <c r="E1005" s="21">
        <v>50</v>
      </c>
      <c r="F1005" s="21"/>
    </row>
    <row r="1006" spans="1:6" x14ac:dyDescent="0.25">
      <c r="A1006" s="21" t="s">
        <v>1072</v>
      </c>
      <c r="B1006" s="21" t="s">
        <v>22</v>
      </c>
      <c r="C1006" s="21">
        <v>30</v>
      </c>
      <c r="D1006" s="21">
        <v>1500</v>
      </c>
      <c r="E1006" s="21">
        <v>50</v>
      </c>
      <c r="F1006" s="21"/>
    </row>
    <row r="1007" spans="1:6" x14ac:dyDescent="0.25">
      <c r="A1007" s="21" t="s">
        <v>1073</v>
      </c>
      <c r="B1007" s="21" t="s">
        <v>22</v>
      </c>
      <c r="C1007" s="21">
        <v>30</v>
      </c>
      <c r="D1007" s="21">
        <v>1500</v>
      </c>
      <c r="E1007" s="21">
        <v>50</v>
      </c>
      <c r="F1007" s="21"/>
    </row>
    <row r="1008" spans="1:6" x14ac:dyDescent="0.25">
      <c r="A1008" s="21" t="s">
        <v>1074</v>
      </c>
      <c r="B1008" s="21" t="s">
        <v>22</v>
      </c>
      <c r="C1008" s="21">
        <v>30</v>
      </c>
      <c r="D1008" s="21">
        <v>1500</v>
      </c>
      <c r="E1008" s="21">
        <v>50</v>
      </c>
      <c r="F1008" s="21"/>
    </row>
    <row r="1009" spans="1:6" x14ac:dyDescent="0.25">
      <c r="A1009" s="21" t="s">
        <v>1075</v>
      </c>
      <c r="B1009" s="21" t="s">
        <v>22</v>
      </c>
      <c r="C1009" s="21">
        <v>30</v>
      </c>
      <c r="D1009" s="21">
        <v>1500</v>
      </c>
      <c r="E1009" s="21">
        <v>50</v>
      </c>
      <c r="F1009" s="21"/>
    </row>
    <row r="1010" spans="1:6" x14ac:dyDescent="0.25">
      <c r="A1010" s="21" t="s">
        <v>1076</v>
      </c>
      <c r="B1010" s="21" t="s">
        <v>22</v>
      </c>
      <c r="C1010" s="21">
        <v>30</v>
      </c>
      <c r="D1010" s="21">
        <v>1500</v>
      </c>
      <c r="E1010" s="21">
        <v>50</v>
      </c>
      <c r="F1010" s="21"/>
    </row>
    <row r="1011" spans="1:6" x14ac:dyDescent="0.25">
      <c r="A1011" s="21" t="s">
        <v>1077</v>
      </c>
      <c r="B1011" s="21" t="s">
        <v>22</v>
      </c>
      <c r="C1011" s="21">
        <v>30</v>
      </c>
      <c r="D1011" s="21">
        <v>1500</v>
      </c>
      <c r="E1011" s="21">
        <v>50</v>
      </c>
      <c r="F1011" s="21"/>
    </row>
    <row r="1012" spans="1:6" x14ac:dyDescent="0.25">
      <c r="A1012" s="21" t="s">
        <v>1078</v>
      </c>
      <c r="B1012" s="21" t="s">
        <v>22</v>
      </c>
      <c r="C1012" s="21">
        <v>30</v>
      </c>
      <c r="D1012" s="21">
        <v>1500</v>
      </c>
      <c r="E1012" s="21">
        <v>50</v>
      </c>
      <c r="F1012" s="21"/>
    </row>
    <row r="1013" spans="1:6" x14ac:dyDescent="0.25">
      <c r="A1013" s="21" t="s">
        <v>1079</v>
      </c>
      <c r="B1013" s="21" t="s">
        <v>22</v>
      </c>
      <c r="C1013" s="21">
        <v>30</v>
      </c>
      <c r="D1013" s="21">
        <v>1500</v>
      </c>
      <c r="E1013" s="21">
        <v>50</v>
      </c>
      <c r="F1013" s="21"/>
    </row>
    <row r="1014" spans="1:6" x14ac:dyDescent="0.25">
      <c r="A1014" s="21" t="s">
        <v>1080</v>
      </c>
      <c r="B1014" s="21" t="s">
        <v>22</v>
      </c>
      <c r="C1014" s="21">
        <v>30</v>
      </c>
      <c r="D1014" s="21">
        <v>1500</v>
      </c>
      <c r="E1014" s="21">
        <v>50</v>
      </c>
      <c r="F1014" s="21"/>
    </row>
    <row r="1015" spans="1:6" x14ac:dyDescent="0.25">
      <c r="A1015" s="21" t="s">
        <v>1081</v>
      </c>
      <c r="B1015" s="21" t="s">
        <v>22</v>
      </c>
      <c r="C1015" s="21">
        <v>30</v>
      </c>
      <c r="D1015" s="21">
        <v>1500</v>
      </c>
      <c r="E1015" s="21">
        <v>50</v>
      </c>
      <c r="F1015" s="21"/>
    </row>
    <row r="1016" spans="1:6" x14ac:dyDescent="0.25">
      <c r="A1016" s="21" t="s">
        <v>1082</v>
      </c>
      <c r="B1016" s="21" t="s">
        <v>22</v>
      </c>
      <c r="C1016" s="21">
        <v>30</v>
      </c>
      <c r="D1016" s="21">
        <v>1500</v>
      </c>
      <c r="E1016" s="21">
        <v>50</v>
      </c>
      <c r="F1016" s="21"/>
    </row>
    <row r="1017" spans="1:6" x14ac:dyDescent="0.25">
      <c r="A1017" s="21" t="s">
        <v>1083</v>
      </c>
      <c r="B1017" s="21" t="s">
        <v>22</v>
      </c>
      <c r="C1017" s="21">
        <v>30</v>
      </c>
      <c r="D1017" s="21">
        <v>1500</v>
      </c>
      <c r="E1017" s="21">
        <v>50</v>
      </c>
      <c r="F1017" s="21"/>
    </row>
    <row r="1018" spans="1:6" x14ac:dyDescent="0.25">
      <c r="A1018" s="21" t="s">
        <v>1084</v>
      </c>
      <c r="B1018" s="21" t="s">
        <v>22</v>
      </c>
      <c r="C1018" s="21">
        <v>30</v>
      </c>
      <c r="D1018" s="21">
        <v>1500</v>
      </c>
      <c r="E1018" s="21">
        <v>50</v>
      </c>
      <c r="F1018" s="21"/>
    </row>
    <row r="1019" spans="1:6" x14ac:dyDescent="0.25">
      <c r="A1019" s="21" t="s">
        <v>1085</v>
      </c>
      <c r="B1019" s="21" t="s">
        <v>22</v>
      </c>
      <c r="C1019" s="21">
        <v>30</v>
      </c>
      <c r="D1019" s="21">
        <v>1500</v>
      </c>
      <c r="E1019" s="21">
        <v>50</v>
      </c>
      <c r="F1019" s="21"/>
    </row>
    <row r="1020" spans="1:6" x14ac:dyDescent="0.25">
      <c r="A1020" s="21" t="s">
        <v>1086</v>
      </c>
      <c r="B1020" s="21" t="s">
        <v>22</v>
      </c>
      <c r="C1020" s="21">
        <v>30</v>
      </c>
      <c r="D1020" s="21">
        <v>1500</v>
      </c>
      <c r="E1020" s="21">
        <v>50</v>
      </c>
      <c r="F1020" s="21"/>
    </row>
    <row r="1021" spans="1:6" x14ac:dyDescent="0.25">
      <c r="A1021" s="21" t="s">
        <v>1087</v>
      </c>
      <c r="B1021" s="21" t="s">
        <v>22</v>
      </c>
      <c r="C1021" s="21">
        <v>30</v>
      </c>
      <c r="D1021" s="21">
        <v>1500</v>
      </c>
      <c r="E1021" s="21">
        <v>50</v>
      </c>
      <c r="F1021" s="21"/>
    </row>
    <row r="1022" spans="1:6" x14ac:dyDescent="0.25">
      <c r="A1022" s="21" t="s">
        <v>1088</v>
      </c>
      <c r="B1022" s="21" t="s">
        <v>22</v>
      </c>
      <c r="C1022" s="21">
        <v>30</v>
      </c>
      <c r="D1022" s="21">
        <v>1500</v>
      </c>
      <c r="E1022" s="21">
        <v>50</v>
      </c>
      <c r="F1022" s="21"/>
    </row>
    <row r="1023" spans="1:6" x14ac:dyDescent="0.25">
      <c r="A1023" s="21" t="s">
        <v>1089</v>
      </c>
      <c r="B1023" s="21" t="s">
        <v>22</v>
      </c>
      <c r="C1023" s="21">
        <v>30</v>
      </c>
      <c r="D1023" s="21">
        <v>1500</v>
      </c>
      <c r="E1023" s="21">
        <v>50</v>
      </c>
      <c r="F1023" s="21"/>
    </row>
    <row r="1024" spans="1:6" x14ac:dyDescent="0.25">
      <c r="A1024" s="21" t="s">
        <v>1090</v>
      </c>
      <c r="B1024" s="21" t="s">
        <v>22</v>
      </c>
      <c r="C1024" s="21">
        <v>30</v>
      </c>
      <c r="D1024" s="21">
        <v>1500</v>
      </c>
      <c r="E1024" s="21">
        <v>50</v>
      </c>
      <c r="F1024" s="21"/>
    </row>
    <row r="1025" spans="1:6" x14ac:dyDescent="0.25">
      <c r="A1025" s="21" t="s">
        <v>1091</v>
      </c>
      <c r="B1025" s="21" t="s">
        <v>22</v>
      </c>
      <c r="C1025" s="21">
        <v>30</v>
      </c>
      <c r="D1025" s="21">
        <v>1500</v>
      </c>
      <c r="E1025" s="21">
        <v>50</v>
      </c>
      <c r="F1025" s="21"/>
    </row>
    <row r="1026" spans="1:6" x14ac:dyDescent="0.25">
      <c r="A1026" s="21" t="s">
        <v>1092</v>
      </c>
      <c r="B1026" s="21" t="s">
        <v>22</v>
      </c>
      <c r="C1026" s="21">
        <v>30</v>
      </c>
      <c r="D1026" s="21">
        <v>1500</v>
      </c>
      <c r="E1026" s="21">
        <v>50</v>
      </c>
      <c r="F1026" s="21"/>
    </row>
    <row r="1027" spans="1:6" x14ac:dyDescent="0.25">
      <c r="A1027" s="21" t="s">
        <v>1093</v>
      </c>
      <c r="B1027" s="21" t="s">
        <v>22</v>
      </c>
      <c r="C1027" s="21">
        <v>20</v>
      </c>
      <c r="D1027" s="21">
        <v>1200</v>
      </c>
      <c r="E1027" s="21">
        <v>60</v>
      </c>
      <c r="F1027" s="21"/>
    </row>
    <row r="1028" spans="1:6" x14ac:dyDescent="0.25">
      <c r="A1028" s="21" t="s">
        <v>1094</v>
      </c>
      <c r="B1028" s="21" t="s">
        <v>22</v>
      </c>
      <c r="C1028" s="21">
        <v>20</v>
      </c>
      <c r="D1028" s="21">
        <v>1040</v>
      </c>
      <c r="E1028" s="21">
        <v>52</v>
      </c>
      <c r="F1028" s="21"/>
    </row>
    <row r="1029" spans="1:6" x14ac:dyDescent="0.25">
      <c r="A1029" s="21" t="s">
        <v>1095</v>
      </c>
      <c r="B1029" s="21" t="s">
        <v>22</v>
      </c>
      <c r="C1029" s="21">
        <v>20</v>
      </c>
      <c r="D1029" s="21">
        <v>1200</v>
      </c>
      <c r="E1029" s="21">
        <v>60</v>
      </c>
      <c r="F1029" s="21"/>
    </row>
    <row r="1030" spans="1:6" x14ac:dyDescent="0.25">
      <c r="A1030" s="21" t="s">
        <v>1096</v>
      </c>
      <c r="B1030" s="21" t="s">
        <v>22</v>
      </c>
      <c r="C1030" s="21">
        <v>20</v>
      </c>
      <c r="D1030" s="21">
        <v>1200</v>
      </c>
      <c r="E1030" s="21">
        <v>60</v>
      </c>
      <c r="F1030" s="21"/>
    </row>
    <row r="1031" spans="1:6" x14ac:dyDescent="0.25">
      <c r="A1031" s="21" t="s">
        <v>1097</v>
      </c>
      <c r="B1031" s="21" t="s">
        <v>22</v>
      </c>
      <c r="C1031" s="21">
        <v>20</v>
      </c>
      <c r="D1031" s="21">
        <v>1200</v>
      </c>
      <c r="E1031" s="21">
        <v>60</v>
      </c>
      <c r="F1031" s="21"/>
    </row>
    <row r="1032" spans="1:6" x14ac:dyDescent="0.25">
      <c r="A1032" s="21" t="s">
        <v>1098</v>
      </c>
      <c r="B1032" s="21" t="s">
        <v>22</v>
      </c>
      <c r="C1032" s="21">
        <v>20</v>
      </c>
      <c r="D1032" s="21">
        <v>1040</v>
      </c>
      <c r="E1032" s="21">
        <v>52</v>
      </c>
      <c r="F1032" s="21"/>
    </row>
    <row r="1033" spans="1:6" x14ac:dyDescent="0.25">
      <c r="A1033" s="21" t="s">
        <v>1099</v>
      </c>
      <c r="B1033" s="21" t="s">
        <v>22</v>
      </c>
      <c r="C1033" s="21">
        <v>20</v>
      </c>
      <c r="D1033" s="21">
        <v>1200</v>
      </c>
      <c r="E1033" s="21">
        <v>60</v>
      </c>
      <c r="F1033" s="21"/>
    </row>
    <row r="1034" spans="1:6" x14ac:dyDescent="0.25">
      <c r="A1034" s="21" t="s">
        <v>1100</v>
      </c>
      <c r="B1034" s="21" t="s">
        <v>22</v>
      </c>
      <c r="C1034" s="21">
        <v>20</v>
      </c>
      <c r="D1034" s="21">
        <v>1040</v>
      </c>
      <c r="E1034" s="21">
        <v>52</v>
      </c>
      <c r="F1034" s="21"/>
    </row>
    <row r="1035" spans="1:6" x14ac:dyDescent="0.25">
      <c r="A1035" s="21" t="s">
        <v>1101</v>
      </c>
      <c r="B1035" s="21" t="s">
        <v>22</v>
      </c>
      <c r="C1035" s="21">
        <v>20</v>
      </c>
      <c r="D1035" s="21">
        <v>1040</v>
      </c>
      <c r="E1035" s="21">
        <v>52</v>
      </c>
      <c r="F1035" s="21"/>
    </row>
    <row r="1036" spans="1:6" x14ac:dyDescent="0.25">
      <c r="A1036" s="21" t="s">
        <v>1102</v>
      </c>
      <c r="B1036" s="21" t="s">
        <v>22</v>
      </c>
      <c r="C1036" s="21">
        <v>20</v>
      </c>
      <c r="D1036" s="21">
        <v>1040</v>
      </c>
      <c r="E1036" s="21">
        <v>52</v>
      </c>
      <c r="F1036" s="21"/>
    </row>
    <row r="1037" spans="1:6" x14ac:dyDescent="0.25">
      <c r="A1037" s="21" t="s">
        <v>1103</v>
      </c>
      <c r="B1037" s="21" t="s">
        <v>22</v>
      </c>
      <c r="C1037" s="21">
        <v>20</v>
      </c>
      <c r="D1037" s="21">
        <v>1040</v>
      </c>
      <c r="E1037" s="21">
        <v>52</v>
      </c>
      <c r="F1037" s="21"/>
    </row>
    <row r="1038" spans="1:6" x14ac:dyDescent="0.25">
      <c r="A1038" s="21" t="s">
        <v>1104</v>
      </c>
      <c r="B1038" s="21" t="s">
        <v>22</v>
      </c>
      <c r="C1038" s="21">
        <v>20</v>
      </c>
      <c r="D1038" s="21">
        <v>1040</v>
      </c>
      <c r="E1038" s="21">
        <v>52</v>
      </c>
      <c r="F1038" s="21"/>
    </row>
    <row r="1039" spans="1:6" x14ac:dyDescent="0.25">
      <c r="A1039" s="21" t="s">
        <v>1105</v>
      </c>
      <c r="B1039" s="21" t="s">
        <v>22</v>
      </c>
      <c r="C1039" s="21">
        <v>20</v>
      </c>
      <c r="D1039" s="21">
        <v>1040</v>
      </c>
      <c r="E1039" s="21">
        <v>52</v>
      </c>
      <c r="F1039" s="21"/>
    </row>
    <row r="1040" spans="1:6" x14ac:dyDescent="0.25">
      <c r="A1040" s="21" t="s">
        <v>1106</v>
      </c>
      <c r="B1040" s="21" t="s">
        <v>22</v>
      </c>
      <c r="C1040" s="21">
        <v>20</v>
      </c>
      <c r="D1040" s="21">
        <v>1040</v>
      </c>
      <c r="E1040" s="21">
        <v>52</v>
      </c>
      <c r="F1040" s="21"/>
    </row>
    <row r="1041" spans="1:6" x14ac:dyDescent="0.25">
      <c r="A1041" s="21" t="s">
        <v>1107</v>
      </c>
      <c r="B1041" s="21" t="s">
        <v>22</v>
      </c>
      <c r="C1041" s="21">
        <v>20</v>
      </c>
      <c r="D1041" s="21">
        <v>1040</v>
      </c>
      <c r="E1041" s="21">
        <v>52</v>
      </c>
      <c r="F1041" s="21"/>
    </row>
    <row r="1042" spans="1:6" x14ac:dyDescent="0.25">
      <c r="A1042" s="21" t="s">
        <v>1108</v>
      </c>
      <c r="B1042" s="21" t="s">
        <v>22</v>
      </c>
      <c r="C1042" s="21">
        <v>20</v>
      </c>
      <c r="D1042" s="21">
        <v>1040</v>
      </c>
      <c r="E1042" s="21">
        <v>52</v>
      </c>
      <c r="F1042" s="21"/>
    </row>
    <row r="1043" spans="1:6" x14ac:dyDescent="0.25">
      <c r="A1043" s="21" t="s">
        <v>1109</v>
      </c>
      <c r="B1043" s="21" t="s">
        <v>22</v>
      </c>
      <c r="C1043" s="21">
        <v>20</v>
      </c>
      <c r="D1043" s="21">
        <v>1040</v>
      </c>
      <c r="E1043" s="21">
        <v>52</v>
      </c>
      <c r="F1043" s="21"/>
    </row>
    <row r="1044" spans="1:6" x14ac:dyDescent="0.25">
      <c r="A1044" s="21" t="s">
        <v>1110</v>
      </c>
      <c r="B1044" s="21" t="s">
        <v>22</v>
      </c>
      <c r="C1044" s="21">
        <v>20</v>
      </c>
      <c r="D1044" s="21">
        <v>1040</v>
      </c>
      <c r="E1044" s="21">
        <v>52</v>
      </c>
      <c r="F1044" s="21"/>
    </row>
    <row r="1045" spans="1:6" x14ac:dyDescent="0.25">
      <c r="A1045" s="21" t="s">
        <v>1111</v>
      </c>
      <c r="B1045" s="21" t="s">
        <v>595</v>
      </c>
      <c r="C1045" s="21">
        <v>528</v>
      </c>
      <c r="D1045" s="21">
        <v>19008</v>
      </c>
      <c r="E1045" s="21">
        <v>36</v>
      </c>
      <c r="F1045" s="21"/>
    </row>
    <row r="1046" spans="1:6" x14ac:dyDescent="0.25">
      <c r="A1046" s="21" t="s">
        <v>1112</v>
      </c>
      <c r="B1046" s="21" t="s">
        <v>22</v>
      </c>
      <c r="C1046" s="21">
        <v>10000</v>
      </c>
      <c r="D1046" s="21">
        <v>120000</v>
      </c>
      <c r="E1046" s="21">
        <v>12</v>
      </c>
      <c r="F1046" s="21"/>
    </row>
    <row r="1047" spans="1:6" x14ac:dyDescent="0.25">
      <c r="A1047" s="21" t="s">
        <v>1113</v>
      </c>
      <c r="B1047" s="21" t="s">
        <v>22</v>
      </c>
      <c r="C1047" s="21">
        <v>3000</v>
      </c>
      <c r="D1047" s="21">
        <v>36000</v>
      </c>
      <c r="E1047" s="21">
        <v>12</v>
      </c>
      <c r="F1047" s="21"/>
    </row>
    <row r="1048" spans="1:6" x14ac:dyDescent="0.25">
      <c r="A1048" s="21" t="s">
        <v>1114</v>
      </c>
      <c r="B1048" s="21" t="s">
        <v>22</v>
      </c>
      <c r="C1048" s="21">
        <v>0</v>
      </c>
      <c r="D1048" s="52">
        <v>0</v>
      </c>
      <c r="E1048" s="21"/>
      <c r="F1048" s="21"/>
    </row>
    <row r="1049" spans="1:6" x14ac:dyDescent="0.25">
      <c r="A1049" s="21" t="s">
        <v>1115</v>
      </c>
      <c r="B1049" s="21" t="s">
        <v>22</v>
      </c>
      <c r="C1049" s="21">
        <v>20</v>
      </c>
      <c r="D1049" s="21">
        <v>720</v>
      </c>
      <c r="E1049" s="21">
        <v>36</v>
      </c>
      <c r="F1049" s="21"/>
    </row>
    <row r="1050" spans="1:6" x14ac:dyDescent="0.25">
      <c r="A1050" s="21" t="s">
        <v>1116</v>
      </c>
      <c r="B1050" s="21" t="s">
        <v>22</v>
      </c>
      <c r="C1050" s="21">
        <v>12</v>
      </c>
      <c r="D1050" s="21">
        <v>432</v>
      </c>
      <c r="E1050" s="21">
        <v>36</v>
      </c>
      <c r="F1050" s="21"/>
    </row>
    <row r="1051" spans="1:6" x14ac:dyDescent="0.25">
      <c r="A1051" s="21" t="s">
        <v>1117</v>
      </c>
      <c r="B1051" s="21" t="s">
        <v>22</v>
      </c>
      <c r="C1051" s="21">
        <v>12</v>
      </c>
      <c r="D1051" s="21">
        <v>396</v>
      </c>
      <c r="E1051" s="21">
        <v>33</v>
      </c>
      <c r="F1051" s="21"/>
    </row>
    <row r="1052" spans="1:6" x14ac:dyDescent="0.25">
      <c r="A1052" s="21" t="s">
        <v>1118</v>
      </c>
      <c r="B1052" s="21" t="s">
        <v>22</v>
      </c>
      <c r="C1052" s="21">
        <v>20</v>
      </c>
      <c r="D1052" s="21">
        <v>720</v>
      </c>
      <c r="E1052" s="21">
        <v>36</v>
      </c>
      <c r="F1052" s="21"/>
    </row>
    <row r="1053" spans="1:6" x14ac:dyDescent="0.25">
      <c r="A1053" s="21" t="s">
        <v>1119</v>
      </c>
      <c r="B1053" s="21" t="s">
        <v>22</v>
      </c>
      <c r="C1053" s="21">
        <v>20</v>
      </c>
      <c r="D1053" s="21">
        <v>160</v>
      </c>
      <c r="E1053" s="21">
        <v>8</v>
      </c>
      <c r="F1053" s="21"/>
    </row>
    <row r="1054" spans="1:6" x14ac:dyDescent="0.25">
      <c r="A1054" s="21" t="s">
        <v>1120</v>
      </c>
      <c r="B1054" s="21" t="s">
        <v>22</v>
      </c>
      <c r="C1054" s="21">
        <v>30</v>
      </c>
      <c r="D1054" s="21">
        <v>540</v>
      </c>
      <c r="E1054" s="21">
        <v>18</v>
      </c>
      <c r="F1054" s="21"/>
    </row>
    <row r="1055" spans="1:6" x14ac:dyDescent="0.25">
      <c r="A1055" s="21" t="s">
        <v>1121</v>
      </c>
      <c r="B1055" s="21" t="s">
        <v>22</v>
      </c>
      <c r="C1055" s="21">
        <v>12</v>
      </c>
      <c r="D1055" s="21">
        <v>240</v>
      </c>
      <c r="E1055" s="21">
        <v>20</v>
      </c>
      <c r="F1055" s="21"/>
    </row>
    <row r="1056" spans="1:6" x14ac:dyDescent="0.25">
      <c r="A1056" s="21" t="s">
        <v>1122</v>
      </c>
      <c r="B1056" s="21" t="s">
        <v>22</v>
      </c>
      <c r="C1056" s="21">
        <v>100</v>
      </c>
      <c r="D1056" s="21">
        <v>3600</v>
      </c>
      <c r="E1056" s="21">
        <v>36</v>
      </c>
      <c r="F1056" s="21"/>
    </row>
    <row r="1057" spans="1:6" x14ac:dyDescent="0.25">
      <c r="A1057" s="21" t="s">
        <v>1123</v>
      </c>
      <c r="B1057" s="21" t="s">
        <v>22</v>
      </c>
      <c r="C1057" s="21">
        <v>100</v>
      </c>
      <c r="D1057" s="21">
        <v>5000</v>
      </c>
      <c r="E1057" s="21">
        <v>50</v>
      </c>
      <c r="F1057" s="21"/>
    </row>
    <row r="1058" spans="1:6" x14ac:dyDescent="0.25">
      <c r="A1058" s="21" t="s">
        <v>1124</v>
      </c>
      <c r="B1058" s="21" t="s">
        <v>22</v>
      </c>
      <c r="C1058" s="21">
        <v>60</v>
      </c>
      <c r="D1058" s="21">
        <v>3240</v>
      </c>
      <c r="E1058" s="21">
        <v>54</v>
      </c>
      <c r="F1058" s="21"/>
    </row>
    <row r="1059" spans="1:6" x14ac:dyDescent="0.25">
      <c r="A1059" s="21" t="s">
        <v>1125</v>
      </c>
      <c r="B1059" s="21" t="s">
        <v>22</v>
      </c>
      <c r="C1059" s="21">
        <v>50</v>
      </c>
      <c r="D1059" s="21">
        <v>3000</v>
      </c>
      <c r="E1059" s="21">
        <v>60</v>
      </c>
      <c r="F1059" s="21"/>
    </row>
    <row r="1060" spans="1:6" x14ac:dyDescent="0.25">
      <c r="A1060" s="21" t="s">
        <v>1126</v>
      </c>
      <c r="B1060" s="21" t="s">
        <v>22</v>
      </c>
      <c r="C1060" s="21">
        <v>100</v>
      </c>
      <c r="D1060" s="21">
        <v>5000</v>
      </c>
      <c r="E1060" s="21">
        <v>50</v>
      </c>
      <c r="F1060" s="21"/>
    </row>
    <row r="1061" spans="1:6" x14ac:dyDescent="0.25">
      <c r="A1061" s="21" t="s">
        <v>1127</v>
      </c>
      <c r="B1061" s="21" t="s">
        <v>22</v>
      </c>
      <c r="C1061" s="21">
        <v>260</v>
      </c>
      <c r="D1061" s="21">
        <v>5200</v>
      </c>
      <c r="E1061" s="21">
        <v>20</v>
      </c>
      <c r="F1061" s="21"/>
    </row>
    <row r="1062" spans="1:6" x14ac:dyDescent="0.25">
      <c r="A1062" s="21" t="s">
        <v>1128</v>
      </c>
      <c r="B1062" s="21" t="s">
        <v>22</v>
      </c>
      <c r="C1062" s="21">
        <v>260</v>
      </c>
      <c r="D1062" s="21">
        <v>5200</v>
      </c>
      <c r="E1062" s="21">
        <v>20</v>
      </c>
      <c r="F1062" s="21"/>
    </row>
    <row r="1063" spans="1:6" x14ac:dyDescent="0.25">
      <c r="A1063" s="21" t="s">
        <v>1129</v>
      </c>
      <c r="B1063" s="21" t="s">
        <v>22</v>
      </c>
      <c r="C1063" s="21">
        <v>100</v>
      </c>
      <c r="D1063" s="21">
        <v>5000</v>
      </c>
      <c r="E1063" s="21">
        <v>50</v>
      </c>
      <c r="F1063" s="21"/>
    </row>
    <row r="1064" spans="1:6" x14ac:dyDescent="0.25">
      <c r="A1064" s="21" t="s">
        <v>1130</v>
      </c>
      <c r="B1064" s="21" t="s">
        <v>22</v>
      </c>
      <c r="C1064" s="21">
        <v>50</v>
      </c>
      <c r="D1064" s="21">
        <v>3000</v>
      </c>
      <c r="E1064" s="21">
        <v>60</v>
      </c>
      <c r="F1064" s="21"/>
    </row>
    <row r="1065" spans="1:6" x14ac:dyDescent="0.25">
      <c r="A1065" s="21" t="s">
        <v>1131</v>
      </c>
      <c r="B1065" s="21" t="s">
        <v>22</v>
      </c>
      <c r="C1065" s="21">
        <v>50</v>
      </c>
      <c r="D1065" s="21">
        <v>3000</v>
      </c>
      <c r="E1065" s="21">
        <v>60</v>
      </c>
      <c r="F1065" s="21"/>
    </row>
    <row r="1066" spans="1:6" x14ac:dyDescent="0.25">
      <c r="A1066" s="21" t="s">
        <v>1132</v>
      </c>
      <c r="B1066" s="21" t="s">
        <v>22</v>
      </c>
      <c r="C1066" s="21">
        <v>100</v>
      </c>
      <c r="D1066" s="21">
        <v>5000</v>
      </c>
      <c r="E1066" s="21">
        <v>50</v>
      </c>
      <c r="F1066" s="21"/>
    </row>
    <row r="1067" spans="1:6" x14ac:dyDescent="0.25">
      <c r="A1067" s="21" t="s">
        <v>1133</v>
      </c>
      <c r="B1067" s="21" t="s">
        <v>22</v>
      </c>
      <c r="C1067" s="21">
        <v>100</v>
      </c>
      <c r="D1067" s="21">
        <v>5000</v>
      </c>
      <c r="E1067" s="21">
        <v>50</v>
      </c>
      <c r="F1067" s="21"/>
    </row>
    <row r="1068" spans="1:6" x14ac:dyDescent="0.25">
      <c r="A1068" s="21" t="s">
        <v>1134</v>
      </c>
      <c r="B1068" s="21" t="s">
        <v>22</v>
      </c>
      <c r="C1068" s="21">
        <v>100</v>
      </c>
      <c r="D1068" s="21">
        <v>5000</v>
      </c>
      <c r="E1068" s="21">
        <v>50</v>
      </c>
      <c r="F1068" s="21"/>
    </row>
    <row r="1069" spans="1:6" x14ac:dyDescent="0.25">
      <c r="A1069" s="21" t="s">
        <v>1135</v>
      </c>
      <c r="B1069" s="21" t="s">
        <v>22</v>
      </c>
      <c r="C1069" s="21">
        <v>50</v>
      </c>
      <c r="D1069" s="21">
        <v>3000</v>
      </c>
      <c r="E1069" s="21">
        <v>60</v>
      </c>
      <c r="F1069" s="21"/>
    </row>
    <row r="1070" spans="1:6" x14ac:dyDescent="0.25">
      <c r="A1070" s="21" t="s">
        <v>1136</v>
      </c>
      <c r="B1070" s="21" t="s">
        <v>22</v>
      </c>
      <c r="C1070" s="21">
        <v>100</v>
      </c>
      <c r="D1070" s="21">
        <v>5000</v>
      </c>
      <c r="E1070" s="21">
        <v>50</v>
      </c>
      <c r="F1070" s="21"/>
    </row>
    <row r="1071" spans="1:6" x14ac:dyDescent="0.25">
      <c r="A1071" s="21" t="s">
        <v>1137</v>
      </c>
      <c r="B1071" s="21" t="s">
        <v>22</v>
      </c>
      <c r="C1071" s="21">
        <v>260</v>
      </c>
      <c r="D1071" s="21">
        <v>5200</v>
      </c>
      <c r="E1071" s="21">
        <v>20</v>
      </c>
      <c r="F1071" s="21"/>
    </row>
    <row r="1072" spans="1:6" x14ac:dyDescent="0.25">
      <c r="A1072" s="21" t="s">
        <v>1138</v>
      </c>
      <c r="B1072" s="21" t="s">
        <v>22</v>
      </c>
      <c r="C1072" s="21">
        <v>260</v>
      </c>
      <c r="D1072" s="21">
        <v>5200</v>
      </c>
      <c r="E1072" s="21">
        <v>20</v>
      </c>
      <c r="F1072" s="21"/>
    </row>
    <row r="1073" spans="1:6" x14ac:dyDescent="0.25">
      <c r="A1073" s="21" t="s">
        <v>1139</v>
      </c>
      <c r="B1073" s="21" t="s">
        <v>22</v>
      </c>
      <c r="C1073" s="21">
        <v>100</v>
      </c>
      <c r="D1073" s="21">
        <v>3000</v>
      </c>
      <c r="E1073" s="21">
        <v>30</v>
      </c>
      <c r="F1073" s="21"/>
    </row>
    <row r="1074" spans="1:6" x14ac:dyDescent="0.25">
      <c r="A1074" s="21" t="s">
        <v>1140</v>
      </c>
      <c r="B1074" s="21" t="s">
        <v>22</v>
      </c>
      <c r="C1074" s="21">
        <v>100</v>
      </c>
      <c r="D1074" s="21">
        <v>3000</v>
      </c>
      <c r="E1074" s="21">
        <v>30</v>
      </c>
      <c r="F1074" s="21"/>
    </row>
    <row r="1075" spans="1:6" x14ac:dyDescent="0.25">
      <c r="A1075" s="21" t="s">
        <v>1141</v>
      </c>
      <c r="B1075" s="21" t="s">
        <v>22</v>
      </c>
      <c r="C1075" s="21">
        <v>100</v>
      </c>
      <c r="D1075" s="21">
        <v>5000</v>
      </c>
      <c r="E1075" s="21">
        <v>50</v>
      </c>
      <c r="F1075" s="21"/>
    </row>
    <row r="1076" spans="1:6" x14ac:dyDescent="0.25">
      <c r="A1076" s="21" t="s">
        <v>1142</v>
      </c>
      <c r="B1076" s="21" t="s">
        <v>22</v>
      </c>
      <c r="C1076" s="21">
        <v>50</v>
      </c>
      <c r="D1076" s="21">
        <v>3000</v>
      </c>
      <c r="E1076" s="21">
        <v>60</v>
      </c>
      <c r="F1076" s="21"/>
    </row>
    <row r="1077" spans="1:6" x14ac:dyDescent="0.25">
      <c r="A1077" s="21" t="s">
        <v>1143</v>
      </c>
      <c r="B1077" s="21" t="s">
        <v>22</v>
      </c>
      <c r="C1077" s="21">
        <v>100</v>
      </c>
      <c r="D1077" s="21">
        <v>5000</v>
      </c>
      <c r="E1077" s="21">
        <v>50</v>
      </c>
      <c r="F1077" s="21"/>
    </row>
    <row r="1078" spans="1:6" x14ac:dyDescent="0.25">
      <c r="A1078" s="21" t="s">
        <v>1144</v>
      </c>
      <c r="B1078" s="21" t="s">
        <v>22</v>
      </c>
      <c r="C1078" s="21">
        <v>260</v>
      </c>
      <c r="D1078" s="21">
        <v>5200</v>
      </c>
      <c r="E1078" s="21">
        <v>20</v>
      </c>
      <c r="F1078" s="21"/>
    </row>
    <row r="1079" spans="1:6" x14ac:dyDescent="0.25">
      <c r="A1079" s="21" t="s">
        <v>1145</v>
      </c>
      <c r="B1079" s="21" t="s">
        <v>22</v>
      </c>
      <c r="C1079" s="21">
        <v>100</v>
      </c>
      <c r="D1079" s="21">
        <v>3000</v>
      </c>
      <c r="E1079" s="21">
        <v>30</v>
      </c>
      <c r="F1079" s="21"/>
    </row>
    <row r="1080" spans="1:6" x14ac:dyDescent="0.25">
      <c r="A1080" s="21" t="s">
        <v>1146</v>
      </c>
      <c r="B1080" s="21" t="s">
        <v>22</v>
      </c>
      <c r="C1080" s="21">
        <v>100</v>
      </c>
      <c r="D1080" s="21">
        <v>3000</v>
      </c>
      <c r="E1080" s="21">
        <v>30</v>
      </c>
      <c r="F1080" s="21"/>
    </row>
    <row r="1081" spans="1:6" x14ac:dyDescent="0.25">
      <c r="A1081" s="21" t="s">
        <v>1147</v>
      </c>
      <c r="B1081" s="21" t="s">
        <v>22</v>
      </c>
      <c r="C1081" s="21">
        <v>100</v>
      </c>
      <c r="D1081" s="21">
        <v>3000</v>
      </c>
      <c r="E1081" s="21">
        <v>30</v>
      </c>
      <c r="F1081" s="21"/>
    </row>
    <row r="1082" spans="1:6" x14ac:dyDescent="0.25">
      <c r="A1082" s="21" t="s">
        <v>1148</v>
      </c>
      <c r="B1082" s="21" t="s">
        <v>22</v>
      </c>
      <c r="C1082" s="21">
        <v>0</v>
      </c>
      <c r="D1082" s="52">
        <v>0</v>
      </c>
      <c r="E1082" s="21"/>
      <c r="F1082" s="21"/>
    </row>
    <row r="1083" spans="1:6" x14ac:dyDescent="0.25">
      <c r="A1083" s="21" t="s">
        <v>1149</v>
      </c>
      <c r="B1083" s="21" t="s">
        <v>22</v>
      </c>
      <c r="C1083" s="21">
        <v>100</v>
      </c>
      <c r="D1083" s="21">
        <v>5000</v>
      </c>
      <c r="E1083" s="21">
        <v>50</v>
      </c>
      <c r="F1083" s="21"/>
    </row>
    <row r="1084" spans="1:6" x14ac:dyDescent="0.25">
      <c r="A1084" s="21" t="s">
        <v>1150</v>
      </c>
      <c r="B1084" s="21" t="s">
        <v>22</v>
      </c>
      <c r="C1084" s="21">
        <v>100</v>
      </c>
      <c r="D1084" s="21">
        <v>7200</v>
      </c>
      <c r="E1084" s="21">
        <v>72</v>
      </c>
      <c r="F1084" s="21"/>
    </row>
    <row r="1085" spans="1:6" x14ac:dyDescent="0.25">
      <c r="A1085" s="21" t="s">
        <v>1151</v>
      </c>
      <c r="B1085" s="21" t="s">
        <v>22</v>
      </c>
      <c r="C1085" s="21">
        <v>90</v>
      </c>
      <c r="D1085" s="21">
        <v>4050</v>
      </c>
      <c r="E1085" s="21">
        <v>45</v>
      </c>
      <c r="F1085" s="21"/>
    </row>
    <row r="1086" spans="1:6" x14ac:dyDescent="0.25">
      <c r="A1086" s="21" t="s">
        <v>1152</v>
      </c>
      <c r="B1086" s="21" t="s">
        <v>22</v>
      </c>
      <c r="C1086" s="21">
        <v>50</v>
      </c>
      <c r="D1086" s="21">
        <v>3000</v>
      </c>
      <c r="E1086" s="21">
        <v>60</v>
      </c>
      <c r="F1086" s="21"/>
    </row>
    <row r="1087" spans="1:6" x14ac:dyDescent="0.25">
      <c r="A1087" s="21" t="s">
        <v>1153</v>
      </c>
      <c r="B1087" s="21" t="s">
        <v>22</v>
      </c>
      <c r="C1087" s="21">
        <v>100</v>
      </c>
      <c r="D1087" s="21">
        <v>5000</v>
      </c>
      <c r="E1087" s="21">
        <v>50</v>
      </c>
      <c r="F1087" s="21"/>
    </row>
    <row r="1088" spans="1:6" x14ac:dyDescent="0.25">
      <c r="A1088" s="21" t="s">
        <v>1154</v>
      </c>
      <c r="B1088" s="21" t="s">
        <v>22</v>
      </c>
      <c r="C1088" s="21">
        <v>400</v>
      </c>
      <c r="D1088" s="21">
        <v>8000</v>
      </c>
      <c r="E1088" s="21">
        <v>20</v>
      </c>
      <c r="F1088" s="21"/>
    </row>
    <row r="1089" spans="1:6" x14ac:dyDescent="0.25">
      <c r="A1089" s="21" t="s">
        <v>1155</v>
      </c>
      <c r="B1089" s="21" t="s">
        <v>22</v>
      </c>
      <c r="C1089" s="21">
        <v>90</v>
      </c>
      <c r="D1089" s="21">
        <v>4050</v>
      </c>
      <c r="E1089" s="21">
        <v>45</v>
      </c>
      <c r="F1089" s="21"/>
    </row>
    <row r="1090" spans="1:6" x14ac:dyDescent="0.25">
      <c r="A1090" s="21" t="s">
        <v>1156</v>
      </c>
      <c r="B1090" s="21" t="s">
        <v>22</v>
      </c>
      <c r="C1090" s="21">
        <v>100</v>
      </c>
      <c r="D1090" s="21">
        <v>5000</v>
      </c>
      <c r="E1090" s="21">
        <v>50</v>
      </c>
      <c r="F1090" s="21"/>
    </row>
    <row r="1091" spans="1:6" x14ac:dyDescent="0.25">
      <c r="A1091" s="21" t="s">
        <v>1157</v>
      </c>
      <c r="B1091" s="21" t="s">
        <v>22</v>
      </c>
      <c r="C1091" s="21">
        <v>60</v>
      </c>
      <c r="D1091" s="21">
        <v>3240</v>
      </c>
      <c r="E1091" s="21">
        <v>54</v>
      </c>
      <c r="F1091" s="21"/>
    </row>
    <row r="1092" spans="1:6" x14ac:dyDescent="0.25">
      <c r="A1092" s="21" t="s">
        <v>1158</v>
      </c>
      <c r="B1092" s="21" t="s">
        <v>22</v>
      </c>
      <c r="C1092" s="21">
        <v>50</v>
      </c>
      <c r="D1092" s="21">
        <v>3000</v>
      </c>
      <c r="E1092" s="21">
        <v>60</v>
      </c>
      <c r="F1092" s="21"/>
    </row>
    <row r="1093" spans="1:6" x14ac:dyDescent="0.25">
      <c r="A1093" s="21" t="s">
        <v>1159</v>
      </c>
      <c r="B1093" s="21" t="s">
        <v>22</v>
      </c>
      <c r="C1093" s="21">
        <v>100</v>
      </c>
      <c r="D1093" s="21">
        <v>5000</v>
      </c>
      <c r="E1093" s="21">
        <v>50</v>
      </c>
      <c r="F1093" s="21"/>
    </row>
    <row r="1094" spans="1:6" x14ac:dyDescent="0.25">
      <c r="A1094" s="21" t="s">
        <v>1160</v>
      </c>
      <c r="B1094" s="21" t="s">
        <v>22</v>
      </c>
      <c r="C1094" s="21">
        <v>260</v>
      </c>
      <c r="D1094" s="21">
        <v>5200</v>
      </c>
      <c r="E1094" s="21">
        <v>20</v>
      </c>
      <c r="F1094" s="21"/>
    </row>
    <row r="1095" spans="1:6" x14ac:dyDescent="0.25">
      <c r="A1095" s="21" t="s">
        <v>1161</v>
      </c>
      <c r="B1095" s="21" t="s">
        <v>22</v>
      </c>
      <c r="C1095" s="21">
        <v>100</v>
      </c>
      <c r="D1095" s="21">
        <v>5000</v>
      </c>
      <c r="E1095" s="21">
        <v>50</v>
      </c>
      <c r="F1095" s="21"/>
    </row>
    <row r="1096" spans="1:6" x14ac:dyDescent="0.25">
      <c r="A1096" s="21" t="s">
        <v>1162</v>
      </c>
      <c r="B1096" s="21" t="s">
        <v>22</v>
      </c>
      <c r="C1096" s="21">
        <v>260</v>
      </c>
      <c r="D1096" s="21">
        <v>5200</v>
      </c>
      <c r="E1096" s="21">
        <v>20</v>
      </c>
      <c r="F1096" s="21"/>
    </row>
    <row r="1097" spans="1:6" x14ac:dyDescent="0.25">
      <c r="A1097" s="21" t="s">
        <v>1163</v>
      </c>
      <c r="B1097" s="21" t="s">
        <v>22</v>
      </c>
      <c r="C1097" s="21">
        <v>60</v>
      </c>
      <c r="D1097" s="21">
        <v>3240</v>
      </c>
      <c r="E1097" s="21">
        <v>54</v>
      </c>
      <c r="F1097" s="21"/>
    </row>
    <row r="1098" spans="1:6" x14ac:dyDescent="0.25">
      <c r="A1098" s="21" t="s">
        <v>1164</v>
      </c>
      <c r="B1098" s="21" t="s">
        <v>22</v>
      </c>
      <c r="C1098" s="21">
        <v>90</v>
      </c>
      <c r="D1098" s="21">
        <v>4050</v>
      </c>
      <c r="E1098" s="21">
        <v>45</v>
      </c>
      <c r="F1098" s="21"/>
    </row>
    <row r="1099" spans="1:6" x14ac:dyDescent="0.25">
      <c r="A1099" s="21" t="s">
        <v>1165</v>
      </c>
      <c r="B1099" s="21" t="s">
        <v>22</v>
      </c>
      <c r="C1099" s="21">
        <v>90</v>
      </c>
      <c r="D1099" s="21">
        <v>4050</v>
      </c>
      <c r="E1099" s="21">
        <v>45</v>
      </c>
      <c r="F1099" s="21"/>
    </row>
    <row r="1100" spans="1:6" x14ac:dyDescent="0.25">
      <c r="A1100" s="21" t="s">
        <v>1166</v>
      </c>
      <c r="B1100" s="21" t="s">
        <v>22</v>
      </c>
      <c r="C1100" s="21">
        <v>90</v>
      </c>
      <c r="D1100" s="21">
        <v>4050</v>
      </c>
      <c r="E1100" s="21">
        <v>45</v>
      </c>
      <c r="F1100" s="21"/>
    </row>
    <row r="1101" spans="1:6" x14ac:dyDescent="0.25">
      <c r="A1101" s="21" t="s">
        <v>1167</v>
      </c>
      <c r="B1101" s="21" t="s">
        <v>22</v>
      </c>
      <c r="C1101" s="21">
        <v>90</v>
      </c>
      <c r="D1101" s="21">
        <v>5400</v>
      </c>
      <c r="E1101" s="21">
        <v>60</v>
      </c>
      <c r="F1101" s="21"/>
    </row>
    <row r="1102" spans="1:6" x14ac:dyDescent="0.25">
      <c r="A1102" s="21" t="s">
        <v>1168</v>
      </c>
      <c r="B1102" s="21" t="s">
        <v>22</v>
      </c>
      <c r="C1102" s="21">
        <v>90</v>
      </c>
      <c r="D1102" s="21">
        <v>5400</v>
      </c>
      <c r="E1102" s="21">
        <v>60</v>
      </c>
      <c r="F1102" s="21"/>
    </row>
    <row r="1103" spans="1:6" x14ac:dyDescent="0.25">
      <c r="A1103" s="21" t="s">
        <v>1169</v>
      </c>
      <c r="B1103" s="21" t="s">
        <v>22</v>
      </c>
      <c r="C1103" s="21">
        <v>90</v>
      </c>
      <c r="D1103" s="21">
        <v>5400</v>
      </c>
      <c r="E1103" s="21">
        <v>60</v>
      </c>
      <c r="F1103" s="21"/>
    </row>
    <row r="1104" spans="1:6" x14ac:dyDescent="0.25">
      <c r="A1104" s="21" t="s">
        <v>1170</v>
      </c>
      <c r="B1104" s="21" t="s">
        <v>22</v>
      </c>
      <c r="C1104" s="21">
        <v>90</v>
      </c>
      <c r="D1104" s="21">
        <v>5400</v>
      </c>
      <c r="E1104" s="21">
        <v>60</v>
      </c>
      <c r="F1104" s="21"/>
    </row>
    <row r="1105" spans="1:6" x14ac:dyDescent="0.25">
      <c r="A1105" s="21" t="s">
        <v>1171</v>
      </c>
      <c r="B1105" s="21" t="s">
        <v>22</v>
      </c>
      <c r="C1105" s="21">
        <v>90</v>
      </c>
      <c r="D1105" s="21">
        <v>5400</v>
      </c>
      <c r="E1105" s="21">
        <v>60</v>
      </c>
      <c r="F1105" s="21"/>
    </row>
    <row r="1106" spans="1:6" x14ac:dyDescent="0.25">
      <c r="A1106" s="21" t="s">
        <v>1172</v>
      </c>
      <c r="B1106" s="21" t="s">
        <v>22</v>
      </c>
      <c r="C1106" s="21">
        <v>90</v>
      </c>
      <c r="D1106" s="21">
        <v>5400</v>
      </c>
      <c r="E1106" s="21">
        <v>60</v>
      </c>
      <c r="F1106" s="21"/>
    </row>
    <row r="1107" spans="1:6" x14ac:dyDescent="0.25">
      <c r="A1107" s="21" t="s">
        <v>1173</v>
      </c>
      <c r="B1107" s="21" t="s">
        <v>22</v>
      </c>
      <c r="C1107" s="21">
        <v>90</v>
      </c>
      <c r="D1107" s="21">
        <v>4050</v>
      </c>
      <c r="E1107" s="21">
        <v>45</v>
      </c>
      <c r="F1107" s="21"/>
    </row>
    <row r="1108" spans="1:6" x14ac:dyDescent="0.25">
      <c r="A1108" s="21" t="s">
        <v>1174</v>
      </c>
      <c r="B1108" s="21" t="s">
        <v>22</v>
      </c>
      <c r="C1108" s="21">
        <v>90</v>
      </c>
      <c r="D1108" s="21">
        <v>5400</v>
      </c>
      <c r="E1108" s="21">
        <v>60</v>
      </c>
      <c r="F1108" s="21"/>
    </row>
    <row r="1109" spans="1:6" x14ac:dyDescent="0.25">
      <c r="A1109" s="21" t="s">
        <v>1175</v>
      </c>
      <c r="B1109" s="21" t="s">
        <v>22</v>
      </c>
      <c r="C1109" s="21">
        <v>90</v>
      </c>
      <c r="D1109" s="21">
        <v>5400</v>
      </c>
      <c r="E1109" s="21">
        <v>60</v>
      </c>
      <c r="F1109" s="21"/>
    </row>
    <row r="1110" spans="1:6" x14ac:dyDescent="0.25">
      <c r="A1110" s="21" t="s">
        <v>1176</v>
      </c>
      <c r="B1110" s="21" t="s">
        <v>22</v>
      </c>
      <c r="C1110" s="21">
        <v>90</v>
      </c>
      <c r="D1110" s="21">
        <v>5400</v>
      </c>
      <c r="E1110" s="21">
        <v>60</v>
      </c>
      <c r="F1110" s="21"/>
    </row>
    <row r="1111" spans="1:6" x14ac:dyDescent="0.25">
      <c r="A1111" s="21" t="s">
        <v>1177</v>
      </c>
      <c r="B1111" s="21" t="s">
        <v>22</v>
      </c>
      <c r="C1111" s="21">
        <v>90</v>
      </c>
      <c r="D1111" s="21">
        <v>4050</v>
      </c>
      <c r="E1111" s="21">
        <v>45</v>
      </c>
      <c r="F1111" s="21"/>
    </row>
    <row r="1112" spans="1:6" x14ac:dyDescent="0.25">
      <c r="A1112" s="21" t="s">
        <v>1178</v>
      </c>
      <c r="B1112" s="21" t="s">
        <v>22</v>
      </c>
      <c r="C1112" s="21">
        <v>1</v>
      </c>
      <c r="D1112" s="21">
        <v>1</v>
      </c>
      <c r="E1112" s="21">
        <v>1</v>
      </c>
      <c r="F1112" s="21"/>
    </row>
    <row r="1113" spans="1:6" x14ac:dyDescent="0.25">
      <c r="A1113" s="21" t="s">
        <v>1179</v>
      </c>
      <c r="B1113" s="21" t="s">
        <v>22</v>
      </c>
      <c r="C1113" s="21">
        <v>0</v>
      </c>
      <c r="D1113" s="52">
        <v>0</v>
      </c>
      <c r="E1113" s="21"/>
      <c r="F1113" s="21"/>
    </row>
    <row r="1114" spans="1:6" x14ac:dyDescent="0.25">
      <c r="A1114" s="21" t="s">
        <v>1180</v>
      </c>
      <c r="B1114" s="21" t="s">
        <v>22</v>
      </c>
      <c r="C1114" s="21">
        <v>90</v>
      </c>
      <c r="D1114" s="21">
        <v>4050</v>
      </c>
      <c r="E1114" s="21">
        <v>45</v>
      </c>
      <c r="F1114" s="21"/>
    </row>
    <row r="1115" spans="1:6" x14ac:dyDescent="0.25">
      <c r="A1115" s="21" t="s">
        <v>1181</v>
      </c>
      <c r="B1115" s="21" t="s">
        <v>22</v>
      </c>
      <c r="C1115" s="21">
        <v>90</v>
      </c>
      <c r="D1115" s="21">
        <v>4050</v>
      </c>
      <c r="E1115" s="21">
        <v>45</v>
      </c>
      <c r="F1115" s="21"/>
    </row>
    <row r="1116" spans="1:6" x14ac:dyDescent="0.25">
      <c r="A1116" s="21" t="s">
        <v>1182</v>
      </c>
      <c r="B1116" s="21" t="s">
        <v>22</v>
      </c>
      <c r="C1116" s="21">
        <v>90</v>
      </c>
      <c r="D1116" s="21">
        <v>4050</v>
      </c>
      <c r="E1116" s="21">
        <v>45</v>
      </c>
      <c r="F1116" s="21"/>
    </row>
    <row r="1117" spans="1:6" x14ac:dyDescent="0.25">
      <c r="A1117" s="21" t="s">
        <v>1183</v>
      </c>
      <c r="B1117" s="21" t="s">
        <v>22</v>
      </c>
      <c r="C1117" s="21">
        <v>90</v>
      </c>
      <c r="D1117" s="21">
        <v>4050</v>
      </c>
      <c r="E1117" s="21">
        <v>45</v>
      </c>
      <c r="F1117" s="21"/>
    </row>
    <row r="1118" spans="1:6" x14ac:dyDescent="0.25">
      <c r="A1118" s="21" t="s">
        <v>1184</v>
      </c>
      <c r="B1118" s="21" t="s">
        <v>22</v>
      </c>
      <c r="C1118" s="21">
        <v>80</v>
      </c>
      <c r="D1118" s="21">
        <v>3360</v>
      </c>
      <c r="E1118" s="21">
        <v>42</v>
      </c>
      <c r="F1118" s="21"/>
    </row>
    <row r="1119" spans="1:6" x14ac:dyDescent="0.25">
      <c r="A1119" s="21" t="s">
        <v>1185</v>
      </c>
      <c r="B1119" s="21" t="s">
        <v>22</v>
      </c>
      <c r="C1119" s="21">
        <v>80</v>
      </c>
      <c r="D1119" s="21">
        <v>3360</v>
      </c>
      <c r="E1119" s="21">
        <v>42</v>
      </c>
      <c r="F1119" s="21"/>
    </row>
    <row r="1120" spans="1:6" x14ac:dyDescent="0.25">
      <c r="A1120" s="21" t="s">
        <v>1186</v>
      </c>
      <c r="B1120" s="21" t="s">
        <v>22</v>
      </c>
      <c r="C1120" s="21">
        <v>60</v>
      </c>
      <c r="D1120" s="21">
        <v>2700</v>
      </c>
      <c r="E1120" s="21">
        <v>45</v>
      </c>
      <c r="F1120" s="21"/>
    </row>
    <row r="1121" spans="1:6" x14ac:dyDescent="0.25">
      <c r="A1121" s="21" t="s">
        <v>1187</v>
      </c>
      <c r="B1121" s="21" t="s">
        <v>22</v>
      </c>
      <c r="C1121" s="21">
        <v>60</v>
      </c>
      <c r="D1121" s="21">
        <v>2700</v>
      </c>
      <c r="E1121" s="21">
        <v>45</v>
      </c>
      <c r="F1121" s="21"/>
    </row>
    <row r="1122" spans="1:6" x14ac:dyDescent="0.25">
      <c r="A1122" s="21" t="s">
        <v>1188</v>
      </c>
      <c r="B1122" s="21" t="s">
        <v>22</v>
      </c>
      <c r="C1122" s="21">
        <v>50</v>
      </c>
      <c r="D1122" s="21">
        <v>2400</v>
      </c>
      <c r="E1122" s="21">
        <v>48</v>
      </c>
      <c r="F1122" s="21"/>
    </row>
    <row r="1123" spans="1:6" x14ac:dyDescent="0.25">
      <c r="A1123" s="21" t="s">
        <v>1189</v>
      </c>
      <c r="B1123" s="21" t="s">
        <v>22</v>
      </c>
      <c r="C1123" s="21">
        <v>0</v>
      </c>
      <c r="D1123" s="52">
        <v>0</v>
      </c>
      <c r="E1123" s="21"/>
      <c r="F1123" s="21"/>
    </row>
    <row r="1124" spans="1:6" x14ac:dyDescent="0.25">
      <c r="A1124" s="21" t="s">
        <v>1190</v>
      </c>
      <c r="B1124" s="21" t="s">
        <v>22</v>
      </c>
      <c r="C1124" s="21">
        <v>200</v>
      </c>
      <c r="D1124" s="21">
        <v>4800</v>
      </c>
      <c r="E1124" s="21">
        <v>24</v>
      </c>
      <c r="F1124" s="21"/>
    </row>
    <row r="1125" spans="1:6" x14ac:dyDescent="0.25">
      <c r="A1125" s="21" t="s">
        <v>1191</v>
      </c>
      <c r="B1125" s="21" t="s">
        <v>22</v>
      </c>
      <c r="C1125" s="21">
        <v>1000</v>
      </c>
      <c r="D1125" s="21">
        <v>32000</v>
      </c>
      <c r="E1125" s="21">
        <v>32</v>
      </c>
      <c r="F1125" s="21"/>
    </row>
    <row r="1126" spans="1:6" x14ac:dyDescent="0.25">
      <c r="A1126" s="21" t="s">
        <v>1192</v>
      </c>
      <c r="B1126" s="21" t="s">
        <v>22</v>
      </c>
      <c r="C1126" s="21">
        <v>100</v>
      </c>
      <c r="D1126" s="21">
        <v>2000</v>
      </c>
      <c r="E1126" s="21">
        <v>20</v>
      </c>
      <c r="F1126" s="21"/>
    </row>
    <row r="1127" spans="1:6" x14ac:dyDescent="0.25">
      <c r="A1127" s="21" t="s">
        <v>1193</v>
      </c>
      <c r="B1127" s="21" t="s">
        <v>22</v>
      </c>
      <c r="C1127" s="21">
        <v>50</v>
      </c>
      <c r="D1127" s="21">
        <v>5000</v>
      </c>
      <c r="E1127" s="21">
        <v>100</v>
      </c>
      <c r="F1127" s="21"/>
    </row>
    <row r="1128" spans="1:6" x14ac:dyDescent="0.25">
      <c r="A1128" s="21" t="s">
        <v>1194</v>
      </c>
      <c r="B1128" s="21" t="s">
        <v>22</v>
      </c>
      <c r="C1128" s="21">
        <v>50</v>
      </c>
      <c r="D1128" s="21">
        <v>5000</v>
      </c>
      <c r="E1128" s="21">
        <v>100</v>
      </c>
      <c r="F1128" s="21"/>
    </row>
    <row r="1129" spans="1:6" x14ac:dyDescent="0.25">
      <c r="A1129" s="21" t="s">
        <v>1195</v>
      </c>
      <c r="B1129" s="21" t="s">
        <v>22</v>
      </c>
      <c r="C1129" s="21">
        <v>10</v>
      </c>
      <c r="D1129" s="21">
        <v>240</v>
      </c>
      <c r="E1129" s="21">
        <v>24</v>
      </c>
      <c r="F1129" s="21"/>
    </row>
    <row r="1130" spans="1:6" x14ac:dyDescent="0.25">
      <c r="A1130" s="21" t="s">
        <v>1196</v>
      </c>
      <c r="B1130" s="21" t="s">
        <v>22</v>
      </c>
      <c r="C1130" s="21">
        <v>50</v>
      </c>
      <c r="D1130" s="21">
        <v>1500</v>
      </c>
      <c r="E1130" s="21">
        <v>30</v>
      </c>
      <c r="F1130" s="21"/>
    </row>
    <row r="1131" spans="1:6" x14ac:dyDescent="0.25">
      <c r="A1131" s="21" t="s">
        <v>1197</v>
      </c>
      <c r="B1131" s="21" t="s">
        <v>22</v>
      </c>
      <c r="C1131" s="21">
        <v>28</v>
      </c>
      <c r="D1131" s="21">
        <v>840</v>
      </c>
      <c r="E1131" s="21">
        <v>30</v>
      </c>
      <c r="F1131" s="21"/>
    </row>
    <row r="1132" spans="1:6" x14ac:dyDescent="0.25">
      <c r="A1132" s="21" t="s">
        <v>1198</v>
      </c>
      <c r="B1132" s="21" t="s">
        <v>22</v>
      </c>
      <c r="C1132" s="21">
        <v>6</v>
      </c>
      <c r="D1132" s="21">
        <v>216</v>
      </c>
      <c r="E1132" s="21">
        <v>36</v>
      </c>
      <c r="F1132" s="21"/>
    </row>
    <row r="1133" spans="1:6" x14ac:dyDescent="0.25">
      <c r="A1133" s="21" t="s">
        <v>1199</v>
      </c>
      <c r="B1133" s="21" t="s">
        <v>22</v>
      </c>
      <c r="C1133" s="21">
        <v>5</v>
      </c>
      <c r="D1133" s="21">
        <v>120</v>
      </c>
      <c r="E1133" s="21">
        <v>24</v>
      </c>
      <c r="F1133" s="21"/>
    </row>
    <row r="1134" spans="1:6" x14ac:dyDescent="0.25">
      <c r="A1134" s="21" t="s">
        <v>1200</v>
      </c>
      <c r="B1134" s="21" t="s">
        <v>22</v>
      </c>
      <c r="C1134" s="21">
        <v>6</v>
      </c>
      <c r="D1134" s="21">
        <v>180</v>
      </c>
      <c r="E1134" s="21">
        <v>30</v>
      </c>
      <c r="F1134" s="21"/>
    </row>
    <row r="1135" spans="1:6" x14ac:dyDescent="0.25">
      <c r="A1135" s="21" t="s">
        <v>1201</v>
      </c>
      <c r="B1135" s="21" t="s">
        <v>22</v>
      </c>
      <c r="C1135" s="21">
        <v>100</v>
      </c>
      <c r="D1135" s="21">
        <v>700</v>
      </c>
      <c r="E1135" s="21">
        <v>7</v>
      </c>
      <c r="F1135" s="21"/>
    </row>
    <row r="1136" spans="1:6" x14ac:dyDescent="0.25">
      <c r="A1136" s="21" t="s">
        <v>1202</v>
      </c>
      <c r="B1136" s="21" t="s">
        <v>22</v>
      </c>
      <c r="C1136" s="21">
        <v>10</v>
      </c>
      <c r="D1136" s="21">
        <v>240</v>
      </c>
      <c r="E1136" s="21">
        <v>24</v>
      </c>
      <c r="F1136" s="21"/>
    </row>
    <row r="1137" spans="1:6" x14ac:dyDescent="0.25">
      <c r="A1137" s="21" t="s">
        <v>1203</v>
      </c>
      <c r="B1137" s="21" t="s">
        <v>22</v>
      </c>
      <c r="C1137" s="21">
        <v>0</v>
      </c>
      <c r="D1137" s="52">
        <v>0</v>
      </c>
      <c r="E1137" s="21"/>
      <c r="F1137" s="21"/>
    </row>
    <row r="1138" spans="1:6" x14ac:dyDescent="0.25">
      <c r="A1138" s="21" t="s">
        <v>1204</v>
      </c>
      <c r="B1138" s="21" t="s">
        <v>22</v>
      </c>
      <c r="C1138" s="21">
        <v>0</v>
      </c>
      <c r="D1138" s="52">
        <v>0</v>
      </c>
      <c r="E1138" s="21"/>
      <c r="F1138" s="21"/>
    </row>
    <row r="1139" spans="1:6" x14ac:dyDescent="0.25">
      <c r="A1139" s="21" t="s">
        <v>1205</v>
      </c>
      <c r="B1139" s="21" t="s">
        <v>22</v>
      </c>
      <c r="C1139" s="21">
        <v>0</v>
      </c>
      <c r="D1139" s="52">
        <v>0</v>
      </c>
      <c r="E1139" s="21"/>
      <c r="F1139" s="21"/>
    </row>
    <row r="1140" spans="1:6" x14ac:dyDescent="0.25">
      <c r="A1140" s="21" t="s">
        <v>1206</v>
      </c>
      <c r="B1140" s="21" t="s">
        <v>22</v>
      </c>
      <c r="C1140" s="21">
        <v>0</v>
      </c>
      <c r="D1140" s="52">
        <v>0</v>
      </c>
      <c r="E1140" s="21"/>
      <c r="F1140" s="21"/>
    </row>
    <row r="1141" spans="1:6" x14ac:dyDescent="0.25">
      <c r="A1141" s="21" t="s">
        <v>1207</v>
      </c>
      <c r="B1141" s="21" t="s">
        <v>22</v>
      </c>
      <c r="C1141" s="21">
        <v>10</v>
      </c>
      <c r="D1141" s="52">
        <v>0</v>
      </c>
      <c r="E1141" s="21"/>
      <c r="F1141" s="21"/>
    </row>
    <row r="1142" spans="1:6" x14ac:dyDescent="0.25">
      <c r="A1142" s="21" t="s">
        <v>1208</v>
      </c>
      <c r="B1142" s="21" t="s">
        <v>22</v>
      </c>
      <c r="C1142" s="21">
        <v>0</v>
      </c>
      <c r="D1142" s="52">
        <v>0</v>
      </c>
      <c r="E1142" s="21"/>
      <c r="F1142" s="21"/>
    </row>
    <row r="1143" spans="1:6" x14ac:dyDescent="0.25">
      <c r="A1143" s="21" t="s">
        <v>1209</v>
      </c>
      <c r="B1143" s="21" t="s">
        <v>22</v>
      </c>
      <c r="C1143" s="21">
        <v>10</v>
      </c>
      <c r="D1143" s="52">
        <v>0</v>
      </c>
      <c r="E1143" s="21"/>
      <c r="F1143" s="21"/>
    </row>
    <row r="1144" spans="1:6" x14ac:dyDescent="0.25">
      <c r="A1144" s="21" t="s">
        <v>1210</v>
      </c>
      <c r="B1144" s="21" t="s">
        <v>22</v>
      </c>
      <c r="C1144" s="21">
        <v>0</v>
      </c>
      <c r="D1144" s="52">
        <v>0</v>
      </c>
      <c r="E1144" s="21"/>
      <c r="F1144" s="21"/>
    </row>
    <row r="1145" spans="1:6" x14ac:dyDescent="0.25">
      <c r="A1145" s="21" t="s">
        <v>1211</v>
      </c>
      <c r="B1145" s="21" t="s">
        <v>22</v>
      </c>
      <c r="C1145" s="21">
        <v>10</v>
      </c>
      <c r="D1145" s="52">
        <v>0</v>
      </c>
      <c r="E1145" s="21"/>
      <c r="F1145" s="21"/>
    </row>
    <row r="1146" spans="1:6" x14ac:dyDescent="0.25">
      <c r="A1146" s="21" t="s">
        <v>1212</v>
      </c>
      <c r="B1146" s="21" t="s">
        <v>22</v>
      </c>
      <c r="C1146" s="21">
        <v>10</v>
      </c>
      <c r="D1146" s="21">
        <v>240</v>
      </c>
      <c r="E1146" s="21">
        <v>24</v>
      </c>
      <c r="F1146" s="21"/>
    </row>
    <row r="1147" spans="1:6" x14ac:dyDescent="0.25">
      <c r="A1147" s="21" t="s">
        <v>1213</v>
      </c>
      <c r="B1147" s="21" t="s">
        <v>22</v>
      </c>
      <c r="C1147" s="21">
        <v>10</v>
      </c>
      <c r="D1147" s="21">
        <v>300</v>
      </c>
      <c r="E1147" s="21">
        <v>30</v>
      </c>
      <c r="F1147" s="21"/>
    </row>
    <row r="1148" spans="1:6" x14ac:dyDescent="0.25">
      <c r="A1148" s="21" t="s">
        <v>1214</v>
      </c>
      <c r="B1148" s="21" t="s">
        <v>22</v>
      </c>
      <c r="C1148" s="21">
        <v>10</v>
      </c>
      <c r="D1148" s="52">
        <v>0</v>
      </c>
      <c r="E1148" s="21"/>
      <c r="F1148" s="21"/>
    </row>
    <row r="1149" spans="1:6" x14ac:dyDescent="0.25">
      <c r="A1149" s="21" t="s">
        <v>1215</v>
      </c>
      <c r="B1149" s="21" t="s">
        <v>22</v>
      </c>
      <c r="C1149" s="21">
        <v>60</v>
      </c>
      <c r="D1149" s="21">
        <v>1440</v>
      </c>
      <c r="E1149" s="21">
        <v>24</v>
      </c>
      <c r="F1149" s="21"/>
    </row>
    <row r="1150" spans="1:6" x14ac:dyDescent="0.25">
      <c r="A1150" s="21" t="s">
        <v>1216</v>
      </c>
      <c r="B1150" s="21" t="s">
        <v>22</v>
      </c>
      <c r="C1150" s="21">
        <v>20</v>
      </c>
      <c r="D1150" s="21">
        <v>480</v>
      </c>
      <c r="E1150" s="21">
        <v>24</v>
      </c>
      <c r="F1150" s="21"/>
    </row>
    <row r="1151" spans="1:6" x14ac:dyDescent="0.25">
      <c r="A1151" s="21" t="s">
        <v>1217</v>
      </c>
      <c r="B1151" s="21" t="s">
        <v>22</v>
      </c>
      <c r="C1151" s="21">
        <v>20</v>
      </c>
      <c r="D1151" s="21">
        <v>480</v>
      </c>
      <c r="E1151" s="21">
        <v>24</v>
      </c>
      <c r="F1151" s="21"/>
    </row>
    <row r="1152" spans="1:6" x14ac:dyDescent="0.25">
      <c r="A1152" s="21" t="s">
        <v>1218</v>
      </c>
      <c r="B1152" s="21" t="s">
        <v>22</v>
      </c>
      <c r="C1152" s="21">
        <v>0</v>
      </c>
      <c r="D1152" s="52">
        <v>0</v>
      </c>
      <c r="E1152" s="21"/>
      <c r="F1152" s="21"/>
    </row>
    <row r="1153" spans="1:6" x14ac:dyDescent="0.25">
      <c r="A1153" s="21" t="s">
        <v>1219</v>
      </c>
      <c r="B1153" s="21" t="s">
        <v>22</v>
      </c>
      <c r="C1153" s="21">
        <v>20</v>
      </c>
      <c r="D1153" s="21">
        <v>480</v>
      </c>
      <c r="E1153" s="21">
        <v>24</v>
      </c>
      <c r="F1153" s="21"/>
    </row>
    <row r="1154" spans="1:6" x14ac:dyDescent="0.25">
      <c r="A1154" s="21" t="s">
        <v>1220</v>
      </c>
      <c r="B1154" s="21" t="s">
        <v>22</v>
      </c>
      <c r="C1154" s="21">
        <v>0</v>
      </c>
      <c r="D1154" s="52">
        <v>0</v>
      </c>
      <c r="E1154" s="21"/>
      <c r="F1154" s="21"/>
    </row>
    <row r="1155" spans="1:6" x14ac:dyDescent="0.25">
      <c r="A1155" s="21" t="s">
        <v>1221</v>
      </c>
      <c r="B1155" s="21" t="s">
        <v>22</v>
      </c>
      <c r="C1155" s="21">
        <v>20</v>
      </c>
      <c r="D1155" s="21">
        <v>480</v>
      </c>
      <c r="E1155" s="21">
        <v>24</v>
      </c>
      <c r="F1155" s="21"/>
    </row>
    <row r="1156" spans="1:6" x14ac:dyDescent="0.25">
      <c r="A1156" s="21" t="s">
        <v>1222</v>
      </c>
      <c r="B1156" s="21" t="s">
        <v>22</v>
      </c>
      <c r="C1156" s="21">
        <v>0</v>
      </c>
      <c r="D1156" s="52">
        <v>0</v>
      </c>
      <c r="E1156" s="21"/>
      <c r="F1156" s="21"/>
    </row>
    <row r="1157" spans="1:6" x14ac:dyDescent="0.25">
      <c r="A1157" s="21" t="s">
        <v>1223</v>
      </c>
      <c r="B1157" s="21" t="s">
        <v>22</v>
      </c>
      <c r="C1157" s="21">
        <v>20</v>
      </c>
      <c r="D1157" s="21">
        <v>480</v>
      </c>
      <c r="E1157" s="21">
        <v>24</v>
      </c>
      <c r="F1157" s="21"/>
    </row>
    <row r="1158" spans="1:6" x14ac:dyDescent="0.25">
      <c r="A1158" s="21" t="s">
        <v>1224</v>
      </c>
      <c r="B1158" s="21" t="s">
        <v>22</v>
      </c>
      <c r="C1158" s="21">
        <v>200</v>
      </c>
      <c r="D1158" s="21">
        <v>3600</v>
      </c>
      <c r="E1158" s="21">
        <v>18</v>
      </c>
      <c r="F1158" s="21"/>
    </row>
    <row r="1159" spans="1:6" x14ac:dyDescent="0.25">
      <c r="A1159" s="21" t="s">
        <v>1225</v>
      </c>
      <c r="B1159" s="21" t="s">
        <v>22</v>
      </c>
      <c r="C1159" s="21">
        <v>200</v>
      </c>
      <c r="D1159" s="21">
        <v>3600</v>
      </c>
      <c r="E1159" s="21">
        <v>18</v>
      </c>
      <c r="F1159" s="21"/>
    </row>
    <row r="1160" spans="1:6" x14ac:dyDescent="0.25">
      <c r="A1160" s="21" t="s">
        <v>1226</v>
      </c>
      <c r="B1160" s="21" t="s">
        <v>22</v>
      </c>
      <c r="C1160" s="21">
        <v>12</v>
      </c>
      <c r="D1160" s="21">
        <v>504</v>
      </c>
      <c r="E1160" s="21">
        <v>42</v>
      </c>
      <c r="F1160" s="21"/>
    </row>
    <row r="1161" spans="1:6" x14ac:dyDescent="0.25">
      <c r="A1161" s="21" t="s">
        <v>1227</v>
      </c>
      <c r="B1161" s="21" t="s">
        <v>22</v>
      </c>
      <c r="C1161" s="21">
        <v>4</v>
      </c>
      <c r="D1161" s="21">
        <v>128</v>
      </c>
      <c r="E1161" s="21">
        <v>32</v>
      </c>
      <c r="F1161" s="21"/>
    </row>
    <row r="1162" spans="1:6" x14ac:dyDescent="0.25">
      <c r="A1162" s="21" t="s">
        <v>1228</v>
      </c>
      <c r="B1162" s="21" t="s">
        <v>22</v>
      </c>
      <c r="C1162" s="21">
        <v>1</v>
      </c>
      <c r="D1162" s="21">
        <v>60</v>
      </c>
      <c r="E1162" s="21">
        <v>60</v>
      </c>
      <c r="F1162" s="21"/>
    </row>
    <row r="1163" spans="1:6" x14ac:dyDescent="0.25">
      <c r="A1163" s="21" t="s">
        <v>1229</v>
      </c>
      <c r="B1163" s="21" t="s">
        <v>22</v>
      </c>
      <c r="C1163" s="21">
        <v>1</v>
      </c>
      <c r="D1163" s="21">
        <v>60</v>
      </c>
      <c r="E1163" s="21">
        <v>60</v>
      </c>
      <c r="F1163" s="21"/>
    </row>
    <row r="1164" spans="1:6" x14ac:dyDescent="0.25">
      <c r="A1164" s="21" t="s">
        <v>1230</v>
      </c>
      <c r="B1164" s="21" t="s">
        <v>22</v>
      </c>
      <c r="C1164" s="21">
        <v>0</v>
      </c>
      <c r="D1164" s="52">
        <v>0</v>
      </c>
      <c r="E1164" s="21"/>
      <c r="F1164" s="21"/>
    </row>
    <row r="1165" spans="1:6" x14ac:dyDescent="0.25">
      <c r="A1165" s="21" t="s">
        <v>1231</v>
      </c>
      <c r="B1165" s="21" t="s">
        <v>22</v>
      </c>
      <c r="C1165" s="21">
        <v>20</v>
      </c>
      <c r="D1165" s="21">
        <v>720</v>
      </c>
      <c r="E1165" s="21">
        <v>36</v>
      </c>
      <c r="F1165" s="21"/>
    </row>
    <row r="1166" spans="1:6" x14ac:dyDescent="0.25">
      <c r="A1166" s="21" t="s">
        <v>1232</v>
      </c>
      <c r="B1166" s="21" t="s">
        <v>22</v>
      </c>
      <c r="C1166" s="21">
        <v>20</v>
      </c>
      <c r="D1166" s="21">
        <v>720</v>
      </c>
      <c r="E1166" s="21">
        <v>36</v>
      </c>
      <c r="F1166" s="21"/>
    </row>
    <row r="1167" spans="1:6" x14ac:dyDescent="0.25">
      <c r="A1167" s="21" t="s">
        <v>1233</v>
      </c>
      <c r="B1167" s="21" t="s">
        <v>22</v>
      </c>
      <c r="C1167" s="21">
        <v>4</v>
      </c>
      <c r="D1167" s="21">
        <v>64</v>
      </c>
      <c r="E1167" s="21">
        <v>16</v>
      </c>
      <c r="F1167" s="21"/>
    </row>
    <row r="1168" spans="1:6" x14ac:dyDescent="0.25">
      <c r="A1168" s="21" t="s">
        <v>1234</v>
      </c>
      <c r="B1168" s="21" t="s">
        <v>22</v>
      </c>
      <c r="C1168" s="21">
        <v>1</v>
      </c>
      <c r="D1168" s="21">
        <v>60</v>
      </c>
      <c r="E1168" s="21">
        <v>60</v>
      </c>
      <c r="F1168" s="21"/>
    </row>
    <row r="1169" spans="1:6" x14ac:dyDescent="0.25">
      <c r="A1169" s="21" t="s">
        <v>1235</v>
      </c>
      <c r="B1169" s="21" t="s">
        <v>22</v>
      </c>
      <c r="C1169" s="21">
        <v>1</v>
      </c>
      <c r="D1169" s="21">
        <v>60</v>
      </c>
      <c r="E1169" s="21">
        <v>60</v>
      </c>
      <c r="F1169" s="21"/>
    </row>
    <row r="1170" spans="1:6" x14ac:dyDescent="0.25">
      <c r="A1170" s="21" t="s">
        <v>1236</v>
      </c>
      <c r="B1170" s="21" t="s">
        <v>22</v>
      </c>
      <c r="C1170" s="21">
        <v>1</v>
      </c>
      <c r="D1170" s="21">
        <v>40</v>
      </c>
      <c r="E1170" s="21">
        <v>40</v>
      </c>
      <c r="F1170" s="21"/>
    </row>
    <row r="1171" spans="1:6" x14ac:dyDescent="0.25">
      <c r="A1171" s="21" t="s">
        <v>1237</v>
      </c>
      <c r="B1171" s="21" t="s">
        <v>22</v>
      </c>
      <c r="C1171" s="21">
        <v>4</v>
      </c>
      <c r="D1171" s="21">
        <v>160</v>
      </c>
      <c r="E1171" s="21">
        <v>40</v>
      </c>
      <c r="F1171" s="21"/>
    </row>
    <row r="1172" spans="1:6" x14ac:dyDescent="0.25">
      <c r="A1172" s="21" t="s">
        <v>1238</v>
      </c>
      <c r="B1172" s="21" t="s">
        <v>22</v>
      </c>
      <c r="C1172" s="21">
        <v>20</v>
      </c>
      <c r="D1172" s="21">
        <v>400</v>
      </c>
      <c r="E1172" s="21">
        <v>20</v>
      </c>
      <c r="F1172" s="21"/>
    </row>
    <row r="1173" spans="1:6" x14ac:dyDescent="0.25">
      <c r="A1173" s="21" t="s">
        <v>1239</v>
      </c>
      <c r="B1173" s="21" t="s">
        <v>22</v>
      </c>
      <c r="C1173" s="21">
        <v>10</v>
      </c>
      <c r="D1173" s="21">
        <v>320</v>
      </c>
      <c r="E1173" s="21">
        <v>32</v>
      </c>
      <c r="F1173" s="21"/>
    </row>
    <row r="1174" spans="1:6" x14ac:dyDescent="0.25">
      <c r="A1174" s="21" t="s">
        <v>1240</v>
      </c>
      <c r="B1174" s="21" t="s">
        <v>22</v>
      </c>
      <c r="C1174" s="21">
        <v>10</v>
      </c>
      <c r="D1174" s="21">
        <v>320</v>
      </c>
      <c r="E1174" s="21">
        <v>32</v>
      </c>
      <c r="F1174" s="21"/>
    </row>
    <row r="1175" spans="1:6" x14ac:dyDescent="0.25">
      <c r="A1175" s="21" t="s">
        <v>1241</v>
      </c>
      <c r="B1175" s="21" t="s">
        <v>22</v>
      </c>
      <c r="C1175" s="21">
        <v>1</v>
      </c>
      <c r="D1175" s="21">
        <v>84</v>
      </c>
      <c r="E1175" s="21">
        <v>84</v>
      </c>
      <c r="F1175" s="21"/>
    </row>
    <row r="1176" spans="1:6" x14ac:dyDescent="0.25">
      <c r="A1176" s="21" t="s">
        <v>1242</v>
      </c>
      <c r="B1176" s="21" t="s">
        <v>22</v>
      </c>
      <c r="C1176" s="21">
        <v>1</v>
      </c>
      <c r="D1176" s="21">
        <v>84</v>
      </c>
      <c r="E1176" s="21">
        <v>84</v>
      </c>
      <c r="F1176" s="21"/>
    </row>
    <row r="1177" spans="1:6" x14ac:dyDescent="0.25">
      <c r="A1177" s="21" t="s">
        <v>1243</v>
      </c>
      <c r="B1177" s="21" t="s">
        <v>22</v>
      </c>
      <c r="C1177" s="21">
        <v>20</v>
      </c>
      <c r="D1177" s="21">
        <v>1620</v>
      </c>
      <c r="E1177" s="21">
        <v>81</v>
      </c>
      <c r="F1177" s="21"/>
    </row>
    <row r="1178" spans="1:6" x14ac:dyDescent="0.25">
      <c r="A1178" s="21" t="s">
        <v>1244</v>
      </c>
      <c r="B1178" s="21" t="s">
        <v>22</v>
      </c>
      <c r="C1178" s="21">
        <v>20</v>
      </c>
      <c r="D1178" s="21">
        <v>1080</v>
      </c>
      <c r="E1178" s="21">
        <v>54</v>
      </c>
      <c r="F1178" s="21"/>
    </row>
    <row r="1179" spans="1:6" x14ac:dyDescent="0.25">
      <c r="A1179" s="21" t="s">
        <v>1245</v>
      </c>
      <c r="B1179" s="21" t="s">
        <v>22</v>
      </c>
      <c r="C1179" s="21">
        <v>1</v>
      </c>
      <c r="D1179" s="21">
        <v>84</v>
      </c>
      <c r="E1179" s="21">
        <v>84</v>
      </c>
      <c r="F1179" s="21"/>
    </row>
    <row r="1180" spans="1:6" x14ac:dyDescent="0.25">
      <c r="A1180" s="21" t="s">
        <v>1246</v>
      </c>
      <c r="B1180" s="21" t="s">
        <v>22</v>
      </c>
      <c r="C1180" s="21">
        <v>1</v>
      </c>
      <c r="D1180" s="21">
        <v>84</v>
      </c>
      <c r="E1180" s="21">
        <v>84</v>
      </c>
      <c r="F1180" s="21"/>
    </row>
    <row r="1181" spans="1:6" x14ac:dyDescent="0.25">
      <c r="A1181" s="21" t="s">
        <v>1247</v>
      </c>
      <c r="B1181" s="21" t="s">
        <v>22</v>
      </c>
      <c r="C1181" s="21">
        <v>1</v>
      </c>
      <c r="D1181" s="21">
        <v>48</v>
      </c>
      <c r="E1181" s="21">
        <v>48</v>
      </c>
      <c r="F1181" s="21"/>
    </row>
    <row r="1182" spans="1:6" x14ac:dyDescent="0.25">
      <c r="A1182" s="21" t="s">
        <v>1248</v>
      </c>
      <c r="B1182" s="21" t="s">
        <v>22</v>
      </c>
      <c r="C1182" s="21">
        <v>1</v>
      </c>
      <c r="D1182" s="21">
        <v>48</v>
      </c>
      <c r="E1182" s="21">
        <v>48</v>
      </c>
      <c r="F1182" s="21"/>
    </row>
    <row r="1183" spans="1:6" x14ac:dyDescent="0.25">
      <c r="A1183" s="21" t="s">
        <v>1249</v>
      </c>
      <c r="B1183" s="21" t="s">
        <v>22</v>
      </c>
      <c r="C1183" s="21">
        <v>10</v>
      </c>
      <c r="D1183" s="21">
        <v>960</v>
      </c>
      <c r="E1183" s="21">
        <v>96</v>
      </c>
      <c r="F1183" s="21"/>
    </row>
    <row r="1184" spans="1:6" x14ac:dyDescent="0.25">
      <c r="A1184" s="21" t="s">
        <v>1250</v>
      </c>
      <c r="B1184" s="21" t="s">
        <v>22</v>
      </c>
      <c r="C1184" s="21">
        <v>10</v>
      </c>
      <c r="D1184" s="21">
        <v>960</v>
      </c>
      <c r="E1184" s="21">
        <v>96</v>
      </c>
      <c r="F1184" s="21"/>
    </row>
    <row r="1185" spans="1:6" x14ac:dyDescent="0.25">
      <c r="A1185" s="21" t="s">
        <v>1251</v>
      </c>
      <c r="B1185" s="21" t="s">
        <v>22</v>
      </c>
      <c r="C1185" s="21">
        <v>10</v>
      </c>
      <c r="D1185" s="21">
        <v>840</v>
      </c>
      <c r="E1185" s="21">
        <v>84</v>
      </c>
      <c r="F1185" s="21"/>
    </row>
    <row r="1186" spans="1:6" x14ac:dyDescent="0.25">
      <c r="A1186" s="21" t="s">
        <v>1252</v>
      </c>
      <c r="B1186" s="21" t="s">
        <v>22</v>
      </c>
      <c r="C1186" s="21">
        <v>0</v>
      </c>
      <c r="D1186" s="52">
        <v>0</v>
      </c>
      <c r="E1186" s="21"/>
      <c r="F1186" s="21"/>
    </row>
    <row r="1187" spans="1:6" x14ac:dyDescent="0.25">
      <c r="A1187" s="21" t="s">
        <v>1253</v>
      </c>
      <c r="B1187" s="21" t="s">
        <v>22</v>
      </c>
      <c r="C1187" s="21">
        <v>5</v>
      </c>
      <c r="D1187" s="21">
        <v>360</v>
      </c>
      <c r="E1187" s="21">
        <v>72</v>
      </c>
      <c r="F1187" s="21"/>
    </row>
    <row r="1188" spans="1:6" x14ac:dyDescent="0.25">
      <c r="A1188" s="21" t="s">
        <v>1254</v>
      </c>
      <c r="B1188" s="21" t="s">
        <v>22</v>
      </c>
      <c r="C1188" s="21">
        <v>5</v>
      </c>
      <c r="D1188" s="21">
        <v>360</v>
      </c>
      <c r="E1188" s="21">
        <v>72</v>
      </c>
      <c r="F1188" s="21"/>
    </row>
    <row r="1189" spans="1:6" x14ac:dyDescent="0.25">
      <c r="A1189" s="21" t="s">
        <v>1255</v>
      </c>
      <c r="B1189" s="21" t="s">
        <v>22</v>
      </c>
      <c r="C1189" s="21">
        <v>10</v>
      </c>
      <c r="D1189" s="21">
        <v>320</v>
      </c>
      <c r="E1189" s="21">
        <v>32</v>
      </c>
      <c r="F1189" s="21"/>
    </row>
    <row r="1190" spans="1:6" x14ac:dyDescent="0.25">
      <c r="A1190" s="21" t="s">
        <v>1256</v>
      </c>
      <c r="B1190" s="21" t="s">
        <v>22</v>
      </c>
      <c r="C1190" s="21">
        <v>10</v>
      </c>
      <c r="D1190" s="21">
        <v>320</v>
      </c>
      <c r="E1190" s="21">
        <v>32</v>
      </c>
      <c r="F1190" s="21"/>
    </row>
    <row r="1191" spans="1:6" x14ac:dyDescent="0.25">
      <c r="A1191" s="21" t="s">
        <v>1257</v>
      </c>
      <c r="B1191" s="21" t="s">
        <v>22</v>
      </c>
      <c r="C1191" s="21">
        <v>1</v>
      </c>
      <c r="D1191" s="21">
        <v>5</v>
      </c>
      <c r="E1191" s="21">
        <v>5</v>
      </c>
      <c r="F1191" s="21"/>
    </row>
    <row r="1192" spans="1:6" x14ac:dyDescent="0.25">
      <c r="A1192" s="21" t="s">
        <v>1258</v>
      </c>
      <c r="B1192" s="21" t="s">
        <v>22</v>
      </c>
      <c r="C1192" s="21">
        <v>1</v>
      </c>
      <c r="D1192" s="21">
        <v>5</v>
      </c>
      <c r="E1192" s="21">
        <v>5</v>
      </c>
      <c r="F1192" s="21"/>
    </row>
    <row r="1193" spans="1:6" x14ac:dyDescent="0.25">
      <c r="A1193" s="21" t="s">
        <v>1259</v>
      </c>
      <c r="B1193" s="21" t="s">
        <v>22</v>
      </c>
      <c r="C1193" s="21">
        <v>4</v>
      </c>
      <c r="D1193" s="21">
        <v>144</v>
      </c>
      <c r="E1193" s="21">
        <v>36</v>
      </c>
      <c r="F1193" s="21"/>
    </row>
    <row r="1194" spans="1:6" x14ac:dyDescent="0.25">
      <c r="A1194" s="21" t="s">
        <v>1260</v>
      </c>
      <c r="B1194" s="21" t="s">
        <v>22</v>
      </c>
      <c r="C1194" s="21">
        <v>8</v>
      </c>
      <c r="D1194" s="21">
        <v>360</v>
      </c>
      <c r="E1194" s="21">
        <v>45</v>
      </c>
      <c r="F1194" s="21"/>
    </row>
    <row r="1195" spans="1:6" x14ac:dyDescent="0.25">
      <c r="A1195" s="21" t="s">
        <v>1261</v>
      </c>
      <c r="B1195" s="21" t="s">
        <v>22</v>
      </c>
      <c r="C1195" s="21">
        <v>4</v>
      </c>
      <c r="D1195" s="21">
        <v>144</v>
      </c>
      <c r="E1195" s="21">
        <v>36</v>
      </c>
      <c r="F1195" s="21"/>
    </row>
    <row r="1196" spans="1:6" x14ac:dyDescent="0.25">
      <c r="A1196" s="21" t="s">
        <v>1262</v>
      </c>
      <c r="B1196" s="21" t="s">
        <v>22</v>
      </c>
      <c r="C1196" s="21">
        <v>8</v>
      </c>
      <c r="D1196" s="21">
        <v>360</v>
      </c>
      <c r="E1196" s="21">
        <v>45</v>
      </c>
      <c r="F1196" s="21"/>
    </row>
    <row r="1197" spans="1:6" x14ac:dyDescent="0.25">
      <c r="A1197" s="21" t="s">
        <v>1263</v>
      </c>
      <c r="B1197" s="21" t="s">
        <v>22</v>
      </c>
      <c r="C1197" s="21">
        <v>20</v>
      </c>
      <c r="D1197" s="21">
        <v>720</v>
      </c>
      <c r="E1197" s="21">
        <v>36</v>
      </c>
      <c r="F1197" s="21"/>
    </row>
    <row r="1198" spans="1:6" x14ac:dyDescent="0.25">
      <c r="A1198" s="21" t="s">
        <v>1264</v>
      </c>
      <c r="B1198" s="21" t="s">
        <v>22</v>
      </c>
      <c r="C1198" s="21">
        <v>40</v>
      </c>
      <c r="D1198" s="21">
        <v>2600</v>
      </c>
      <c r="E1198" s="21">
        <v>65</v>
      </c>
      <c r="F1198" s="21"/>
    </row>
    <row r="1199" spans="1:6" x14ac:dyDescent="0.25">
      <c r="A1199" s="21" t="s">
        <v>1265</v>
      </c>
      <c r="B1199" s="21" t="s">
        <v>22</v>
      </c>
      <c r="C1199" s="21">
        <v>20</v>
      </c>
      <c r="D1199" s="21">
        <v>720</v>
      </c>
      <c r="E1199" s="21">
        <v>36</v>
      </c>
      <c r="F1199" s="21"/>
    </row>
    <row r="1200" spans="1:6" x14ac:dyDescent="0.25">
      <c r="A1200" s="21" t="s">
        <v>1266</v>
      </c>
      <c r="B1200" s="21" t="s">
        <v>22</v>
      </c>
      <c r="C1200" s="21">
        <v>40</v>
      </c>
      <c r="D1200" s="21">
        <v>2600</v>
      </c>
      <c r="E1200" s="21">
        <v>65</v>
      </c>
      <c r="F1200" s="21"/>
    </row>
    <row r="1201" spans="1:6" x14ac:dyDescent="0.25">
      <c r="A1201" s="21" t="s">
        <v>1267</v>
      </c>
      <c r="B1201" s="21" t="s">
        <v>22</v>
      </c>
      <c r="C1201" s="21">
        <v>1</v>
      </c>
      <c r="D1201" s="21">
        <v>68</v>
      </c>
      <c r="E1201" s="21">
        <v>68</v>
      </c>
      <c r="F1201" s="21"/>
    </row>
    <row r="1202" spans="1:6" x14ac:dyDescent="0.25">
      <c r="A1202" s="21" t="s">
        <v>1268</v>
      </c>
      <c r="B1202" s="21" t="s">
        <v>22</v>
      </c>
      <c r="C1202" s="21">
        <v>4</v>
      </c>
      <c r="D1202" s="21">
        <v>200</v>
      </c>
      <c r="E1202" s="21">
        <v>50</v>
      </c>
      <c r="F1202" s="21"/>
    </row>
    <row r="1203" spans="1:6" x14ac:dyDescent="0.25">
      <c r="A1203" s="21" t="s">
        <v>1269</v>
      </c>
      <c r="B1203" s="21" t="s">
        <v>22</v>
      </c>
      <c r="C1203" s="21">
        <v>1</v>
      </c>
      <c r="D1203" s="21">
        <v>68</v>
      </c>
      <c r="E1203" s="21">
        <v>68</v>
      </c>
      <c r="F1203" s="21"/>
    </row>
    <row r="1204" spans="1:6" x14ac:dyDescent="0.25">
      <c r="A1204" s="21" t="s">
        <v>1270</v>
      </c>
      <c r="B1204" s="21" t="s">
        <v>22</v>
      </c>
      <c r="C1204" s="21">
        <v>4</v>
      </c>
      <c r="D1204" s="21">
        <v>200</v>
      </c>
      <c r="E1204" s="21">
        <v>50</v>
      </c>
      <c r="F1204" s="21"/>
    </row>
    <row r="1205" spans="1:6" x14ac:dyDescent="0.25">
      <c r="A1205" s="21" t="s">
        <v>1271</v>
      </c>
      <c r="B1205" s="21" t="s">
        <v>22</v>
      </c>
      <c r="C1205" s="21">
        <v>1</v>
      </c>
      <c r="D1205" s="21">
        <v>68</v>
      </c>
      <c r="E1205" s="21">
        <v>68</v>
      </c>
      <c r="F1205" s="21"/>
    </row>
    <row r="1206" spans="1:6" x14ac:dyDescent="0.25">
      <c r="A1206" s="21" t="s">
        <v>1272</v>
      </c>
      <c r="B1206" s="21" t="s">
        <v>22</v>
      </c>
      <c r="C1206" s="21">
        <v>4</v>
      </c>
      <c r="D1206" s="21">
        <v>160</v>
      </c>
      <c r="E1206" s="21">
        <v>40</v>
      </c>
      <c r="F1206" s="21"/>
    </row>
    <row r="1207" spans="1:6" x14ac:dyDescent="0.25">
      <c r="A1207" s="21" t="s">
        <v>1273</v>
      </c>
      <c r="B1207" s="21" t="s">
        <v>22</v>
      </c>
      <c r="C1207" s="21">
        <v>1</v>
      </c>
      <c r="D1207" s="21">
        <v>68</v>
      </c>
      <c r="E1207" s="21">
        <v>68</v>
      </c>
      <c r="F1207" s="21"/>
    </row>
    <row r="1208" spans="1:6" x14ac:dyDescent="0.25">
      <c r="A1208" s="21" t="s">
        <v>1274</v>
      </c>
      <c r="B1208" s="21" t="s">
        <v>22</v>
      </c>
      <c r="C1208" s="21">
        <v>4</v>
      </c>
      <c r="D1208" s="21">
        <v>160</v>
      </c>
      <c r="E1208" s="21">
        <v>40</v>
      </c>
      <c r="F1208" s="21"/>
    </row>
    <row r="1209" spans="1:6" x14ac:dyDescent="0.25">
      <c r="A1209" s="21" t="s">
        <v>1275</v>
      </c>
      <c r="B1209" s="21" t="s">
        <v>22</v>
      </c>
      <c r="C1209" s="21">
        <v>20</v>
      </c>
      <c r="D1209" s="21">
        <v>720</v>
      </c>
      <c r="E1209" s="21">
        <v>36</v>
      </c>
      <c r="F1209" s="21"/>
    </row>
    <row r="1210" spans="1:6" x14ac:dyDescent="0.25">
      <c r="A1210" s="21" t="s">
        <v>1276</v>
      </c>
      <c r="B1210" s="21" t="s">
        <v>22</v>
      </c>
      <c r="C1210" s="21">
        <v>30</v>
      </c>
      <c r="D1210" s="21">
        <v>1800</v>
      </c>
      <c r="E1210" s="21">
        <v>60</v>
      </c>
      <c r="F1210" s="21"/>
    </row>
    <row r="1211" spans="1:6" x14ac:dyDescent="0.25">
      <c r="A1211" s="21" t="s">
        <v>1277</v>
      </c>
      <c r="B1211" s="21" t="s">
        <v>22</v>
      </c>
      <c r="C1211" s="21">
        <v>20</v>
      </c>
      <c r="D1211" s="21">
        <v>720</v>
      </c>
      <c r="E1211" s="21">
        <v>36</v>
      </c>
      <c r="F1211" s="21"/>
    </row>
    <row r="1212" spans="1:6" x14ac:dyDescent="0.25">
      <c r="A1212" s="21" t="s">
        <v>1278</v>
      </c>
      <c r="B1212" s="21" t="s">
        <v>22</v>
      </c>
      <c r="C1212" s="21">
        <v>30</v>
      </c>
      <c r="D1212" s="21">
        <v>1800</v>
      </c>
      <c r="E1212" s="21">
        <v>60</v>
      </c>
      <c r="F1212" s="21"/>
    </row>
    <row r="1213" spans="1:6" x14ac:dyDescent="0.25">
      <c r="A1213" s="21" t="s">
        <v>1279</v>
      </c>
      <c r="B1213" s="21" t="s">
        <v>22</v>
      </c>
      <c r="C1213" s="21">
        <v>1</v>
      </c>
      <c r="D1213" s="21">
        <v>44</v>
      </c>
      <c r="E1213" s="21">
        <v>44</v>
      </c>
      <c r="F1213" s="21"/>
    </row>
    <row r="1214" spans="1:6" x14ac:dyDescent="0.25">
      <c r="A1214" s="21" t="s">
        <v>1280</v>
      </c>
      <c r="B1214" s="21" t="s">
        <v>22</v>
      </c>
      <c r="C1214" s="21">
        <v>1</v>
      </c>
      <c r="D1214" s="21">
        <v>44</v>
      </c>
      <c r="E1214" s="21">
        <v>44</v>
      </c>
      <c r="F1214" s="21"/>
    </row>
    <row r="1215" spans="1:6" x14ac:dyDescent="0.25">
      <c r="A1215" s="21" t="s">
        <v>1281</v>
      </c>
      <c r="B1215" s="21" t="s">
        <v>22</v>
      </c>
      <c r="C1215" s="21">
        <v>10</v>
      </c>
      <c r="D1215" s="21">
        <v>400</v>
      </c>
      <c r="E1215" s="21">
        <v>40</v>
      </c>
      <c r="F1215" s="21"/>
    </row>
    <row r="1216" spans="1:6" x14ac:dyDescent="0.25">
      <c r="A1216" s="21" t="s">
        <v>1282</v>
      </c>
      <c r="B1216" s="21" t="s">
        <v>22</v>
      </c>
      <c r="C1216" s="21">
        <v>20</v>
      </c>
      <c r="D1216" s="21">
        <v>1080</v>
      </c>
      <c r="E1216" s="21">
        <v>54</v>
      </c>
      <c r="F1216" s="21"/>
    </row>
    <row r="1217" spans="1:6" x14ac:dyDescent="0.25">
      <c r="A1217" s="21" t="s">
        <v>1283</v>
      </c>
      <c r="B1217" s="21" t="s">
        <v>22</v>
      </c>
      <c r="C1217" s="21">
        <v>10</v>
      </c>
      <c r="D1217" s="21">
        <v>400</v>
      </c>
      <c r="E1217" s="21">
        <v>40</v>
      </c>
      <c r="F1217" s="21"/>
    </row>
    <row r="1218" spans="1:6" x14ac:dyDescent="0.25">
      <c r="A1218" s="21" t="s">
        <v>1284</v>
      </c>
      <c r="B1218" s="21" t="s">
        <v>22</v>
      </c>
      <c r="C1218" s="21">
        <v>20</v>
      </c>
      <c r="D1218" s="21">
        <v>1080</v>
      </c>
      <c r="E1218" s="21">
        <v>54</v>
      </c>
      <c r="F1218" s="21"/>
    </row>
    <row r="1219" spans="1:6" x14ac:dyDescent="0.25">
      <c r="A1219" s="21" t="s">
        <v>1285</v>
      </c>
      <c r="B1219" s="21" t="s">
        <v>22</v>
      </c>
      <c r="C1219" s="21">
        <v>1</v>
      </c>
      <c r="D1219" s="21">
        <v>10</v>
      </c>
      <c r="E1219" s="21">
        <v>10</v>
      </c>
      <c r="F1219" s="21"/>
    </row>
    <row r="1220" spans="1:6" x14ac:dyDescent="0.25">
      <c r="A1220" s="21" t="s">
        <v>1286</v>
      </c>
      <c r="B1220" s="21" t="s">
        <v>22</v>
      </c>
      <c r="C1220" s="21">
        <v>1</v>
      </c>
      <c r="D1220" s="21">
        <v>10</v>
      </c>
      <c r="E1220" s="21">
        <v>10</v>
      </c>
      <c r="F1220" s="21"/>
    </row>
    <row r="1221" spans="1:6" x14ac:dyDescent="0.25">
      <c r="A1221" s="21" t="s">
        <v>1287</v>
      </c>
      <c r="B1221" s="21" t="s">
        <v>22</v>
      </c>
      <c r="C1221" s="21">
        <v>1</v>
      </c>
      <c r="D1221" s="21">
        <v>10</v>
      </c>
      <c r="E1221" s="21">
        <v>10</v>
      </c>
      <c r="F1221" s="21"/>
    </row>
    <row r="1222" spans="1:6" x14ac:dyDescent="0.25">
      <c r="A1222" s="21" t="s">
        <v>1288</v>
      </c>
      <c r="B1222" s="21" t="s">
        <v>22</v>
      </c>
      <c r="C1222" s="21">
        <v>1</v>
      </c>
      <c r="D1222" s="21">
        <v>10</v>
      </c>
      <c r="E1222" s="21">
        <v>10</v>
      </c>
      <c r="F1222" s="21"/>
    </row>
    <row r="1223" spans="1:6" x14ac:dyDescent="0.25">
      <c r="A1223" s="21" t="s">
        <v>1289</v>
      </c>
      <c r="B1223" s="21" t="s">
        <v>22</v>
      </c>
      <c r="C1223" s="21">
        <v>10</v>
      </c>
      <c r="D1223" s="21">
        <v>400</v>
      </c>
      <c r="E1223" s="21">
        <v>40</v>
      </c>
      <c r="F1223" s="21"/>
    </row>
    <row r="1224" spans="1:6" x14ac:dyDescent="0.25">
      <c r="A1224" s="21" t="s">
        <v>1290</v>
      </c>
      <c r="B1224" s="21" t="s">
        <v>22</v>
      </c>
      <c r="C1224" s="21">
        <v>15</v>
      </c>
      <c r="D1224" s="21">
        <v>750</v>
      </c>
      <c r="E1224" s="21">
        <v>50</v>
      </c>
      <c r="F1224" s="21"/>
    </row>
    <row r="1225" spans="1:6" x14ac:dyDescent="0.25">
      <c r="A1225" s="21" t="s">
        <v>1291</v>
      </c>
      <c r="B1225" s="21" t="s">
        <v>22</v>
      </c>
      <c r="C1225" s="21">
        <v>10</v>
      </c>
      <c r="D1225" s="21">
        <v>400</v>
      </c>
      <c r="E1225" s="21">
        <v>40</v>
      </c>
      <c r="F1225" s="21"/>
    </row>
    <row r="1226" spans="1:6" x14ac:dyDescent="0.25">
      <c r="A1226" s="21" t="s">
        <v>1292</v>
      </c>
      <c r="B1226" s="21" t="s">
        <v>22</v>
      </c>
      <c r="C1226" s="21">
        <v>15</v>
      </c>
      <c r="D1226" s="21">
        <v>750</v>
      </c>
      <c r="E1226" s="21">
        <v>50</v>
      </c>
      <c r="F1226" s="21"/>
    </row>
    <row r="1227" spans="1:6" x14ac:dyDescent="0.25">
      <c r="A1227" s="21" t="s">
        <v>1293</v>
      </c>
      <c r="B1227" s="21" t="s">
        <v>22</v>
      </c>
      <c r="C1227" s="21">
        <v>1</v>
      </c>
      <c r="D1227" s="21">
        <v>10</v>
      </c>
      <c r="E1227" s="21">
        <v>10</v>
      </c>
      <c r="F1227" s="21"/>
    </row>
    <row r="1228" spans="1:6" x14ac:dyDescent="0.25">
      <c r="A1228" s="21" t="s">
        <v>1294</v>
      </c>
      <c r="B1228" s="21" t="s">
        <v>22</v>
      </c>
      <c r="C1228" s="21">
        <v>1</v>
      </c>
      <c r="D1228" s="21">
        <v>10</v>
      </c>
      <c r="E1228" s="21">
        <v>10</v>
      </c>
      <c r="F1228" s="21"/>
    </row>
    <row r="1229" spans="1:6" x14ac:dyDescent="0.25">
      <c r="A1229" s="21" t="s">
        <v>1295</v>
      </c>
      <c r="B1229" s="21" t="s">
        <v>22</v>
      </c>
      <c r="C1229" s="21">
        <v>1</v>
      </c>
      <c r="D1229" s="21">
        <v>5</v>
      </c>
      <c r="E1229" s="21">
        <v>5</v>
      </c>
      <c r="F1229" s="21"/>
    </row>
    <row r="1230" spans="1:6" x14ac:dyDescent="0.25">
      <c r="A1230" s="21" t="s">
        <v>1296</v>
      </c>
      <c r="B1230" s="21" t="s">
        <v>22</v>
      </c>
      <c r="C1230" s="21">
        <v>1</v>
      </c>
      <c r="D1230" s="21">
        <v>5</v>
      </c>
      <c r="E1230" s="21">
        <v>5</v>
      </c>
      <c r="F1230" s="21"/>
    </row>
    <row r="1231" spans="1:6" x14ac:dyDescent="0.25">
      <c r="A1231" s="21" t="s">
        <v>1297</v>
      </c>
      <c r="B1231" s="21" t="s">
        <v>22</v>
      </c>
      <c r="C1231" s="21">
        <v>4</v>
      </c>
      <c r="D1231" s="21">
        <v>160</v>
      </c>
      <c r="E1231" s="21">
        <v>40</v>
      </c>
      <c r="F1231" s="21"/>
    </row>
    <row r="1232" spans="1:6" x14ac:dyDescent="0.25">
      <c r="A1232" s="21" t="s">
        <v>1298</v>
      </c>
      <c r="B1232" s="21" t="s">
        <v>22</v>
      </c>
      <c r="C1232" s="21">
        <v>10</v>
      </c>
      <c r="D1232" s="21">
        <v>360</v>
      </c>
      <c r="E1232" s="21">
        <v>36</v>
      </c>
      <c r="F1232" s="21"/>
    </row>
    <row r="1233" spans="1:6" x14ac:dyDescent="0.25">
      <c r="A1233" s="21" t="s">
        <v>1299</v>
      </c>
      <c r="B1233" s="21" t="s">
        <v>22</v>
      </c>
      <c r="C1233" s="21">
        <v>5</v>
      </c>
      <c r="D1233" s="21">
        <v>135</v>
      </c>
      <c r="E1233" s="21">
        <v>27</v>
      </c>
      <c r="F1233" s="21"/>
    </row>
    <row r="1234" spans="1:6" x14ac:dyDescent="0.25">
      <c r="A1234" s="21" t="s">
        <v>1300</v>
      </c>
      <c r="B1234" s="21" t="s">
        <v>22</v>
      </c>
      <c r="C1234" s="21">
        <v>4</v>
      </c>
      <c r="D1234" s="21">
        <v>216</v>
      </c>
      <c r="E1234" s="21">
        <v>54</v>
      </c>
      <c r="F1234" s="21"/>
    </row>
    <row r="1235" spans="1:6" x14ac:dyDescent="0.25">
      <c r="A1235" s="21" t="s">
        <v>1301</v>
      </c>
      <c r="B1235" s="21" t="s">
        <v>22</v>
      </c>
      <c r="C1235" s="21">
        <v>4</v>
      </c>
      <c r="D1235" s="21">
        <v>216</v>
      </c>
      <c r="E1235" s="21">
        <v>54</v>
      </c>
      <c r="F1235" s="21"/>
    </row>
    <row r="1236" spans="1:6" x14ac:dyDescent="0.25">
      <c r="A1236" s="21" t="s">
        <v>1302</v>
      </c>
      <c r="B1236" s="21" t="s">
        <v>22</v>
      </c>
      <c r="C1236" s="21">
        <v>36</v>
      </c>
      <c r="D1236" s="21">
        <v>1440</v>
      </c>
      <c r="E1236" s="21">
        <v>40</v>
      </c>
      <c r="F1236" s="21"/>
    </row>
    <row r="1237" spans="1:6" x14ac:dyDescent="0.25">
      <c r="A1237" s="21" t="s">
        <v>1303</v>
      </c>
      <c r="B1237" s="21" t="s">
        <v>22</v>
      </c>
      <c r="C1237" s="21">
        <v>36</v>
      </c>
      <c r="D1237" s="21">
        <v>1440</v>
      </c>
      <c r="E1237" s="21">
        <v>40</v>
      </c>
      <c r="F1237" s="21"/>
    </row>
    <row r="1238" spans="1:6" x14ac:dyDescent="0.25">
      <c r="A1238" s="21" t="s">
        <v>1304</v>
      </c>
      <c r="B1238" s="21" t="s">
        <v>22</v>
      </c>
      <c r="C1238" s="21">
        <v>36</v>
      </c>
      <c r="D1238" s="21">
        <v>1440</v>
      </c>
      <c r="E1238" s="21">
        <v>40</v>
      </c>
      <c r="F1238" s="21"/>
    </row>
    <row r="1239" spans="1:6" x14ac:dyDescent="0.25">
      <c r="A1239" s="21" t="s">
        <v>1305</v>
      </c>
      <c r="B1239" s="21" t="s">
        <v>22</v>
      </c>
      <c r="C1239" s="21">
        <v>4</v>
      </c>
      <c r="D1239" s="21">
        <v>132</v>
      </c>
      <c r="E1239" s="21">
        <v>33</v>
      </c>
      <c r="F1239" s="21"/>
    </row>
    <row r="1240" spans="1:6" x14ac:dyDescent="0.25">
      <c r="A1240" s="21" t="s">
        <v>1306</v>
      </c>
      <c r="B1240" s="21" t="s">
        <v>22</v>
      </c>
      <c r="C1240" s="21">
        <v>4</v>
      </c>
      <c r="D1240" s="21">
        <v>132</v>
      </c>
      <c r="E1240" s="21">
        <v>33</v>
      </c>
      <c r="F1240" s="21"/>
    </row>
    <row r="1241" spans="1:6" x14ac:dyDescent="0.25">
      <c r="A1241" s="21" t="s">
        <v>1307</v>
      </c>
      <c r="B1241" s="21" t="s">
        <v>22</v>
      </c>
      <c r="C1241" s="21">
        <v>3</v>
      </c>
      <c r="D1241" s="21">
        <v>84</v>
      </c>
      <c r="E1241" s="21">
        <v>28</v>
      </c>
      <c r="F1241" s="21"/>
    </row>
    <row r="1242" spans="1:6" x14ac:dyDescent="0.25">
      <c r="A1242" s="21" t="s">
        <v>1308</v>
      </c>
      <c r="B1242" s="21" t="s">
        <v>22</v>
      </c>
      <c r="C1242" s="21">
        <v>3</v>
      </c>
      <c r="D1242" s="21">
        <v>84</v>
      </c>
      <c r="E1242" s="21">
        <v>28</v>
      </c>
      <c r="F1242" s="21"/>
    </row>
    <row r="1243" spans="1:6" x14ac:dyDescent="0.25">
      <c r="A1243" s="21" t="s">
        <v>1309</v>
      </c>
      <c r="B1243" s="21" t="s">
        <v>22</v>
      </c>
      <c r="C1243" s="21">
        <v>30</v>
      </c>
      <c r="D1243" s="21">
        <v>600</v>
      </c>
      <c r="E1243" s="21">
        <v>20</v>
      </c>
      <c r="F1243" s="21"/>
    </row>
    <row r="1244" spans="1:6" x14ac:dyDescent="0.25">
      <c r="A1244" s="21" t="s">
        <v>1310</v>
      </c>
      <c r="B1244" s="21" t="s">
        <v>22</v>
      </c>
      <c r="C1244" s="21">
        <v>30</v>
      </c>
      <c r="D1244" s="21">
        <v>1200</v>
      </c>
      <c r="E1244" s="21">
        <v>40</v>
      </c>
      <c r="F1244" s="21"/>
    </row>
    <row r="1245" spans="1:6" x14ac:dyDescent="0.25">
      <c r="A1245" s="21" t="s">
        <v>1311</v>
      </c>
      <c r="B1245" s="21" t="s">
        <v>22</v>
      </c>
      <c r="C1245" s="21">
        <v>30</v>
      </c>
      <c r="D1245" s="21">
        <v>1200</v>
      </c>
      <c r="E1245" s="21">
        <v>40</v>
      </c>
      <c r="F1245" s="21"/>
    </row>
    <row r="1246" spans="1:6" x14ac:dyDescent="0.25">
      <c r="A1246" s="21" t="s">
        <v>1312</v>
      </c>
      <c r="B1246" s="21" t="s">
        <v>22</v>
      </c>
      <c r="C1246" s="21">
        <v>1</v>
      </c>
      <c r="D1246" s="21">
        <v>40</v>
      </c>
      <c r="E1246" s="21">
        <v>40</v>
      </c>
      <c r="F1246" s="21"/>
    </row>
    <row r="1247" spans="1:6" x14ac:dyDescent="0.25">
      <c r="A1247" s="21" t="s">
        <v>1313</v>
      </c>
      <c r="B1247" s="21" t="s">
        <v>22</v>
      </c>
      <c r="C1247" s="21">
        <v>1</v>
      </c>
      <c r="D1247" s="21">
        <v>40</v>
      </c>
      <c r="E1247" s="21">
        <v>40</v>
      </c>
      <c r="F1247" s="21"/>
    </row>
    <row r="1248" spans="1:6" x14ac:dyDescent="0.25">
      <c r="A1248" s="21" t="s">
        <v>1314</v>
      </c>
      <c r="B1248" s="21" t="s">
        <v>22</v>
      </c>
      <c r="C1248" s="21">
        <v>20</v>
      </c>
      <c r="D1248" s="21">
        <v>720</v>
      </c>
      <c r="E1248" s="21">
        <v>36</v>
      </c>
      <c r="F1248" s="21"/>
    </row>
    <row r="1249" spans="1:6" x14ac:dyDescent="0.25">
      <c r="A1249" s="21" t="s">
        <v>1315</v>
      </c>
      <c r="B1249" s="21" t="s">
        <v>22</v>
      </c>
      <c r="C1249" s="21">
        <v>20</v>
      </c>
      <c r="D1249" s="21">
        <v>720</v>
      </c>
      <c r="E1249" s="21">
        <v>36</v>
      </c>
      <c r="F1249" s="21"/>
    </row>
    <row r="1250" spans="1:6" x14ac:dyDescent="0.25">
      <c r="A1250" s="21" t="s">
        <v>1316</v>
      </c>
      <c r="B1250" s="21" t="s">
        <v>22</v>
      </c>
      <c r="C1250" s="21">
        <v>1</v>
      </c>
      <c r="D1250" s="21">
        <v>40</v>
      </c>
      <c r="E1250" s="21">
        <v>40</v>
      </c>
      <c r="F1250" s="21"/>
    </row>
    <row r="1251" spans="1:6" x14ac:dyDescent="0.25">
      <c r="A1251" s="21" t="s">
        <v>1317</v>
      </c>
      <c r="B1251" s="21" t="s">
        <v>22</v>
      </c>
      <c r="C1251" s="21">
        <v>1</v>
      </c>
      <c r="D1251" s="21">
        <v>40</v>
      </c>
      <c r="E1251" s="21">
        <v>40</v>
      </c>
      <c r="F1251" s="21"/>
    </row>
    <row r="1252" spans="1:6" x14ac:dyDescent="0.25">
      <c r="A1252" s="21" t="s">
        <v>1318</v>
      </c>
      <c r="B1252" s="21" t="s">
        <v>22</v>
      </c>
      <c r="C1252" s="21">
        <v>12</v>
      </c>
      <c r="D1252" s="21">
        <v>384</v>
      </c>
      <c r="E1252" s="21">
        <v>32</v>
      </c>
      <c r="F1252" s="21"/>
    </row>
    <row r="1253" spans="1:6" x14ac:dyDescent="0.25">
      <c r="A1253" s="21" t="s">
        <v>1319</v>
      </c>
      <c r="B1253" s="21" t="s">
        <v>22</v>
      </c>
      <c r="C1253" s="21">
        <v>12</v>
      </c>
      <c r="D1253" s="21">
        <v>384</v>
      </c>
      <c r="E1253" s="21">
        <v>32</v>
      </c>
      <c r="F1253" s="21"/>
    </row>
    <row r="1254" spans="1:6" x14ac:dyDescent="0.25">
      <c r="A1254" s="21" t="s">
        <v>1320</v>
      </c>
      <c r="B1254" s="21" t="s">
        <v>22</v>
      </c>
      <c r="C1254" s="21">
        <v>1</v>
      </c>
      <c r="D1254" s="21">
        <v>80</v>
      </c>
      <c r="E1254" s="21">
        <v>80</v>
      </c>
      <c r="F1254" s="21"/>
    </row>
    <row r="1255" spans="1:6" x14ac:dyDescent="0.25">
      <c r="A1255" s="21" t="s">
        <v>1321</v>
      </c>
      <c r="B1255" s="21" t="s">
        <v>22</v>
      </c>
      <c r="C1255" s="21">
        <v>1</v>
      </c>
      <c r="D1255" s="21">
        <v>80</v>
      </c>
      <c r="E1255" s="21">
        <v>80</v>
      </c>
      <c r="F1255" s="21"/>
    </row>
    <row r="1256" spans="1:6" x14ac:dyDescent="0.25">
      <c r="A1256" s="21" t="s">
        <v>1322</v>
      </c>
      <c r="B1256" s="21" t="s">
        <v>22</v>
      </c>
      <c r="C1256" s="21">
        <v>100</v>
      </c>
      <c r="D1256" s="21">
        <v>4800</v>
      </c>
      <c r="E1256" s="21">
        <v>48</v>
      </c>
      <c r="F1256" s="21"/>
    </row>
    <row r="1257" spans="1:6" x14ac:dyDescent="0.25">
      <c r="A1257" s="21" t="s">
        <v>1323</v>
      </c>
      <c r="B1257" s="21" t="s">
        <v>22</v>
      </c>
      <c r="C1257" s="21">
        <v>100</v>
      </c>
      <c r="D1257" s="21">
        <v>3600</v>
      </c>
      <c r="E1257" s="21">
        <v>36</v>
      </c>
      <c r="F1257" s="21"/>
    </row>
    <row r="1258" spans="1:6" x14ac:dyDescent="0.25">
      <c r="A1258" s="21" t="s">
        <v>1324</v>
      </c>
      <c r="B1258" s="21" t="s">
        <v>22</v>
      </c>
      <c r="C1258" s="21">
        <v>100</v>
      </c>
      <c r="D1258" s="21">
        <v>3600</v>
      </c>
      <c r="E1258" s="21">
        <v>36</v>
      </c>
      <c r="F1258" s="21"/>
    </row>
    <row r="1259" spans="1:6" x14ac:dyDescent="0.25">
      <c r="A1259" s="21" t="s">
        <v>1325</v>
      </c>
      <c r="B1259" s="21" t="s">
        <v>22</v>
      </c>
      <c r="C1259" s="21">
        <v>100</v>
      </c>
      <c r="D1259" s="21">
        <v>3600</v>
      </c>
      <c r="E1259" s="21">
        <v>36</v>
      </c>
      <c r="F1259" s="21"/>
    </row>
    <row r="1260" spans="1:6" x14ac:dyDescent="0.25">
      <c r="A1260" s="21" t="s">
        <v>1326</v>
      </c>
      <c r="B1260" s="21" t="s">
        <v>22</v>
      </c>
      <c r="C1260" s="21">
        <v>100</v>
      </c>
      <c r="D1260" s="21">
        <v>3600</v>
      </c>
      <c r="E1260" s="21">
        <v>36</v>
      </c>
      <c r="F1260" s="21"/>
    </row>
    <row r="1261" spans="1:6" x14ac:dyDescent="0.25">
      <c r="A1261" s="21" t="s">
        <v>1327</v>
      </c>
      <c r="B1261" s="21" t="s">
        <v>22</v>
      </c>
      <c r="C1261" s="21">
        <v>100</v>
      </c>
      <c r="D1261" s="21">
        <v>3600</v>
      </c>
      <c r="E1261" s="21">
        <v>36</v>
      </c>
      <c r="F1261" s="21"/>
    </row>
    <row r="1262" spans="1:6" x14ac:dyDescent="0.25">
      <c r="A1262" s="21" t="s">
        <v>1328</v>
      </c>
      <c r="B1262" s="21" t="s">
        <v>22</v>
      </c>
      <c r="C1262" s="21">
        <v>100</v>
      </c>
      <c r="D1262" s="21">
        <v>3600</v>
      </c>
      <c r="E1262" s="21">
        <v>36</v>
      </c>
      <c r="F1262" s="21"/>
    </row>
    <row r="1263" spans="1:6" x14ac:dyDescent="0.25">
      <c r="A1263" s="21" t="s">
        <v>1329</v>
      </c>
      <c r="B1263" s="21" t="s">
        <v>22</v>
      </c>
      <c r="C1263" s="21">
        <v>100</v>
      </c>
      <c r="D1263" s="21">
        <v>3600</v>
      </c>
      <c r="E1263" s="21">
        <v>36</v>
      </c>
      <c r="F1263" s="21"/>
    </row>
    <row r="1264" spans="1:6" x14ac:dyDescent="0.25">
      <c r="A1264" s="21" t="s">
        <v>1330</v>
      </c>
      <c r="B1264" s="21" t="s">
        <v>22</v>
      </c>
      <c r="C1264" s="21">
        <v>100</v>
      </c>
      <c r="D1264" s="21">
        <v>1500</v>
      </c>
      <c r="E1264" s="21">
        <v>15</v>
      </c>
      <c r="F1264" s="21"/>
    </row>
    <row r="1265" spans="1:6" x14ac:dyDescent="0.25">
      <c r="A1265" s="21" t="s">
        <v>1331</v>
      </c>
      <c r="B1265" s="21" t="s">
        <v>22</v>
      </c>
      <c r="C1265" s="21">
        <v>20</v>
      </c>
      <c r="D1265" s="21">
        <v>560</v>
      </c>
      <c r="E1265" s="21">
        <v>28</v>
      </c>
      <c r="F1265" s="21"/>
    </row>
    <row r="1266" spans="1:6" x14ac:dyDescent="0.25">
      <c r="A1266" s="21" t="s">
        <v>1332</v>
      </c>
      <c r="B1266" s="21" t="s">
        <v>22</v>
      </c>
      <c r="C1266" s="21">
        <v>20</v>
      </c>
      <c r="D1266" s="21">
        <v>560</v>
      </c>
      <c r="E1266" s="21">
        <v>28</v>
      </c>
      <c r="F1266" s="21"/>
    </row>
    <row r="1267" spans="1:6" x14ac:dyDescent="0.25">
      <c r="A1267" s="21" t="s">
        <v>1333</v>
      </c>
      <c r="B1267" s="21" t="s">
        <v>22</v>
      </c>
      <c r="C1267" s="21">
        <v>20</v>
      </c>
      <c r="D1267" s="21">
        <v>1440</v>
      </c>
      <c r="E1267" s="21">
        <v>72</v>
      </c>
      <c r="F1267" s="21"/>
    </row>
    <row r="1268" spans="1:6" x14ac:dyDescent="0.25">
      <c r="A1268" s="21" t="s">
        <v>1334</v>
      </c>
      <c r="B1268" s="21" t="s">
        <v>22</v>
      </c>
      <c r="C1268" s="21">
        <v>80</v>
      </c>
      <c r="D1268" s="21">
        <v>960</v>
      </c>
      <c r="E1268" s="21">
        <v>12</v>
      </c>
      <c r="F1268" s="21"/>
    </row>
    <row r="1269" spans="1:6" x14ac:dyDescent="0.25">
      <c r="A1269" s="21" t="s">
        <v>1335</v>
      </c>
      <c r="B1269" s="21" t="s">
        <v>22</v>
      </c>
      <c r="C1269" s="21">
        <v>20</v>
      </c>
      <c r="D1269" s="21">
        <v>300</v>
      </c>
      <c r="E1269" s="21">
        <v>15</v>
      </c>
      <c r="F1269" s="21"/>
    </row>
    <row r="1270" spans="1:6" x14ac:dyDescent="0.25">
      <c r="A1270" s="21" t="s">
        <v>1336</v>
      </c>
      <c r="B1270" s="21" t="s">
        <v>22</v>
      </c>
      <c r="C1270" s="21">
        <v>100</v>
      </c>
      <c r="D1270" s="21">
        <v>1500</v>
      </c>
      <c r="E1270" s="21">
        <v>15</v>
      </c>
      <c r="F1270" s="21"/>
    </row>
    <row r="1271" spans="1:6" x14ac:dyDescent="0.25">
      <c r="A1271" s="21" t="s">
        <v>1337</v>
      </c>
      <c r="B1271" s="21" t="s">
        <v>22</v>
      </c>
      <c r="C1271" s="21">
        <v>50</v>
      </c>
      <c r="D1271" s="21">
        <v>2250</v>
      </c>
      <c r="E1271" s="21">
        <v>45</v>
      </c>
      <c r="F1271" s="21"/>
    </row>
    <row r="1272" spans="1:6" x14ac:dyDescent="0.25">
      <c r="A1272" s="21" t="s">
        <v>1338</v>
      </c>
      <c r="B1272" s="21" t="s">
        <v>22</v>
      </c>
      <c r="C1272" s="21">
        <v>40</v>
      </c>
      <c r="D1272" s="21">
        <v>640</v>
      </c>
      <c r="E1272" s="21">
        <v>16</v>
      </c>
      <c r="F1272" s="21"/>
    </row>
    <row r="1273" spans="1:6" x14ac:dyDescent="0.25">
      <c r="A1273" s="21" t="s">
        <v>1339</v>
      </c>
      <c r="B1273" s="21" t="s">
        <v>22</v>
      </c>
      <c r="C1273" s="21">
        <v>20</v>
      </c>
      <c r="D1273" s="21">
        <v>640</v>
      </c>
      <c r="E1273" s="21">
        <v>32</v>
      </c>
      <c r="F1273" s="21"/>
    </row>
    <row r="1274" spans="1:6" x14ac:dyDescent="0.25">
      <c r="A1274" s="21" t="s">
        <v>1340</v>
      </c>
      <c r="B1274" s="21" t="s">
        <v>22</v>
      </c>
      <c r="C1274" s="21">
        <v>50</v>
      </c>
      <c r="D1274" s="21">
        <v>1500</v>
      </c>
      <c r="E1274" s="21">
        <v>30</v>
      </c>
      <c r="F1274" s="21"/>
    </row>
    <row r="1275" spans="1:6" x14ac:dyDescent="0.25">
      <c r="A1275" s="21" t="s">
        <v>1341</v>
      </c>
      <c r="B1275" s="21" t="s">
        <v>22</v>
      </c>
      <c r="C1275" s="21">
        <v>80</v>
      </c>
      <c r="D1275" s="21">
        <v>1600</v>
      </c>
      <c r="E1275" s="21">
        <v>20</v>
      </c>
      <c r="F1275" s="21"/>
    </row>
    <row r="1276" spans="1:6" x14ac:dyDescent="0.25">
      <c r="A1276" s="21" t="s">
        <v>1342</v>
      </c>
      <c r="B1276" s="21" t="s">
        <v>22</v>
      </c>
      <c r="C1276" s="21">
        <v>80</v>
      </c>
      <c r="D1276" s="21">
        <v>1600</v>
      </c>
      <c r="E1276" s="21">
        <v>20</v>
      </c>
      <c r="F1276" s="21"/>
    </row>
    <row r="1277" spans="1:6" x14ac:dyDescent="0.25">
      <c r="A1277" s="21" t="s">
        <v>1343</v>
      </c>
      <c r="B1277" s="21" t="s">
        <v>22</v>
      </c>
      <c r="C1277" s="21">
        <v>20</v>
      </c>
      <c r="D1277" s="21">
        <v>300</v>
      </c>
      <c r="E1277" s="21">
        <v>15</v>
      </c>
      <c r="F1277" s="21"/>
    </row>
    <row r="1278" spans="1:6" x14ac:dyDescent="0.25">
      <c r="A1278" s="21" t="s">
        <v>1344</v>
      </c>
      <c r="B1278" s="21" t="s">
        <v>22</v>
      </c>
      <c r="C1278" s="21">
        <v>16</v>
      </c>
      <c r="D1278" s="21">
        <v>288</v>
      </c>
      <c r="E1278" s="21">
        <v>18</v>
      </c>
      <c r="F1278" s="21"/>
    </row>
    <row r="1279" spans="1:6" x14ac:dyDescent="0.25">
      <c r="A1279" s="21" t="s">
        <v>1345</v>
      </c>
      <c r="B1279" s="21" t="s">
        <v>22</v>
      </c>
      <c r="C1279" s="21">
        <v>0</v>
      </c>
      <c r="D1279" s="52">
        <v>0</v>
      </c>
      <c r="E1279" s="21"/>
      <c r="F1279" s="21"/>
    </row>
    <row r="1280" spans="1:6" x14ac:dyDescent="0.25">
      <c r="A1280" s="21" t="s">
        <v>1346</v>
      </c>
      <c r="B1280" s="21" t="s">
        <v>22</v>
      </c>
      <c r="C1280" s="21">
        <v>1800</v>
      </c>
      <c r="D1280" s="21">
        <v>1800</v>
      </c>
      <c r="E1280" s="21">
        <v>1</v>
      </c>
      <c r="F1280" s="21"/>
    </row>
    <row r="1281" spans="1:6" x14ac:dyDescent="0.25">
      <c r="A1281" s="21" t="s">
        <v>1347</v>
      </c>
      <c r="B1281" s="21" t="s">
        <v>22</v>
      </c>
      <c r="C1281" s="21">
        <v>0</v>
      </c>
      <c r="D1281" s="52">
        <v>0</v>
      </c>
      <c r="E1281" s="21"/>
      <c r="F1281" s="21"/>
    </row>
    <row r="1282" spans="1:6" x14ac:dyDescent="0.25">
      <c r="A1282" s="21" t="s">
        <v>1348</v>
      </c>
      <c r="B1282" s="21" t="s">
        <v>22</v>
      </c>
      <c r="C1282" s="21">
        <v>0</v>
      </c>
      <c r="D1282" s="52">
        <v>0</v>
      </c>
      <c r="E1282" s="21"/>
      <c r="F1282" s="21"/>
    </row>
    <row r="1283" spans="1:6" x14ac:dyDescent="0.25">
      <c r="A1283" s="21" t="s">
        <v>1349</v>
      </c>
      <c r="B1283" s="21" t="s">
        <v>22</v>
      </c>
      <c r="C1283" s="21">
        <v>0</v>
      </c>
      <c r="D1283" s="52">
        <v>0</v>
      </c>
      <c r="E1283" s="21"/>
      <c r="F1283" s="21"/>
    </row>
    <row r="1284" spans="1:6" x14ac:dyDescent="0.25">
      <c r="A1284" s="21" t="s">
        <v>1350</v>
      </c>
      <c r="B1284" s="21" t="s">
        <v>22</v>
      </c>
      <c r="C1284" s="21">
        <v>0</v>
      </c>
      <c r="D1284" s="52">
        <v>0</v>
      </c>
      <c r="E1284" s="21"/>
      <c r="F1284" s="21"/>
    </row>
    <row r="1285" spans="1:6" x14ac:dyDescent="0.25">
      <c r="A1285" s="21" t="s">
        <v>1351</v>
      </c>
      <c r="B1285" s="21" t="s">
        <v>22</v>
      </c>
      <c r="C1285" s="21">
        <v>0</v>
      </c>
      <c r="D1285" s="52">
        <v>0</v>
      </c>
      <c r="E1285" s="21"/>
      <c r="F1285" s="21"/>
    </row>
    <row r="1286" spans="1:6" x14ac:dyDescent="0.25">
      <c r="A1286" s="21" t="s">
        <v>1352</v>
      </c>
      <c r="B1286" s="21" t="s">
        <v>22</v>
      </c>
      <c r="C1286" s="21">
        <v>0</v>
      </c>
      <c r="D1286" s="52">
        <v>0</v>
      </c>
      <c r="E1286" s="21"/>
      <c r="F1286" s="21"/>
    </row>
    <row r="1287" spans="1:6" x14ac:dyDescent="0.25">
      <c r="A1287" s="21" t="s">
        <v>1353</v>
      </c>
      <c r="B1287" s="21" t="s">
        <v>22</v>
      </c>
      <c r="C1287" s="21">
        <v>0</v>
      </c>
      <c r="D1287" s="52">
        <v>0</v>
      </c>
      <c r="E1287" s="21"/>
      <c r="F1287" s="21"/>
    </row>
    <row r="1288" spans="1:6" x14ac:dyDescent="0.25">
      <c r="A1288" s="21" t="s">
        <v>1354</v>
      </c>
      <c r="B1288" s="21" t="s">
        <v>22</v>
      </c>
      <c r="C1288" s="21">
        <v>0</v>
      </c>
      <c r="D1288" s="52">
        <v>0</v>
      </c>
      <c r="E1288" s="21"/>
      <c r="F1288" s="21"/>
    </row>
    <row r="1289" spans="1:6" x14ac:dyDescent="0.25">
      <c r="A1289" s="21" t="s">
        <v>1355</v>
      </c>
      <c r="B1289" s="21" t="s">
        <v>22</v>
      </c>
      <c r="C1289" s="21">
        <v>5</v>
      </c>
      <c r="D1289" s="21">
        <v>60</v>
      </c>
      <c r="E1289" s="21">
        <v>12</v>
      </c>
      <c r="F1289" s="21"/>
    </row>
    <row r="1290" spans="1:6" x14ac:dyDescent="0.25">
      <c r="A1290" s="21" t="s">
        <v>1356</v>
      </c>
      <c r="B1290" s="21" t="s">
        <v>22</v>
      </c>
      <c r="C1290" s="21">
        <v>5</v>
      </c>
      <c r="D1290" s="21">
        <v>60</v>
      </c>
      <c r="E1290" s="21">
        <v>12</v>
      </c>
      <c r="F1290" s="21"/>
    </row>
    <row r="1291" spans="1:6" x14ac:dyDescent="0.25">
      <c r="A1291" s="21" t="s">
        <v>1357</v>
      </c>
      <c r="B1291" s="21" t="s">
        <v>22</v>
      </c>
      <c r="C1291" s="21">
        <v>5</v>
      </c>
      <c r="D1291" s="21">
        <v>60</v>
      </c>
      <c r="E1291" s="21">
        <v>12</v>
      </c>
      <c r="F1291" s="21"/>
    </row>
    <row r="1292" spans="1:6" x14ac:dyDescent="0.25">
      <c r="A1292" s="21" t="s">
        <v>1358</v>
      </c>
      <c r="B1292" s="21" t="s">
        <v>22</v>
      </c>
      <c r="C1292" s="21">
        <v>5</v>
      </c>
      <c r="D1292" s="21">
        <v>60</v>
      </c>
      <c r="E1292" s="21">
        <v>12</v>
      </c>
      <c r="F1292" s="21"/>
    </row>
    <row r="1293" spans="1:6" x14ac:dyDescent="0.25">
      <c r="A1293" s="21" t="s">
        <v>1359</v>
      </c>
      <c r="B1293" s="21" t="s">
        <v>22</v>
      </c>
      <c r="C1293" s="21">
        <v>5</v>
      </c>
      <c r="D1293" s="21">
        <v>60</v>
      </c>
      <c r="E1293" s="21">
        <v>12</v>
      </c>
      <c r="F1293" s="21"/>
    </row>
    <row r="1294" spans="1:6" x14ac:dyDescent="0.25">
      <c r="A1294" s="21" t="s">
        <v>1360</v>
      </c>
      <c r="B1294" s="21" t="s">
        <v>22</v>
      </c>
      <c r="C1294" s="21">
        <v>5</v>
      </c>
      <c r="D1294" s="21">
        <v>60</v>
      </c>
      <c r="E1294" s="21">
        <v>12</v>
      </c>
      <c r="F1294" s="21"/>
    </row>
    <row r="1295" spans="1:6" x14ac:dyDescent="0.25">
      <c r="A1295" s="21" t="s">
        <v>1361</v>
      </c>
      <c r="B1295" s="21" t="s">
        <v>22</v>
      </c>
      <c r="C1295" s="21">
        <v>5</v>
      </c>
      <c r="D1295" s="21">
        <v>70</v>
      </c>
      <c r="E1295" s="21">
        <v>14</v>
      </c>
      <c r="F1295" s="21"/>
    </row>
    <row r="1296" spans="1:6" x14ac:dyDescent="0.25">
      <c r="A1296" s="21" t="s">
        <v>1362</v>
      </c>
      <c r="B1296" s="21" t="s">
        <v>22</v>
      </c>
      <c r="C1296" s="21">
        <v>0</v>
      </c>
      <c r="D1296" s="52">
        <v>0</v>
      </c>
      <c r="E1296" s="21"/>
      <c r="F1296" s="21"/>
    </row>
    <row r="1297" spans="1:6" x14ac:dyDescent="0.25">
      <c r="A1297" s="21" t="s">
        <v>1363</v>
      </c>
      <c r="B1297" s="21" t="s">
        <v>22</v>
      </c>
      <c r="C1297" s="21">
        <v>5</v>
      </c>
      <c r="D1297" s="21">
        <v>180</v>
      </c>
      <c r="E1297" s="21">
        <v>36</v>
      </c>
      <c r="F1297" s="21"/>
    </row>
    <row r="1298" spans="1:6" x14ac:dyDescent="0.25">
      <c r="A1298" s="21" t="s">
        <v>1364</v>
      </c>
      <c r="B1298" s="21" t="s">
        <v>22</v>
      </c>
      <c r="C1298" s="21">
        <v>10</v>
      </c>
      <c r="D1298" s="21">
        <v>200</v>
      </c>
      <c r="E1298" s="21">
        <v>20</v>
      </c>
      <c r="F1298" s="21"/>
    </row>
    <row r="1299" spans="1:6" x14ac:dyDescent="0.25">
      <c r="A1299" s="21" t="s">
        <v>1365</v>
      </c>
      <c r="B1299" s="21" t="s">
        <v>22</v>
      </c>
      <c r="C1299" s="21">
        <v>10</v>
      </c>
      <c r="D1299" s="21">
        <v>150</v>
      </c>
      <c r="E1299" s="21">
        <v>15</v>
      </c>
      <c r="F1299" s="21"/>
    </row>
    <row r="1300" spans="1:6" x14ac:dyDescent="0.25">
      <c r="A1300" s="21" t="s">
        <v>1366</v>
      </c>
      <c r="B1300" s="21" t="s">
        <v>22</v>
      </c>
      <c r="C1300" s="21">
        <v>10</v>
      </c>
      <c r="D1300" s="21">
        <v>240</v>
      </c>
      <c r="E1300" s="21">
        <v>24</v>
      </c>
      <c r="F1300" s="21"/>
    </row>
    <row r="1301" spans="1:6" x14ac:dyDescent="0.25">
      <c r="A1301" s="21" t="s">
        <v>1367</v>
      </c>
      <c r="B1301" s="21" t="s">
        <v>22</v>
      </c>
      <c r="C1301" s="21">
        <v>5</v>
      </c>
      <c r="D1301" s="21">
        <v>165</v>
      </c>
      <c r="E1301" s="21">
        <v>33</v>
      </c>
      <c r="F1301" s="21"/>
    </row>
    <row r="1302" spans="1:6" x14ac:dyDescent="0.25">
      <c r="A1302" s="21" t="s">
        <v>1368</v>
      </c>
      <c r="B1302" s="21" t="s">
        <v>22</v>
      </c>
      <c r="C1302" s="21">
        <v>10</v>
      </c>
      <c r="D1302" s="21">
        <v>200</v>
      </c>
      <c r="E1302" s="21">
        <v>20</v>
      </c>
      <c r="F1302" s="21"/>
    </row>
    <row r="1303" spans="1:6" x14ac:dyDescent="0.25">
      <c r="A1303" s="21" t="s">
        <v>1369</v>
      </c>
      <c r="B1303" s="21" t="s">
        <v>22</v>
      </c>
      <c r="C1303" s="21">
        <v>10</v>
      </c>
      <c r="D1303" s="21">
        <v>150</v>
      </c>
      <c r="E1303" s="21">
        <v>15</v>
      </c>
      <c r="F1303" s="21"/>
    </row>
    <row r="1304" spans="1:6" x14ac:dyDescent="0.25">
      <c r="A1304" s="21" t="s">
        <v>1370</v>
      </c>
      <c r="B1304" s="21" t="s">
        <v>22</v>
      </c>
      <c r="C1304" s="21">
        <v>10</v>
      </c>
      <c r="D1304" s="21">
        <v>240</v>
      </c>
      <c r="E1304" s="21">
        <v>24</v>
      </c>
      <c r="F1304" s="21"/>
    </row>
    <row r="1305" spans="1:6" x14ac:dyDescent="0.25">
      <c r="A1305" s="21" t="s">
        <v>1371</v>
      </c>
      <c r="B1305" s="21" t="s">
        <v>22</v>
      </c>
      <c r="C1305" s="21">
        <v>5</v>
      </c>
      <c r="D1305" s="21">
        <v>165</v>
      </c>
      <c r="E1305" s="21">
        <v>33</v>
      </c>
      <c r="F1305" s="21"/>
    </row>
    <row r="1306" spans="1:6" x14ac:dyDescent="0.25">
      <c r="A1306" s="21" t="s">
        <v>1372</v>
      </c>
      <c r="B1306" s="21" t="s">
        <v>22</v>
      </c>
      <c r="C1306" s="21">
        <v>5</v>
      </c>
      <c r="D1306" s="21">
        <v>165</v>
      </c>
      <c r="E1306" s="21">
        <v>33</v>
      </c>
      <c r="F1306" s="21"/>
    </row>
    <row r="1307" spans="1:6" x14ac:dyDescent="0.25">
      <c r="A1307" s="21" t="s">
        <v>1373</v>
      </c>
      <c r="B1307" s="21" t="s">
        <v>22</v>
      </c>
      <c r="C1307" s="21">
        <v>5</v>
      </c>
      <c r="D1307" s="21">
        <v>60</v>
      </c>
      <c r="E1307" s="21">
        <v>12</v>
      </c>
      <c r="F1307" s="21"/>
    </row>
    <row r="1308" spans="1:6" x14ac:dyDescent="0.25">
      <c r="A1308" s="21" t="s">
        <v>1374</v>
      </c>
      <c r="B1308" s="21" t="s">
        <v>22</v>
      </c>
      <c r="C1308" s="21">
        <v>5</v>
      </c>
      <c r="D1308" s="21">
        <v>60</v>
      </c>
      <c r="E1308" s="21">
        <v>12</v>
      </c>
      <c r="F1308" s="21"/>
    </row>
    <row r="1309" spans="1:6" x14ac:dyDescent="0.25">
      <c r="A1309" s="21" t="s">
        <v>1375</v>
      </c>
      <c r="B1309" s="21" t="s">
        <v>22</v>
      </c>
      <c r="C1309" s="21">
        <v>5</v>
      </c>
      <c r="D1309" s="21">
        <v>60</v>
      </c>
      <c r="E1309" s="21">
        <v>12</v>
      </c>
      <c r="F1309" s="21"/>
    </row>
    <row r="1310" spans="1:6" x14ac:dyDescent="0.25">
      <c r="A1310" s="21" t="s">
        <v>1376</v>
      </c>
      <c r="B1310" s="21" t="s">
        <v>22</v>
      </c>
      <c r="C1310" s="21">
        <v>5</v>
      </c>
      <c r="D1310" s="21">
        <v>60</v>
      </c>
      <c r="E1310" s="21">
        <v>12</v>
      </c>
      <c r="F1310" s="21"/>
    </row>
    <row r="1311" spans="1:6" x14ac:dyDescent="0.25">
      <c r="A1311" s="21" t="s">
        <v>1377</v>
      </c>
      <c r="B1311" s="21" t="s">
        <v>22</v>
      </c>
      <c r="C1311" s="21">
        <v>10</v>
      </c>
      <c r="D1311" s="21">
        <v>240</v>
      </c>
      <c r="E1311" s="21">
        <v>24</v>
      </c>
      <c r="F1311" s="21"/>
    </row>
    <row r="1312" spans="1:6" x14ac:dyDescent="0.25">
      <c r="A1312" s="21" t="s">
        <v>1378</v>
      </c>
      <c r="B1312" s="21" t="s">
        <v>22</v>
      </c>
      <c r="C1312" s="21">
        <v>10</v>
      </c>
      <c r="D1312" s="21">
        <v>240</v>
      </c>
      <c r="E1312" s="21">
        <v>24</v>
      </c>
      <c r="F1312" s="21"/>
    </row>
    <row r="1313" spans="1:6" x14ac:dyDescent="0.25">
      <c r="A1313" s="21" t="s">
        <v>1379</v>
      </c>
      <c r="B1313" s="21" t="s">
        <v>22</v>
      </c>
      <c r="C1313" s="21">
        <v>10</v>
      </c>
      <c r="D1313" s="21">
        <v>240</v>
      </c>
      <c r="E1313" s="21">
        <v>24</v>
      </c>
      <c r="F1313" s="21"/>
    </row>
    <row r="1314" spans="1:6" x14ac:dyDescent="0.25">
      <c r="A1314" s="21" t="s">
        <v>1380</v>
      </c>
      <c r="B1314" s="21" t="s">
        <v>22</v>
      </c>
      <c r="C1314" s="21">
        <v>5</v>
      </c>
      <c r="D1314" s="21">
        <v>60</v>
      </c>
      <c r="E1314" s="21">
        <v>12</v>
      </c>
      <c r="F1314" s="21"/>
    </row>
    <row r="1315" spans="1:6" x14ac:dyDescent="0.25">
      <c r="A1315" s="21" t="s">
        <v>1381</v>
      </c>
      <c r="B1315" s="21" t="s">
        <v>22</v>
      </c>
      <c r="C1315" s="21">
        <v>5</v>
      </c>
      <c r="D1315" s="21">
        <v>60</v>
      </c>
      <c r="E1315" s="21">
        <v>12</v>
      </c>
      <c r="F1315" s="21"/>
    </row>
    <row r="1316" spans="1:6" x14ac:dyDescent="0.25">
      <c r="A1316" s="21" t="s">
        <v>1382</v>
      </c>
      <c r="B1316" s="21" t="s">
        <v>22</v>
      </c>
      <c r="C1316" s="21">
        <v>5</v>
      </c>
      <c r="D1316" s="21">
        <v>60</v>
      </c>
      <c r="E1316" s="21">
        <v>12</v>
      </c>
      <c r="F1316" s="21"/>
    </row>
    <row r="1317" spans="1:6" x14ac:dyDescent="0.25">
      <c r="A1317" s="21" t="s">
        <v>1383</v>
      </c>
      <c r="B1317" s="21" t="s">
        <v>22</v>
      </c>
      <c r="C1317" s="21">
        <v>5</v>
      </c>
      <c r="D1317" s="21">
        <v>60</v>
      </c>
      <c r="E1317" s="21">
        <v>12</v>
      </c>
      <c r="F1317" s="21"/>
    </row>
    <row r="1318" spans="1:6" x14ac:dyDescent="0.25">
      <c r="A1318" s="21" t="s">
        <v>1384</v>
      </c>
      <c r="B1318" s="21" t="s">
        <v>22</v>
      </c>
      <c r="C1318" s="21">
        <v>5</v>
      </c>
      <c r="D1318" s="21">
        <v>60</v>
      </c>
      <c r="E1318" s="21">
        <v>12</v>
      </c>
      <c r="F1318" s="21"/>
    </row>
    <row r="1319" spans="1:6" x14ac:dyDescent="0.25">
      <c r="A1319" s="21" t="s">
        <v>1385</v>
      </c>
      <c r="B1319" s="21" t="s">
        <v>22</v>
      </c>
      <c r="C1319" s="21">
        <v>5</v>
      </c>
      <c r="D1319" s="21">
        <v>60</v>
      </c>
      <c r="E1319" s="21">
        <v>12</v>
      </c>
      <c r="F1319" s="21"/>
    </row>
    <row r="1320" spans="1:6" x14ac:dyDescent="0.25">
      <c r="A1320" s="21" t="s">
        <v>1386</v>
      </c>
      <c r="B1320" s="21" t="s">
        <v>22</v>
      </c>
      <c r="C1320" s="21">
        <v>5</v>
      </c>
      <c r="D1320" s="21">
        <v>60</v>
      </c>
      <c r="E1320" s="21">
        <v>12</v>
      </c>
      <c r="F1320" s="21"/>
    </row>
    <row r="1321" spans="1:6" x14ac:dyDescent="0.25">
      <c r="A1321" s="21" t="s">
        <v>1387</v>
      </c>
      <c r="B1321" s="21" t="s">
        <v>22</v>
      </c>
      <c r="C1321" s="21">
        <v>5</v>
      </c>
      <c r="D1321" s="21">
        <v>60</v>
      </c>
      <c r="E1321" s="21">
        <v>12</v>
      </c>
      <c r="F1321" s="21"/>
    </row>
    <row r="1322" spans="1:6" x14ac:dyDescent="0.25">
      <c r="A1322" s="21" t="s">
        <v>1388</v>
      </c>
      <c r="B1322" s="21" t="s">
        <v>22</v>
      </c>
      <c r="C1322" s="21">
        <v>5</v>
      </c>
      <c r="D1322" s="21">
        <v>60</v>
      </c>
      <c r="E1322" s="21">
        <v>12</v>
      </c>
      <c r="F1322" s="21"/>
    </row>
    <row r="1323" spans="1:6" x14ac:dyDescent="0.25">
      <c r="A1323" s="21" t="s">
        <v>1389</v>
      </c>
      <c r="B1323" s="21" t="s">
        <v>22</v>
      </c>
      <c r="C1323" s="21">
        <v>5</v>
      </c>
      <c r="D1323" s="21">
        <v>60</v>
      </c>
      <c r="E1323" s="21">
        <v>12</v>
      </c>
      <c r="F1323" s="21"/>
    </row>
    <row r="1324" spans="1:6" x14ac:dyDescent="0.25">
      <c r="A1324" s="21" t="s">
        <v>1390</v>
      </c>
      <c r="B1324" s="21" t="s">
        <v>22</v>
      </c>
      <c r="C1324" s="21">
        <v>5</v>
      </c>
      <c r="D1324" s="21">
        <v>60</v>
      </c>
      <c r="E1324" s="21">
        <v>12</v>
      </c>
      <c r="F1324" s="21"/>
    </row>
    <row r="1325" spans="1:6" x14ac:dyDescent="0.25">
      <c r="A1325" s="21" t="s">
        <v>1391</v>
      </c>
      <c r="B1325" s="21" t="s">
        <v>22</v>
      </c>
      <c r="C1325" s="21">
        <v>5</v>
      </c>
      <c r="D1325" s="21">
        <v>60</v>
      </c>
      <c r="E1325" s="21">
        <v>12</v>
      </c>
      <c r="F1325" s="21"/>
    </row>
    <row r="1326" spans="1:6" x14ac:dyDescent="0.25">
      <c r="A1326" s="21" t="s">
        <v>1392</v>
      </c>
      <c r="B1326" s="21" t="s">
        <v>22</v>
      </c>
      <c r="C1326" s="21">
        <v>5</v>
      </c>
      <c r="D1326" s="21">
        <v>60</v>
      </c>
      <c r="E1326" s="21">
        <v>12</v>
      </c>
      <c r="F1326" s="21"/>
    </row>
    <row r="1327" spans="1:6" x14ac:dyDescent="0.25">
      <c r="A1327" s="21" t="s">
        <v>1393</v>
      </c>
      <c r="B1327" s="21" t="s">
        <v>22</v>
      </c>
      <c r="C1327" s="21">
        <v>5</v>
      </c>
      <c r="D1327" s="21">
        <v>60</v>
      </c>
      <c r="E1327" s="21">
        <v>12</v>
      </c>
      <c r="F1327" s="21"/>
    </row>
    <row r="1328" spans="1:6" x14ac:dyDescent="0.25">
      <c r="A1328" s="21" t="s">
        <v>1394</v>
      </c>
      <c r="B1328" s="21" t="s">
        <v>22</v>
      </c>
      <c r="C1328" s="21">
        <v>5</v>
      </c>
      <c r="D1328" s="21">
        <v>60</v>
      </c>
      <c r="E1328" s="21">
        <v>12</v>
      </c>
      <c r="F1328" s="21"/>
    </row>
    <row r="1329" spans="1:6" x14ac:dyDescent="0.25">
      <c r="A1329" s="21" t="s">
        <v>1395</v>
      </c>
      <c r="B1329" s="21" t="s">
        <v>22</v>
      </c>
      <c r="C1329" s="21">
        <v>5</v>
      </c>
      <c r="D1329" s="21">
        <v>60</v>
      </c>
      <c r="E1329" s="21">
        <v>12</v>
      </c>
      <c r="F1329" s="21"/>
    </row>
    <row r="1330" spans="1:6" x14ac:dyDescent="0.25">
      <c r="A1330" s="21" t="s">
        <v>1396</v>
      </c>
      <c r="B1330" s="21" t="s">
        <v>22</v>
      </c>
      <c r="C1330" s="21">
        <v>5</v>
      </c>
      <c r="D1330" s="21">
        <v>80</v>
      </c>
      <c r="E1330" s="21">
        <v>16</v>
      </c>
      <c r="F1330" s="21"/>
    </row>
    <row r="1331" spans="1:6" x14ac:dyDescent="0.25">
      <c r="A1331" s="21" t="s">
        <v>1397</v>
      </c>
      <c r="B1331" s="21" t="s">
        <v>22</v>
      </c>
      <c r="C1331" s="21">
        <v>5</v>
      </c>
      <c r="D1331" s="21">
        <v>80</v>
      </c>
      <c r="E1331" s="21">
        <v>16</v>
      </c>
      <c r="F1331" s="21"/>
    </row>
    <row r="1332" spans="1:6" x14ac:dyDescent="0.25">
      <c r="A1332" s="21" t="s">
        <v>1398</v>
      </c>
      <c r="B1332" s="21" t="s">
        <v>22</v>
      </c>
      <c r="C1332" s="21">
        <v>3</v>
      </c>
      <c r="D1332" s="21">
        <v>48</v>
      </c>
      <c r="E1332" s="21">
        <v>16</v>
      </c>
      <c r="F1332" s="21"/>
    </row>
    <row r="1333" spans="1:6" x14ac:dyDescent="0.25">
      <c r="A1333" s="21" t="s">
        <v>1399</v>
      </c>
      <c r="B1333" s="21" t="s">
        <v>22</v>
      </c>
      <c r="C1333" s="21">
        <v>5</v>
      </c>
      <c r="D1333" s="21">
        <v>80</v>
      </c>
      <c r="E1333" s="21">
        <v>16</v>
      </c>
      <c r="F1333" s="21"/>
    </row>
    <row r="1334" spans="1:6" x14ac:dyDescent="0.25">
      <c r="A1334" s="21" t="s">
        <v>1400</v>
      </c>
      <c r="B1334" s="21" t="s">
        <v>22</v>
      </c>
      <c r="C1334" s="21">
        <v>5</v>
      </c>
      <c r="D1334" s="21">
        <v>80</v>
      </c>
      <c r="E1334" s="21">
        <v>16</v>
      </c>
      <c r="F1334" s="21"/>
    </row>
    <row r="1335" spans="1:6" x14ac:dyDescent="0.25">
      <c r="A1335" s="21" t="s">
        <v>1401</v>
      </c>
      <c r="B1335" s="21" t="s">
        <v>22</v>
      </c>
      <c r="C1335" s="21">
        <v>5</v>
      </c>
      <c r="D1335" s="21">
        <v>80</v>
      </c>
      <c r="E1335" s="21">
        <v>16</v>
      </c>
      <c r="F1335" s="21"/>
    </row>
    <row r="1336" spans="1:6" x14ac:dyDescent="0.25">
      <c r="A1336" s="21" t="s">
        <v>1402</v>
      </c>
      <c r="B1336" s="21" t="s">
        <v>22</v>
      </c>
      <c r="C1336" s="21">
        <v>5</v>
      </c>
      <c r="D1336" s="21">
        <v>80</v>
      </c>
      <c r="E1336" s="21">
        <v>16</v>
      </c>
      <c r="F1336" s="21"/>
    </row>
    <row r="1337" spans="1:6" x14ac:dyDescent="0.25">
      <c r="A1337" s="21" t="s">
        <v>1403</v>
      </c>
      <c r="B1337" s="21" t="s">
        <v>22</v>
      </c>
      <c r="C1337" s="21">
        <v>5</v>
      </c>
      <c r="D1337" s="21">
        <v>60</v>
      </c>
      <c r="E1337" s="21">
        <v>12</v>
      </c>
      <c r="F1337" s="21"/>
    </row>
    <row r="1338" spans="1:6" x14ac:dyDescent="0.25">
      <c r="A1338" s="21" t="s">
        <v>1404</v>
      </c>
      <c r="B1338" s="21" t="s">
        <v>22</v>
      </c>
      <c r="C1338" s="21">
        <v>5</v>
      </c>
      <c r="D1338" s="21">
        <v>80</v>
      </c>
      <c r="E1338" s="21">
        <v>16</v>
      </c>
      <c r="F1338" s="21"/>
    </row>
    <row r="1339" spans="1:6" x14ac:dyDescent="0.25">
      <c r="A1339" s="21" t="s">
        <v>1405</v>
      </c>
      <c r="B1339" s="21" t="s">
        <v>22</v>
      </c>
      <c r="C1339" s="21">
        <v>5</v>
      </c>
      <c r="D1339" s="21">
        <v>80</v>
      </c>
      <c r="E1339" s="21">
        <v>16</v>
      </c>
      <c r="F1339" s="21"/>
    </row>
    <row r="1340" spans="1:6" x14ac:dyDescent="0.25">
      <c r="A1340" s="21" t="s">
        <v>1406</v>
      </c>
      <c r="B1340" s="21" t="s">
        <v>22</v>
      </c>
      <c r="C1340" s="21">
        <v>5</v>
      </c>
      <c r="D1340" s="21">
        <v>60</v>
      </c>
      <c r="E1340" s="21">
        <v>12</v>
      </c>
      <c r="F1340" s="21"/>
    </row>
    <row r="1341" spans="1:6" x14ac:dyDescent="0.25">
      <c r="A1341" s="21" t="s">
        <v>1407</v>
      </c>
      <c r="B1341" s="21" t="s">
        <v>22</v>
      </c>
      <c r="C1341" s="21">
        <v>3</v>
      </c>
      <c r="D1341" s="21">
        <v>36</v>
      </c>
      <c r="E1341" s="21">
        <v>12</v>
      </c>
      <c r="F1341" s="21"/>
    </row>
    <row r="1342" spans="1:6" x14ac:dyDescent="0.25">
      <c r="A1342" s="21" t="s">
        <v>1408</v>
      </c>
      <c r="B1342" s="21" t="s">
        <v>22</v>
      </c>
      <c r="C1342" s="21">
        <v>5</v>
      </c>
      <c r="D1342" s="21">
        <v>60</v>
      </c>
      <c r="E1342" s="21">
        <v>12</v>
      </c>
      <c r="F1342" s="21"/>
    </row>
    <row r="1343" spans="1:6" x14ac:dyDescent="0.25">
      <c r="A1343" s="21" t="s">
        <v>1409</v>
      </c>
      <c r="B1343" s="21" t="s">
        <v>22</v>
      </c>
      <c r="C1343" s="21">
        <v>5</v>
      </c>
      <c r="D1343" s="21">
        <v>70</v>
      </c>
      <c r="E1343" s="21">
        <v>14</v>
      </c>
      <c r="F1343" s="21"/>
    </row>
    <row r="1344" spans="1:6" x14ac:dyDescent="0.25">
      <c r="A1344" s="21" t="s">
        <v>1410</v>
      </c>
      <c r="B1344" s="21" t="s">
        <v>22</v>
      </c>
      <c r="C1344" s="21">
        <v>5</v>
      </c>
      <c r="D1344" s="21">
        <v>70</v>
      </c>
      <c r="E1344" s="21">
        <v>14</v>
      </c>
      <c r="F1344" s="21"/>
    </row>
    <row r="1345" spans="1:6" x14ac:dyDescent="0.25">
      <c r="A1345" s="21" t="s">
        <v>1411</v>
      </c>
      <c r="B1345" s="21" t="s">
        <v>22</v>
      </c>
      <c r="C1345" s="21">
        <v>5</v>
      </c>
      <c r="D1345" s="21">
        <v>70</v>
      </c>
      <c r="E1345" s="21">
        <v>14</v>
      </c>
      <c r="F1345" s="21"/>
    </row>
    <row r="1346" spans="1:6" x14ac:dyDescent="0.25">
      <c r="A1346" s="21" t="s">
        <v>1412</v>
      </c>
      <c r="B1346" s="21" t="s">
        <v>22</v>
      </c>
      <c r="C1346" s="21">
        <v>10</v>
      </c>
      <c r="D1346" s="21">
        <v>240</v>
      </c>
      <c r="E1346" s="21">
        <v>24</v>
      </c>
      <c r="F1346" s="21"/>
    </row>
    <row r="1347" spans="1:6" x14ac:dyDescent="0.25">
      <c r="A1347" s="21" t="s">
        <v>1413</v>
      </c>
      <c r="B1347" s="21" t="s">
        <v>22</v>
      </c>
      <c r="C1347" s="21">
        <v>10</v>
      </c>
      <c r="D1347" s="21">
        <v>240</v>
      </c>
      <c r="E1347" s="21">
        <v>24</v>
      </c>
      <c r="F1347" s="21"/>
    </row>
    <row r="1348" spans="1:6" x14ac:dyDescent="0.25">
      <c r="A1348" s="21" t="s">
        <v>1414</v>
      </c>
      <c r="B1348" s="21" t="s">
        <v>22</v>
      </c>
      <c r="C1348" s="21">
        <v>6</v>
      </c>
      <c r="D1348" s="21">
        <v>144</v>
      </c>
      <c r="E1348" s="21">
        <v>24</v>
      </c>
      <c r="F1348" s="21"/>
    </row>
    <row r="1349" spans="1:6" x14ac:dyDescent="0.25">
      <c r="A1349" s="21" t="s">
        <v>1415</v>
      </c>
      <c r="B1349" s="21" t="s">
        <v>22</v>
      </c>
      <c r="C1349" s="21">
        <v>10</v>
      </c>
      <c r="D1349" s="21">
        <v>240</v>
      </c>
      <c r="E1349" s="21">
        <v>24</v>
      </c>
      <c r="F1349" s="21"/>
    </row>
    <row r="1350" spans="1:6" x14ac:dyDescent="0.25">
      <c r="A1350" s="21" t="s">
        <v>1416</v>
      </c>
      <c r="B1350" s="21" t="s">
        <v>22</v>
      </c>
      <c r="C1350" s="21">
        <v>10</v>
      </c>
      <c r="D1350" s="21">
        <v>240</v>
      </c>
      <c r="E1350" s="21">
        <v>24</v>
      </c>
      <c r="F1350" s="21"/>
    </row>
    <row r="1351" spans="1:6" x14ac:dyDescent="0.25">
      <c r="A1351" s="21" t="s">
        <v>1417</v>
      </c>
      <c r="B1351" s="21" t="s">
        <v>22</v>
      </c>
      <c r="C1351" s="21">
        <v>10</v>
      </c>
      <c r="D1351" s="21">
        <v>240</v>
      </c>
      <c r="E1351" s="21">
        <v>24</v>
      </c>
      <c r="F1351" s="21"/>
    </row>
    <row r="1352" spans="1:6" x14ac:dyDescent="0.25">
      <c r="A1352" s="21" t="s">
        <v>1418</v>
      </c>
      <c r="B1352" s="21" t="s">
        <v>22</v>
      </c>
      <c r="C1352" s="21">
        <v>10</v>
      </c>
      <c r="D1352" s="21">
        <v>240</v>
      </c>
      <c r="E1352" s="21">
        <v>24</v>
      </c>
      <c r="F1352" s="21"/>
    </row>
    <row r="1353" spans="1:6" x14ac:dyDescent="0.25">
      <c r="A1353" s="21" t="s">
        <v>1419</v>
      </c>
      <c r="B1353" s="21" t="s">
        <v>22</v>
      </c>
      <c r="C1353" s="21">
        <v>5</v>
      </c>
      <c r="D1353" s="21">
        <v>120</v>
      </c>
      <c r="E1353" s="21">
        <v>24</v>
      </c>
      <c r="F1353" s="21"/>
    </row>
    <row r="1354" spans="1:6" x14ac:dyDescent="0.25">
      <c r="A1354" s="21" t="s">
        <v>1420</v>
      </c>
      <c r="B1354" s="21" t="s">
        <v>22</v>
      </c>
      <c r="C1354" s="21">
        <v>5</v>
      </c>
      <c r="D1354" s="21">
        <v>120</v>
      </c>
      <c r="E1354" s="21">
        <v>24</v>
      </c>
      <c r="F1354" s="21"/>
    </row>
    <row r="1355" spans="1:6" x14ac:dyDescent="0.25">
      <c r="A1355" s="21" t="s">
        <v>1421</v>
      </c>
      <c r="B1355" s="21" t="s">
        <v>22</v>
      </c>
      <c r="C1355" s="21">
        <v>5</v>
      </c>
      <c r="D1355" s="21">
        <v>120</v>
      </c>
      <c r="E1355" s="21">
        <v>24</v>
      </c>
      <c r="F1355" s="21"/>
    </row>
    <row r="1356" spans="1:6" x14ac:dyDescent="0.25">
      <c r="A1356" s="21" t="s">
        <v>1422</v>
      </c>
      <c r="B1356" s="21" t="s">
        <v>22</v>
      </c>
      <c r="C1356" s="21">
        <v>5</v>
      </c>
      <c r="D1356" s="21">
        <v>120</v>
      </c>
      <c r="E1356" s="21">
        <v>24</v>
      </c>
      <c r="F1356" s="21"/>
    </row>
    <row r="1357" spans="1:6" x14ac:dyDescent="0.25">
      <c r="A1357" s="21" t="s">
        <v>1423</v>
      </c>
      <c r="B1357" s="21" t="s">
        <v>22</v>
      </c>
      <c r="C1357" s="21">
        <v>5</v>
      </c>
      <c r="D1357" s="21">
        <v>120</v>
      </c>
      <c r="E1357" s="21">
        <v>24</v>
      </c>
      <c r="F1357" s="21"/>
    </row>
    <row r="1358" spans="1:6" x14ac:dyDescent="0.25">
      <c r="A1358" s="21" t="s">
        <v>1424</v>
      </c>
      <c r="B1358" s="21" t="s">
        <v>22</v>
      </c>
      <c r="C1358" s="21">
        <v>5</v>
      </c>
      <c r="D1358" s="21">
        <v>120</v>
      </c>
      <c r="E1358" s="21">
        <v>24</v>
      </c>
      <c r="F1358" s="21"/>
    </row>
    <row r="1359" spans="1:6" x14ac:dyDescent="0.25">
      <c r="A1359" s="21" t="s">
        <v>1425</v>
      </c>
      <c r="B1359" s="21" t="s">
        <v>22</v>
      </c>
      <c r="C1359" s="21">
        <v>5</v>
      </c>
      <c r="D1359" s="21">
        <v>110</v>
      </c>
      <c r="E1359" s="21">
        <v>22</v>
      </c>
      <c r="F1359" s="21"/>
    </row>
    <row r="1360" spans="1:6" x14ac:dyDescent="0.25">
      <c r="A1360" s="21" t="s">
        <v>1426</v>
      </c>
      <c r="B1360" s="21" t="s">
        <v>22</v>
      </c>
      <c r="C1360" s="21">
        <v>5</v>
      </c>
      <c r="D1360" s="21">
        <v>60</v>
      </c>
      <c r="E1360" s="21">
        <v>12</v>
      </c>
      <c r="F1360" s="21"/>
    </row>
    <row r="1361" spans="1:6" x14ac:dyDescent="0.25">
      <c r="A1361" s="21" t="s">
        <v>1427</v>
      </c>
      <c r="B1361" s="21" t="s">
        <v>22</v>
      </c>
      <c r="C1361" s="21">
        <v>5</v>
      </c>
      <c r="D1361" s="21">
        <v>60</v>
      </c>
      <c r="E1361" s="21">
        <v>12</v>
      </c>
      <c r="F1361" s="21"/>
    </row>
    <row r="1362" spans="1:6" x14ac:dyDescent="0.25">
      <c r="A1362" s="21" t="s">
        <v>1428</v>
      </c>
      <c r="B1362" s="21" t="s">
        <v>22</v>
      </c>
      <c r="C1362" s="21">
        <v>5</v>
      </c>
      <c r="D1362" s="21">
        <v>60</v>
      </c>
      <c r="E1362" s="21">
        <v>12</v>
      </c>
      <c r="F1362" s="21"/>
    </row>
    <row r="1363" spans="1:6" x14ac:dyDescent="0.25">
      <c r="A1363" s="21" t="s">
        <v>1429</v>
      </c>
      <c r="B1363" s="21" t="s">
        <v>22</v>
      </c>
      <c r="C1363" s="21">
        <v>4</v>
      </c>
      <c r="D1363" s="21">
        <v>48</v>
      </c>
      <c r="E1363" s="21">
        <v>12</v>
      </c>
      <c r="F1363" s="21"/>
    </row>
    <row r="1364" spans="1:6" x14ac:dyDescent="0.25">
      <c r="A1364" s="21" t="s">
        <v>1430</v>
      </c>
      <c r="B1364" s="21" t="s">
        <v>22</v>
      </c>
      <c r="C1364" s="21">
        <v>5</v>
      </c>
      <c r="D1364" s="21">
        <v>60</v>
      </c>
      <c r="E1364" s="21">
        <v>12</v>
      </c>
      <c r="F1364" s="21"/>
    </row>
    <row r="1365" spans="1:6" x14ac:dyDescent="0.25">
      <c r="A1365" s="21" t="s">
        <v>1431</v>
      </c>
      <c r="B1365" s="21" t="s">
        <v>22</v>
      </c>
      <c r="C1365" s="21">
        <v>5</v>
      </c>
      <c r="D1365" s="21">
        <v>60</v>
      </c>
      <c r="E1365" s="21">
        <v>12</v>
      </c>
      <c r="F1365" s="21"/>
    </row>
    <row r="1366" spans="1:6" x14ac:dyDescent="0.25">
      <c r="A1366" s="21" t="s">
        <v>1432</v>
      </c>
      <c r="B1366" s="21" t="s">
        <v>22</v>
      </c>
      <c r="C1366" s="21">
        <v>5</v>
      </c>
      <c r="D1366" s="21">
        <v>60</v>
      </c>
      <c r="E1366" s="21">
        <v>12</v>
      </c>
      <c r="F1366" s="21"/>
    </row>
    <row r="1367" spans="1:6" x14ac:dyDescent="0.25">
      <c r="A1367" s="21" t="s">
        <v>1433</v>
      </c>
      <c r="B1367" s="21" t="s">
        <v>22</v>
      </c>
      <c r="C1367" s="21">
        <v>5</v>
      </c>
      <c r="D1367" s="21">
        <v>60</v>
      </c>
      <c r="E1367" s="21">
        <v>12</v>
      </c>
      <c r="F1367" s="21"/>
    </row>
    <row r="1368" spans="1:6" x14ac:dyDescent="0.25">
      <c r="A1368" s="21" t="s">
        <v>1434</v>
      </c>
      <c r="B1368" s="21" t="s">
        <v>22</v>
      </c>
      <c r="C1368" s="21">
        <v>5</v>
      </c>
      <c r="D1368" s="21">
        <v>60</v>
      </c>
      <c r="E1368" s="21">
        <v>12</v>
      </c>
      <c r="F1368" s="21"/>
    </row>
    <row r="1369" spans="1:6" x14ac:dyDescent="0.25">
      <c r="A1369" s="21" t="s">
        <v>1435</v>
      </c>
      <c r="B1369" s="21" t="s">
        <v>22</v>
      </c>
      <c r="C1369" s="21">
        <v>5</v>
      </c>
      <c r="D1369" s="21">
        <v>60</v>
      </c>
      <c r="E1369" s="21">
        <v>12</v>
      </c>
      <c r="F1369" s="21"/>
    </row>
    <row r="1370" spans="1:6" x14ac:dyDescent="0.25">
      <c r="A1370" s="21" t="s">
        <v>1436</v>
      </c>
      <c r="B1370" s="21" t="s">
        <v>22</v>
      </c>
      <c r="C1370" s="21">
        <v>5</v>
      </c>
      <c r="D1370" s="21">
        <v>60</v>
      </c>
      <c r="E1370" s="21">
        <v>12</v>
      </c>
      <c r="F1370" s="21"/>
    </row>
    <row r="1371" spans="1:6" x14ac:dyDescent="0.25">
      <c r="A1371" s="21" t="s">
        <v>1437</v>
      </c>
      <c r="B1371" s="21" t="s">
        <v>22</v>
      </c>
      <c r="C1371" s="21">
        <v>0</v>
      </c>
      <c r="D1371" s="52">
        <v>0</v>
      </c>
      <c r="E1371" s="21"/>
      <c r="F1371" s="21"/>
    </row>
    <row r="1372" spans="1:6" x14ac:dyDescent="0.25">
      <c r="A1372" s="21" t="s">
        <v>1438</v>
      </c>
      <c r="B1372" s="21" t="s">
        <v>22</v>
      </c>
      <c r="C1372" s="21">
        <v>0</v>
      </c>
      <c r="D1372" s="52">
        <v>0</v>
      </c>
      <c r="E1372" s="21"/>
      <c r="F1372" s="21"/>
    </row>
    <row r="1373" spans="1:6" x14ac:dyDescent="0.25">
      <c r="A1373" s="21" t="s">
        <v>1439</v>
      </c>
      <c r="B1373" s="21" t="s">
        <v>22</v>
      </c>
      <c r="C1373" s="21">
        <v>10000</v>
      </c>
      <c r="D1373" s="21">
        <v>360000</v>
      </c>
      <c r="E1373" s="21">
        <v>36</v>
      </c>
      <c r="F1373" s="21"/>
    </row>
    <row r="1374" spans="1:6" x14ac:dyDescent="0.25">
      <c r="A1374" s="21" t="s">
        <v>1440</v>
      </c>
      <c r="B1374" s="21" t="s">
        <v>22</v>
      </c>
      <c r="C1374" s="21">
        <v>0</v>
      </c>
      <c r="D1374" s="52">
        <v>0</v>
      </c>
      <c r="E1374" s="21"/>
      <c r="F1374" s="21"/>
    </row>
    <row r="1375" spans="1:6" x14ac:dyDescent="0.25">
      <c r="A1375" s="21" t="s">
        <v>1441</v>
      </c>
      <c r="B1375" s="21" t="s">
        <v>22</v>
      </c>
      <c r="C1375" s="21">
        <v>0</v>
      </c>
      <c r="D1375" s="52">
        <v>0</v>
      </c>
      <c r="E1375" s="21"/>
      <c r="F1375" s="21"/>
    </row>
    <row r="1376" spans="1:6" x14ac:dyDescent="0.25">
      <c r="A1376" s="21" t="s">
        <v>1442</v>
      </c>
      <c r="B1376" s="21" t="s">
        <v>22</v>
      </c>
      <c r="C1376" s="21">
        <v>0</v>
      </c>
      <c r="D1376" s="52">
        <v>0</v>
      </c>
      <c r="E1376" s="21"/>
      <c r="F1376" s="21"/>
    </row>
    <row r="1377" spans="1:6" x14ac:dyDescent="0.25">
      <c r="A1377" s="21" t="s">
        <v>1443</v>
      </c>
      <c r="B1377" s="21" t="s">
        <v>22</v>
      </c>
      <c r="C1377" s="21">
        <v>0</v>
      </c>
      <c r="D1377" s="52">
        <v>0</v>
      </c>
      <c r="E1377" s="21"/>
      <c r="F1377" s="21"/>
    </row>
    <row r="1378" spans="1:6" x14ac:dyDescent="0.25">
      <c r="A1378" s="21" t="s">
        <v>1444</v>
      </c>
      <c r="B1378" s="21" t="s">
        <v>22</v>
      </c>
      <c r="C1378" s="21">
        <v>0</v>
      </c>
      <c r="D1378" s="52">
        <v>0</v>
      </c>
      <c r="E1378" s="21"/>
      <c r="F1378" s="21"/>
    </row>
    <row r="1379" spans="1:6" x14ac:dyDescent="0.25">
      <c r="A1379" s="21" t="s">
        <v>1445</v>
      </c>
      <c r="B1379" s="21" t="s">
        <v>22</v>
      </c>
      <c r="C1379" s="21">
        <v>0</v>
      </c>
      <c r="D1379" s="52">
        <v>0</v>
      </c>
      <c r="E1379" s="21"/>
      <c r="F1379" s="21"/>
    </row>
    <row r="1380" spans="1:6" x14ac:dyDescent="0.25">
      <c r="A1380" s="21" t="s">
        <v>1446</v>
      </c>
      <c r="B1380" s="21" t="s">
        <v>22</v>
      </c>
      <c r="C1380" s="21">
        <v>20</v>
      </c>
      <c r="D1380" s="21">
        <v>480</v>
      </c>
      <c r="E1380" s="21">
        <v>24</v>
      </c>
      <c r="F1380" s="21"/>
    </row>
    <row r="1381" spans="1:6" x14ac:dyDescent="0.25">
      <c r="A1381" s="21" t="s">
        <v>1447</v>
      </c>
      <c r="B1381" s="21" t="s">
        <v>22</v>
      </c>
      <c r="C1381" s="21">
        <v>10</v>
      </c>
      <c r="D1381" s="21">
        <v>120</v>
      </c>
      <c r="E1381" s="21">
        <v>12</v>
      </c>
      <c r="F1381" s="21"/>
    </row>
    <row r="1382" spans="1:6" x14ac:dyDescent="0.25">
      <c r="A1382" s="21" t="s">
        <v>1448</v>
      </c>
      <c r="B1382" s="21" t="s">
        <v>22</v>
      </c>
      <c r="C1382" s="21">
        <v>10</v>
      </c>
      <c r="D1382" s="21">
        <v>80</v>
      </c>
      <c r="E1382" s="21">
        <v>8</v>
      </c>
      <c r="F1382" s="21"/>
    </row>
    <row r="1383" spans="1:6" x14ac:dyDescent="0.25">
      <c r="A1383" s="21" t="s">
        <v>1449</v>
      </c>
      <c r="B1383" s="21" t="s">
        <v>22</v>
      </c>
      <c r="C1383" s="21">
        <v>6</v>
      </c>
      <c r="D1383" s="21">
        <v>108</v>
      </c>
      <c r="E1383" s="21">
        <v>18</v>
      </c>
      <c r="F1383" s="21"/>
    </row>
    <row r="1384" spans="1:6" x14ac:dyDescent="0.25">
      <c r="A1384" s="21" t="s">
        <v>1450</v>
      </c>
      <c r="B1384" s="21" t="s">
        <v>22</v>
      </c>
      <c r="C1384" s="21">
        <v>6</v>
      </c>
      <c r="D1384" s="21">
        <v>90</v>
      </c>
      <c r="E1384" s="21">
        <v>15</v>
      </c>
      <c r="F1384" s="21"/>
    </row>
    <row r="1385" spans="1:6" x14ac:dyDescent="0.25">
      <c r="A1385" s="21" t="s">
        <v>1451</v>
      </c>
      <c r="B1385" s="21" t="s">
        <v>22</v>
      </c>
      <c r="C1385" s="21">
        <v>20</v>
      </c>
      <c r="D1385" s="21">
        <v>160</v>
      </c>
      <c r="E1385" s="21">
        <v>8</v>
      </c>
      <c r="F1385" s="21"/>
    </row>
    <row r="1386" spans="1:6" x14ac:dyDescent="0.25">
      <c r="A1386" s="21" t="s">
        <v>1452</v>
      </c>
      <c r="B1386" s="21" t="s">
        <v>22</v>
      </c>
      <c r="C1386" s="21">
        <v>0</v>
      </c>
      <c r="D1386" s="52">
        <v>0</v>
      </c>
      <c r="E1386" s="21"/>
      <c r="F1386" s="21"/>
    </row>
    <row r="1387" spans="1:6" x14ac:dyDescent="0.25">
      <c r="A1387" s="21" t="s">
        <v>1453</v>
      </c>
      <c r="B1387" s="21" t="s">
        <v>454</v>
      </c>
      <c r="C1387" s="21">
        <v>4</v>
      </c>
      <c r="D1387" s="21">
        <v>40</v>
      </c>
      <c r="E1387" s="21">
        <v>10</v>
      </c>
      <c r="F1387" s="21"/>
    </row>
    <row r="1388" spans="1:6" x14ac:dyDescent="0.25">
      <c r="A1388" s="21" t="s">
        <v>1454</v>
      </c>
      <c r="B1388" s="21" t="s">
        <v>454</v>
      </c>
      <c r="C1388" s="21">
        <v>25</v>
      </c>
      <c r="D1388" s="21">
        <v>100</v>
      </c>
      <c r="E1388" s="21">
        <v>4</v>
      </c>
      <c r="F1388" s="21"/>
    </row>
    <row r="1389" spans="1:6" x14ac:dyDescent="0.25">
      <c r="A1389" s="21" t="s">
        <v>1455</v>
      </c>
      <c r="B1389" s="21" t="s">
        <v>22</v>
      </c>
      <c r="C1389" s="21">
        <v>40</v>
      </c>
      <c r="D1389" s="21">
        <v>240</v>
      </c>
      <c r="E1389" s="21">
        <v>6</v>
      </c>
      <c r="F1389" s="21"/>
    </row>
    <row r="1390" spans="1:6" x14ac:dyDescent="0.25">
      <c r="A1390" s="21" t="s">
        <v>1456</v>
      </c>
      <c r="B1390" s="21" t="s">
        <v>22</v>
      </c>
      <c r="C1390" s="21">
        <v>40</v>
      </c>
      <c r="D1390" s="21">
        <v>240</v>
      </c>
      <c r="E1390" s="21">
        <v>6</v>
      </c>
      <c r="F1390" s="21"/>
    </row>
    <row r="1391" spans="1:6" x14ac:dyDescent="0.25">
      <c r="A1391" s="21" t="s">
        <v>1457</v>
      </c>
      <c r="B1391" s="21" t="s">
        <v>22</v>
      </c>
      <c r="C1391" s="21">
        <v>100</v>
      </c>
      <c r="D1391" s="21">
        <v>3000</v>
      </c>
      <c r="E1391" s="21">
        <v>30</v>
      </c>
      <c r="F1391" s="21"/>
    </row>
    <row r="1392" spans="1:6" x14ac:dyDescent="0.25">
      <c r="A1392" s="21" t="s">
        <v>1458</v>
      </c>
      <c r="B1392" s="21" t="s">
        <v>22</v>
      </c>
      <c r="C1392" s="21">
        <v>50</v>
      </c>
      <c r="D1392" s="21">
        <v>1800</v>
      </c>
      <c r="E1392" s="21">
        <v>36</v>
      </c>
      <c r="F1392" s="21"/>
    </row>
    <row r="1393" spans="1:6" x14ac:dyDescent="0.25">
      <c r="A1393" s="21" t="s">
        <v>1459</v>
      </c>
      <c r="B1393" s="21" t="s">
        <v>22</v>
      </c>
      <c r="C1393" s="21">
        <v>50</v>
      </c>
      <c r="D1393" s="21">
        <v>1800</v>
      </c>
      <c r="E1393" s="21">
        <v>36</v>
      </c>
      <c r="F1393" s="21"/>
    </row>
    <row r="1394" spans="1:6" x14ac:dyDescent="0.25">
      <c r="A1394" s="21" t="s">
        <v>1460</v>
      </c>
      <c r="B1394" s="21" t="s">
        <v>22</v>
      </c>
      <c r="C1394" s="21">
        <v>50</v>
      </c>
      <c r="D1394" s="21">
        <v>1800</v>
      </c>
      <c r="E1394" s="21">
        <v>36</v>
      </c>
      <c r="F1394" s="21"/>
    </row>
    <row r="1395" spans="1:6" x14ac:dyDescent="0.25">
      <c r="A1395" s="21" t="s">
        <v>1461</v>
      </c>
      <c r="B1395" s="21" t="s">
        <v>22</v>
      </c>
      <c r="C1395" s="21">
        <v>25</v>
      </c>
      <c r="D1395" s="21">
        <v>875</v>
      </c>
      <c r="E1395" s="21">
        <v>35</v>
      </c>
      <c r="F1395" s="21"/>
    </row>
    <row r="1396" spans="1:6" x14ac:dyDescent="0.25">
      <c r="A1396" s="21" t="s">
        <v>1462</v>
      </c>
      <c r="B1396" s="21" t="s">
        <v>22</v>
      </c>
      <c r="C1396" s="21">
        <v>25</v>
      </c>
      <c r="D1396" s="21">
        <v>875</v>
      </c>
      <c r="E1396" s="21">
        <v>35</v>
      </c>
      <c r="F1396" s="21"/>
    </row>
    <row r="1397" spans="1:6" x14ac:dyDescent="0.25">
      <c r="A1397" s="21" t="s">
        <v>1463</v>
      </c>
      <c r="B1397" s="21" t="s">
        <v>22</v>
      </c>
      <c r="C1397" s="21">
        <v>25</v>
      </c>
      <c r="D1397" s="21">
        <v>875</v>
      </c>
      <c r="E1397" s="21">
        <v>35</v>
      </c>
      <c r="F1397" s="21"/>
    </row>
    <row r="1398" spans="1:6" x14ac:dyDescent="0.25">
      <c r="A1398" s="21" t="s">
        <v>1464</v>
      </c>
      <c r="B1398" s="21" t="s">
        <v>22</v>
      </c>
      <c r="C1398" s="21">
        <v>25</v>
      </c>
      <c r="D1398" s="21">
        <v>875</v>
      </c>
      <c r="E1398" s="21">
        <v>35</v>
      </c>
      <c r="F1398" s="21"/>
    </row>
    <row r="1399" spans="1:6" x14ac:dyDescent="0.25">
      <c r="A1399" s="21" t="s">
        <v>1465</v>
      </c>
      <c r="B1399" s="21" t="s">
        <v>22</v>
      </c>
      <c r="C1399" s="21">
        <v>25</v>
      </c>
      <c r="D1399" s="21">
        <v>875</v>
      </c>
      <c r="E1399" s="21">
        <v>35</v>
      </c>
      <c r="F1399" s="21"/>
    </row>
    <row r="1400" spans="1:6" x14ac:dyDescent="0.25">
      <c r="A1400" s="21" t="s">
        <v>1466</v>
      </c>
      <c r="B1400" s="21" t="s">
        <v>22</v>
      </c>
      <c r="C1400" s="21">
        <v>25</v>
      </c>
      <c r="D1400" s="21">
        <v>875</v>
      </c>
      <c r="E1400" s="21">
        <v>35</v>
      </c>
      <c r="F1400" s="21"/>
    </row>
    <row r="1401" spans="1:6" x14ac:dyDescent="0.25">
      <c r="A1401" s="21" t="s">
        <v>1467</v>
      </c>
      <c r="B1401" s="21" t="s">
        <v>22</v>
      </c>
      <c r="C1401" s="21">
        <v>25</v>
      </c>
      <c r="D1401" s="21">
        <v>875</v>
      </c>
      <c r="E1401" s="21">
        <v>35</v>
      </c>
      <c r="F1401" s="21"/>
    </row>
    <row r="1402" spans="1:6" x14ac:dyDescent="0.25">
      <c r="A1402" s="21" t="s">
        <v>1468</v>
      </c>
      <c r="B1402" s="21" t="s">
        <v>22</v>
      </c>
      <c r="C1402" s="21">
        <v>25</v>
      </c>
      <c r="D1402" s="21">
        <v>875</v>
      </c>
      <c r="E1402" s="21">
        <v>35</v>
      </c>
      <c r="F1402" s="21"/>
    </row>
    <row r="1403" spans="1:6" x14ac:dyDescent="0.25">
      <c r="A1403" s="21" t="s">
        <v>1469</v>
      </c>
      <c r="B1403" s="21" t="s">
        <v>22</v>
      </c>
      <c r="C1403" s="21">
        <v>25</v>
      </c>
      <c r="D1403" s="21">
        <v>875</v>
      </c>
      <c r="E1403" s="21">
        <v>35</v>
      </c>
      <c r="F1403" s="21"/>
    </row>
    <row r="1404" spans="1:6" x14ac:dyDescent="0.25">
      <c r="A1404" s="21" t="s">
        <v>1470</v>
      </c>
      <c r="B1404" s="21" t="s">
        <v>22</v>
      </c>
      <c r="C1404" s="21">
        <v>25</v>
      </c>
      <c r="D1404" s="21">
        <v>875</v>
      </c>
      <c r="E1404" s="21">
        <v>35</v>
      </c>
      <c r="F1404" s="21"/>
    </row>
    <row r="1405" spans="1:6" x14ac:dyDescent="0.25">
      <c r="A1405" s="21" t="s">
        <v>1471</v>
      </c>
      <c r="B1405" s="21" t="s">
        <v>22</v>
      </c>
      <c r="C1405" s="21">
        <v>25</v>
      </c>
      <c r="D1405" s="21">
        <v>1050</v>
      </c>
      <c r="E1405" s="21">
        <v>42</v>
      </c>
      <c r="F1405" s="21"/>
    </row>
    <row r="1406" spans="1:6" x14ac:dyDescent="0.25">
      <c r="A1406" s="21" t="s">
        <v>1472</v>
      </c>
      <c r="B1406" s="21" t="s">
        <v>22</v>
      </c>
      <c r="C1406" s="21">
        <v>25</v>
      </c>
      <c r="D1406" s="21">
        <v>1050</v>
      </c>
      <c r="E1406" s="21">
        <v>42</v>
      </c>
      <c r="F1406" s="21"/>
    </row>
    <row r="1407" spans="1:6" x14ac:dyDescent="0.25">
      <c r="A1407" s="21" t="s">
        <v>1473</v>
      </c>
      <c r="B1407" s="21" t="s">
        <v>22</v>
      </c>
      <c r="C1407" s="21">
        <v>25</v>
      </c>
      <c r="D1407" s="21">
        <v>875</v>
      </c>
      <c r="E1407" s="21">
        <v>35</v>
      </c>
      <c r="F1407" s="21"/>
    </row>
    <row r="1408" spans="1:6" x14ac:dyDescent="0.25">
      <c r="A1408" s="21" t="s">
        <v>1474</v>
      </c>
      <c r="B1408" s="21" t="s">
        <v>22</v>
      </c>
      <c r="C1408" s="21">
        <v>25</v>
      </c>
      <c r="D1408" s="21">
        <v>875</v>
      </c>
      <c r="E1408" s="21">
        <v>35</v>
      </c>
      <c r="F1408" s="21"/>
    </row>
    <row r="1409" spans="1:6" x14ac:dyDescent="0.25">
      <c r="A1409" s="21" t="s">
        <v>1475</v>
      </c>
      <c r="B1409" s="21" t="s">
        <v>22</v>
      </c>
      <c r="C1409" s="21">
        <v>25</v>
      </c>
      <c r="D1409" s="21">
        <v>875</v>
      </c>
      <c r="E1409" s="21">
        <v>35</v>
      </c>
      <c r="F1409" s="21"/>
    </row>
    <row r="1410" spans="1:6" x14ac:dyDescent="0.25">
      <c r="A1410" s="21" t="s">
        <v>1476</v>
      </c>
      <c r="B1410" s="21" t="s">
        <v>22</v>
      </c>
      <c r="C1410" s="21">
        <v>25</v>
      </c>
      <c r="D1410" s="21">
        <v>875</v>
      </c>
      <c r="E1410" s="21">
        <v>35</v>
      </c>
      <c r="F1410" s="21"/>
    </row>
    <row r="1411" spans="1:6" x14ac:dyDescent="0.25">
      <c r="A1411" s="21" t="s">
        <v>1477</v>
      </c>
      <c r="B1411" s="21" t="s">
        <v>22</v>
      </c>
      <c r="C1411" s="21">
        <v>25</v>
      </c>
      <c r="D1411" s="21">
        <v>875</v>
      </c>
      <c r="E1411" s="21">
        <v>35</v>
      </c>
      <c r="F1411" s="21"/>
    </row>
    <row r="1412" spans="1:6" x14ac:dyDescent="0.25">
      <c r="A1412" s="21" t="s">
        <v>1478</v>
      </c>
      <c r="B1412" s="21" t="s">
        <v>22</v>
      </c>
      <c r="C1412" s="21">
        <v>25</v>
      </c>
      <c r="D1412" s="21">
        <v>1050</v>
      </c>
      <c r="E1412" s="21">
        <v>42</v>
      </c>
      <c r="F1412" s="21"/>
    </row>
    <row r="1413" spans="1:6" x14ac:dyDescent="0.25">
      <c r="A1413" s="21" t="s">
        <v>1479</v>
      </c>
      <c r="B1413" s="21" t="s">
        <v>22</v>
      </c>
      <c r="C1413" s="21">
        <v>25</v>
      </c>
      <c r="D1413" s="21">
        <v>1050</v>
      </c>
      <c r="E1413" s="21">
        <v>42</v>
      </c>
      <c r="F1413" s="21"/>
    </row>
    <row r="1414" spans="1:6" x14ac:dyDescent="0.25">
      <c r="A1414" s="21" t="s">
        <v>1480</v>
      </c>
      <c r="B1414" s="21" t="s">
        <v>22</v>
      </c>
      <c r="C1414" s="21">
        <v>25</v>
      </c>
      <c r="D1414" s="21">
        <v>1050</v>
      </c>
      <c r="E1414" s="21">
        <v>42</v>
      </c>
      <c r="F1414" s="21"/>
    </row>
    <row r="1415" spans="1:6" x14ac:dyDescent="0.25">
      <c r="A1415" s="21" t="s">
        <v>1481</v>
      </c>
      <c r="B1415" s="21" t="s">
        <v>22</v>
      </c>
      <c r="C1415" s="21">
        <v>25</v>
      </c>
      <c r="D1415" s="21">
        <v>1050</v>
      </c>
      <c r="E1415" s="21">
        <v>42</v>
      </c>
      <c r="F1415" s="21"/>
    </row>
    <row r="1416" spans="1:6" x14ac:dyDescent="0.25">
      <c r="A1416" s="21" t="s">
        <v>1482</v>
      </c>
      <c r="B1416" s="21" t="s">
        <v>22</v>
      </c>
      <c r="C1416" s="21">
        <v>25</v>
      </c>
      <c r="D1416" s="21">
        <v>1050</v>
      </c>
      <c r="E1416" s="21">
        <v>42</v>
      </c>
      <c r="F1416" s="21"/>
    </row>
    <row r="1417" spans="1:6" x14ac:dyDescent="0.25">
      <c r="A1417" s="21" t="s">
        <v>1483</v>
      </c>
      <c r="B1417" s="21" t="s">
        <v>22</v>
      </c>
      <c r="C1417" s="21">
        <v>1</v>
      </c>
      <c r="D1417" s="21">
        <v>63</v>
      </c>
      <c r="E1417" s="21">
        <v>63</v>
      </c>
      <c r="F1417" s="21"/>
    </row>
    <row r="1418" spans="1:6" x14ac:dyDescent="0.25">
      <c r="A1418" s="21" t="s">
        <v>1484</v>
      </c>
      <c r="B1418" s="21" t="s">
        <v>22</v>
      </c>
      <c r="C1418" s="21">
        <v>1</v>
      </c>
      <c r="D1418" s="21">
        <v>108</v>
      </c>
      <c r="E1418" s="21">
        <v>108</v>
      </c>
      <c r="F1418" s="21"/>
    </row>
    <row r="1419" spans="1:6" x14ac:dyDescent="0.25">
      <c r="A1419" s="21" t="s">
        <v>1485</v>
      </c>
      <c r="B1419" s="21" t="s">
        <v>22</v>
      </c>
      <c r="C1419" s="21">
        <v>1</v>
      </c>
      <c r="D1419" s="21">
        <v>40</v>
      </c>
      <c r="E1419" s="21">
        <v>40</v>
      </c>
      <c r="F1419" s="21"/>
    </row>
    <row r="1420" spans="1:6" x14ac:dyDescent="0.25">
      <c r="A1420" s="21" t="s">
        <v>1486</v>
      </c>
      <c r="B1420" s="21" t="s">
        <v>22</v>
      </c>
      <c r="C1420" s="21">
        <v>1</v>
      </c>
      <c r="D1420" s="21">
        <v>81</v>
      </c>
      <c r="E1420" s="21">
        <v>81</v>
      </c>
      <c r="F1420" s="21"/>
    </row>
    <row r="1421" spans="1:6" x14ac:dyDescent="0.25">
      <c r="A1421" s="21" t="s">
        <v>1487</v>
      </c>
      <c r="B1421" s="21" t="s">
        <v>22</v>
      </c>
      <c r="C1421" s="21">
        <v>1</v>
      </c>
      <c r="D1421" s="21">
        <v>54</v>
      </c>
      <c r="E1421" s="21">
        <v>54</v>
      </c>
      <c r="F1421" s="21"/>
    </row>
    <row r="1422" spans="1:6" x14ac:dyDescent="0.25">
      <c r="A1422" s="21" t="s">
        <v>1488</v>
      </c>
      <c r="B1422" s="21" t="s">
        <v>22</v>
      </c>
      <c r="C1422" s="21">
        <v>1</v>
      </c>
      <c r="D1422" s="21">
        <v>81</v>
      </c>
      <c r="E1422" s="21">
        <v>81</v>
      </c>
      <c r="F1422" s="21"/>
    </row>
    <row r="1423" spans="1:6" x14ac:dyDescent="0.25">
      <c r="A1423" s="21" t="s">
        <v>1489</v>
      </c>
      <c r="B1423" s="21" t="s">
        <v>22</v>
      </c>
      <c r="C1423" s="21">
        <v>1</v>
      </c>
      <c r="D1423" s="21">
        <v>84</v>
      </c>
      <c r="E1423" s="21">
        <v>84</v>
      </c>
      <c r="F1423" s="21"/>
    </row>
    <row r="1424" spans="1:6" x14ac:dyDescent="0.25">
      <c r="A1424" s="21" t="s">
        <v>1490</v>
      </c>
      <c r="B1424" s="21" t="s">
        <v>22</v>
      </c>
      <c r="C1424" s="21">
        <v>1</v>
      </c>
      <c r="D1424" s="21">
        <v>60</v>
      </c>
      <c r="E1424" s="21">
        <v>60</v>
      </c>
      <c r="F1424" s="21"/>
    </row>
    <row r="1425" spans="1:6" x14ac:dyDescent="0.25">
      <c r="A1425" s="21" t="s">
        <v>1491</v>
      </c>
      <c r="B1425" s="21" t="s">
        <v>22</v>
      </c>
      <c r="C1425" s="21">
        <v>1</v>
      </c>
      <c r="D1425" s="21">
        <v>60</v>
      </c>
      <c r="E1425" s="21">
        <v>60</v>
      </c>
      <c r="F1425" s="21"/>
    </row>
    <row r="1426" spans="1:6" x14ac:dyDescent="0.25">
      <c r="A1426" s="21" t="s">
        <v>1492</v>
      </c>
      <c r="B1426" s="21" t="s">
        <v>22</v>
      </c>
      <c r="C1426" s="21">
        <v>1</v>
      </c>
      <c r="D1426" s="21">
        <v>30</v>
      </c>
      <c r="E1426" s="21">
        <v>30</v>
      </c>
      <c r="F1426" s="21"/>
    </row>
    <row r="1427" spans="1:6" x14ac:dyDescent="0.25">
      <c r="A1427" s="21" t="s">
        <v>1493</v>
      </c>
      <c r="B1427" s="21" t="s">
        <v>22</v>
      </c>
      <c r="C1427" s="21">
        <v>1</v>
      </c>
      <c r="D1427" s="21">
        <v>81</v>
      </c>
      <c r="E1427" s="21">
        <v>81</v>
      </c>
      <c r="F1427" s="21"/>
    </row>
    <row r="1428" spans="1:6" x14ac:dyDescent="0.25">
      <c r="A1428" s="21" t="s">
        <v>1494</v>
      </c>
      <c r="B1428" s="21" t="s">
        <v>22</v>
      </c>
      <c r="C1428" s="21">
        <v>0</v>
      </c>
      <c r="D1428" s="52">
        <v>0</v>
      </c>
      <c r="E1428" s="21"/>
      <c r="F1428" s="21"/>
    </row>
    <row r="1429" spans="1:6" x14ac:dyDescent="0.25">
      <c r="A1429" s="21" t="s">
        <v>1495</v>
      </c>
      <c r="B1429" s="21" t="s">
        <v>22</v>
      </c>
      <c r="C1429" s="21">
        <v>1</v>
      </c>
      <c r="D1429" s="21">
        <v>40</v>
      </c>
      <c r="E1429" s="21">
        <v>40</v>
      </c>
      <c r="F1429" s="21"/>
    </row>
    <row r="1430" spans="1:6" x14ac:dyDescent="0.25">
      <c r="A1430" s="21" t="s">
        <v>1496</v>
      </c>
      <c r="B1430" s="21" t="s">
        <v>22</v>
      </c>
      <c r="C1430" s="21">
        <v>0</v>
      </c>
      <c r="D1430" s="52">
        <v>0</v>
      </c>
      <c r="E1430" s="21"/>
      <c r="F1430" s="21"/>
    </row>
    <row r="1431" spans="1:6" x14ac:dyDescent="0.25">
      <c r="A1431" s="21" t="s">
        <v>1497</v>
      </c>
      <c r="B1431" s="21" t="s">
        <v>22</v>
      </c>
      <c r="C1431" s="21">
        <v>1</v>
      </c>
      <c r="D1431" s="21">
        <v>36</v>
      </c>
      <c r="E1431" s="21">
        <v>36</v>
      </c>
      <c r="F1431" s="21"/>
    </row>
    <row r="1432" spans="1:6" x14ac:dyDescent="0.25">
      <c r="A1432" s="21" t="s">
        <v>1498</v>
      </c>
      <c r="B1432" s="21" t="s">
        <v>22</v>
      </c>
      <c r="C1432" s="21">
        <v>1</v>
      </c>
      <c r="D1432" s="52">
        <v>0</v>
      </c>
      <c r="E1432" s="21"/>
      <c r="F1432" s="21"/>
    </row>
    <row r="1433" spans="1:6" x14ac:dyDescent="0.25">
      <c r="A1433" s="21" t="s">
        <v>1499</v>
      </c>
      <c r="B1433" s="21" t="s">
        <v>22</v>
      </c>
      <c r="C1433" s="21">
        <v>1</v>
      </c>
      <c r="D1433" s="21">
        <v>45</v>
      </c>
      <c r="E1433" s="21">
        <v>45</v>
      </c>
      <c r="F1433" s="21"/>
    </row>
    <row r="1434" spans="1:6" x14ac:dyDescent="0.25">
      <c r="A1434" s="21" t="s">
        <v>1500</v>
      </c>
      <c r="B1434" s="21" t="s">
        <v>22</v>
      </c>
      <c r="C1434" s="21">
        <v>0</v>
      </c>
      <c r="D1434" s="52">
        <v>0</v>
      </c>
      <c r="E1434" s="21"/>
      <c r="F1434" s="21"/>
    </row>
    <row r="1435" spans="1:6" x14ac:dyDescent="0.25">
      <c r="A1435" s="21" t="s">
        <v>1501</v>
      </c>
      <c r="B1435" s="21" t="s">
        <v>22</v>
      </c>
      <c r="C1435" s="21">
        <v>1</v>
      </c>
      <c r="D1435" s="21">
        <v>24</v>
      </c>
      <c r="E1435" s="21">
        <v>24</v>
      </c>
      <c r="F1435" s="21"/>
    </row>
    <row r="1436" spans="1:6" x14ac:dyDescent="0.25">
      <c r="A1436" s="21" t="s">
        <v>1502</v>
      </c>
      <c r="B1436" s="21" t="s">
        <v>22</v>
      </c>
      <c r="C1436" s="21">
        <v>4</v>
      </c>
      <c r="D1436" s="21">
        <v>96</v>
      </c>
      <c r="E1436" s="21">
        <v>24</v>
      </c>
      <c r="F1436" s="21"/>
    </row>
    <row r="1437" spans="1:6" x14ac:dyDescent="0.25">
      <c r="A1437" s="21" t="s">
        <v>1503</v>
      </c>
      <c r="B1437" s="21" t="s">
        <v>22</v>
      </c>
      <c r="C1437" s="21">
        <v>4</v>
      </c>
      <c r="D1437" s="21">
        <v>96</v>
      </c>
      <c r="E1437" s="21">
        <v>24</v>
      </c>
      <c r="F1437" s="21"/>
    </row>
    <row r="1438" spans="1:6" x14ac:dyDescent="0.25">
      <c r="A1438" s="21" t="s">
        <v>1504</v>
      </c>
      <c r="B1438" s="21" t="s">
        <v>22</v>
      </c>
      <c r="C1438" s="21">
        <v>2</v>
      </c>
      <c r="D1438" s="21">
        <v>48</v>
      </c>
      <c r="E1438" s="21">
        <v>24</v>
      </c>
      <c r="F1438" s="21"/>
    </row>
    <row r="1439" spans="1:6" x14ac:dyDescent="0.25">
      <c r="A1439" s="21" t="s">
        <v>1505</v>
      </c>
      <c r="B1439" s="21" t="s">
        <v>22</v>
      </c>
      <c r="C1439" s="21">
        <v>2</v>
      </c>
      <c r="D1439" s="21">
        <v>36</v>
      </c>
      <c r="E1439" s="21">
        <v>18</v>
      </c>
      <c r="F1439" s="21"/>
    </row>
    <row r="1440" spans="1:6" x14ac:dyDescent="0.25">
      <c r="A1440" s="21" t="s">
        <v>3174</v>
      </c>
      <c r="B1440" s="21" t="s">
        <v>22</v>
      </c>
      <c r="C1440" s="21">
        <v>2</v>
      </c>
      <c r="D1440" s="21">
        <v>56</v>
      </c>
      <c r="E1440" s="21">
        <v>28</v>
      </c>
      <c r="F1440" s="21"/>
    </row>
    <row r="1441" spans="1:6" x14ac:dyDescent="0.25">
      <c r="A1441" s="21" t="s">
        <v>1506</v>
      </c>
      <c r="B1441" s="21" t="s">
        <v>22</v>
      </c>
      <c r="C1441" s="21">
        <v>2</v>
      </c>
      <c r="D1441" s="21">
        <v>56</v>
      </c>
      <c r="E1441" s="21">
        <v>28</v>
      </c>
      <c r="F1441" s="21"/>
    </row>
    <row r="1442" spans="1:6" x14ac:dyDescent="0.25">
      <c r="A1442" s="21" t="s">
        <v>1507</v>
      </c>
      <c r="B1442" s="21" t="s">
        <v>22</v>
      </c>
      <c r="C1442" s="21">
        <v>4</v>
      </c>
      <c r="D1442" s="21">
        <v>180</v>
      </c>
      <c r="E1442" s="21">
        <v>45</v>
      </c>
      <c r="F1442" s="21"/>
    </row>
    <row r="1443" spans="1:6" x14ac:dyDescent="0.25">
      <c r="A1443" s="21" t="s">
        <v>1508</v>
      </c>
      <c r="B1443" s="21" t="s">
        <v>22</v>
      </c>
      <c r="C1443" s="21">
        <v>4</v>
      </c>
      <c r="D1443" s="21">
        <v>120</v>
      </c>
      <c r="E1443" s="21">
        <v>30</v>
      </c>
      <c r="F1443" s="21"/>
    </row>
    <row r="1444" spans="1:6" x14ac:dyDescent="0.25">
      <c r="A1444" s="21" t="s">
        <v>1509</v>
      </c>
      <c r="B1444" s="21" t="s">
        <v>454</v>
      </c>
      <c r="C1444" s="21">
        <v>0</v>
      </c>
      <c r="D1444" s="52">
        <v>0</v>
      </c>
      <c r="E1444" s="21"/>
      <c r="F1444" s="21"/>
    </row>
    <row r="1445" spans="1:6" x14ac:dyDescent="0.25">
      <c r="A1445" s="21" t="s">
        <v>1510</v>
      </c>
      <c r="B1445" s="21" t="s">
        <v>454</v>
      </c>
      <c r="C1445" s="21">
        <v>0</v>
      </c>
      <c r="D1445" s="52">
        <v>0</v>
      </c>
      <c r="E1445" s="21"/>
      <c r="F1445" s="21"/>
    </row>
    <row r="1446" spans="1:6" x14ac:dyDescent="0.25">
      <c r="A1446" s="21" t="s">
        <v>1511</v>
      </c>
      <c r="B1446" s="21" t="s">
        <v>22</v>
      </c>
      <c r="C1446" s="21">
        <v>0</v>
      </c>
      <c r="D1446" s="52">
        <v>0</v>
      </c>
      <c r="E1446" s="21"/>
      <c r="F1446" s="21"/>
    </row>
    <row r="1447" spans="1:6" x14ac:dyDescent="0.25">
      <c r="A1447" s="21" t="s">
        <v>1512</v>
      </c>
      <c r="B1447" s="21" t="s">
        <v>22</v>
      </c>
      <c r="C1447" s="21">
        <v>0</v>
      </c>
      <c r="D1447" s="52">
        <v>0</v>
      </c>
      <c r="E1447" s="21"/>
      <c r="F1447" s="21"/>
    </row>
    <row r="1448" spans="1:6" x14ac:dyDescent="0.25">
      <c r="A1448" s="21" t="s">
        <v>1513</v>
      </c>
      <c r="B1448" s="21" t="s">
        <v>22</v>
      </c>
      <c r="C1448" s="21">
        <v>1</v>
      </c>
      <c r="D1448" s="21">
        <v>1</v>
      </c>
      <c r="E1448" s="21">
        <v>1</v>
      </c>
      <c r="F1448" s="21"/>
    </row>
    <row r="1449" spans="1:6" x14ac:dyDescent="0.25">
      <c r="A1449" s="21" t="s">
        <v>1514</v>
      </c>
      <c r="B1449" s="21" t="s">
        <v>22</v>
      </c>
      <c r="C1449" s="21">
        <v>9</v>
      </c>
      <c r="D1449" s="21">
        <v>225</v>
      </c>
      <c r="E1449" s="21">
        <v>25</v>
      </c>
      <c r="F1449" s="21"/>
    </row>
    <row r="1450" spans="1:6" x14ac:dyDescent="0.25">
      <c r="A1450" s="21" t="s">
        <v>1515</v>
      </c>
      <c r="B1450" s="21" t="s">
        <v>22</v>
      </c>
      <c r="C1450" s="21">
        <v>100</v>
      </c>
      <c r="D1450" s="21">
        <v>16000</v>
      </c>
      <c r="E1450" s="21">
        <v>160</v>
      </c>
      <c r="F1450" s="21"/>
    </row>
    <row r="1451" spans="1:6" x14ac:dyDescent="0.25">
      <c r="A1451" s="21" t="s">
        <v>1516</v>
      </c>
      <c r="B1451" s="21" t="s">
        <v>22</v>
      </c>
      <c r="C1451" s="21">
        <v>100</v>
      </c>
      <c r="D1451" s="21">
        <v>16000</v>
      </c>
      <c r="E1451" s="21">
        <v>160</v>
      </c>
      <c r="F1451" s="21"/>
    </row>
    <row r="1452" spans="1:6" x14ac:dyDescent="0.25">
      <c r="A1452" s="21" t="s">
        <v>1517</v>
      </c>
      <c r="B1452" s="21" t="s">
        <v>22</v>
      </c>
      <c r="C1452" s="21">
        <v>0</v>
      </c>
      <c r="D1452" s="52">
        <v>0</v>
      </c>
      <c r="E1452" s="21"/>
      <c r="F1452" s="21"/>
    </row>
    <row r="1453" spans="1:6" x14ac:dyDescent="0.25">
      <c r="A1453" s="21" t="s">
        <v>1518</v>
      </c>
      <c r="B1453" s="21" t="s">
        <v>22</v>
      </c>
      <c r="C1453" s="21">
        <v>50</v>
      </c>
      <c r="D1453" s="21">
        <v>1500</v>
      </c>
      <c r="E1453" s="21">
        <v>30</v>
      </c>
      <c r="F1453" s="21"/>
    </row>
    <row r="1454" spans="1:6" x14ac:dyDescent="0.25">
      <c r="A1454" s="21" t="s">
        <v>1519</v>
      </c>
      <c r="B1454" s="21" t="s">
        <v>22</v>
      </c>
      <c r="C1454" s="21">
        <v>50</v>
      </c>
      <c r="D1454" s="21">
        <v>2400</v>
      </c>
      <c r="E1454" s="21">
        <v>48</v>
      </c>
      <c r="F1454" s="21"/>
    </row>
    <row r="1455" spans="1:6" x14ac:dyDescent="0.25">
      <c r="A1455" s="21" t="s">
        <v>1520</v>
      </c>
      <c r="B1455" s="21" t="s">
        <v>22</v>
      </c>
      <c r="C1455" s="21">
        <v>50</v>
      </c>
      <c r="D1455" s="21">
        <v>2100</v>
      </c>
      <c r="E1455" s="21">
        <v>42</v>
      </c>
      <c r="F1455" s="21"/>
    </row>
    <row r="1456" spans="1:6" x14ac:dyDescent="0.25">
      <c r="A1456" s="21" t="s">
        <v>1521</v>
      </c>
      <c r="B1456" s="21" t="s">
        <v>22</v>
      </c>
      <c r="C1456" s="21">
        <v>100</v>
      </c>
      <c r="D1456" s="21">
        <v>1800</v>
      </c>
      <c r="E1456" s="21">
        <v>18</v>
      </c>
      <c r="F1456" s="21"/>
    </row>
    <row r="1457" spans="1:6" x14ac:dyDescent="0.25">
      <c r="A1457" s="21" t="s">
        <v>1522</v>
      </c>
      <c r="B1457" s="21" t="s">
        <v>22</v>
      </c>
      <c r="C1457" s="21">
        <v>100</v>
      </c>
      <c r="D1457" s="21">
        <v>2400</v>
      </c>
      <c r="E1457" s="21">
        <v>24</v>
      </c>
      <c r="F1457" s="21"/>
    </row>
    <row r="1458" spans="1:6" x14ac:dyDescent="0.25">
      <c r="A1458" s="21" t="s">
        <v>1523</v>
      </c>
      <c r="B1458" s="21" t="s">
        <v>22</v>
      </c>
      <c r="C1458" s="21">
        <v>50</v>
      </c>
      <c r="D1458" s="21">
        <v>1800</v>
      </c>
      <c r="E1458" s="21">
        <v>36</v>
      </c>
      <c r="F1458" s="21"/>
    </row>
    <row r="1459" spans="1:6" x14ac:dyDescent="0.25">
      <c r="A1459" s="21" t="s">
        <v>1524</v>
      </c>
      <c r="B1459" s="21" t="s">
        <v>22</v>
      </c>
      <c r="C1459" s="21">
        <v>0</v>
      </c>
      <c r="D1459" s="52">
        <v>0</v>
      </c>
      <c r="E1459" s="21"/>
      <c r="F1459" s="21"/>
    </row>
    <row r="1460" spans="1:6" x14ac:dyDescent="0.25">
      <c r="A1460" s="21" t="s">
        <v>1525</v>
      </c>
      <c r="B1460" s="21" t="s">
        <v>22</v>
      </c>
      <c r="C1460" s="21">
        <v>0</v>
      </c>
      <c r="D1460" s="52">
        <v>0</v>
      </c>
      <c r="E1460" s="21"/>
      <c r="F1460" s="21"/>
    </row>
    <row r="1461" spans="1:6" x14ac:dyDescent="0.25">
      <c r="A1461" s="21" t="s">
        <v>1526</v>
      </c>
      <c r="B1461" s="21" t="s">
        <v>22</v>
      </c>
      <c r="C1461" s="21">
        <v>0</v>
      </c>
      <c r="D1461" s="52">
        <v>0</v>
      </c>
      <c r="E1461" s="21"/>
      <c r="F1461" s="21"/>
    </row>
    <row r="1462" spans="1:6" x14ac:dyDescent="0.25">
      <c r="A1462" s="21" t="s">
        <v>1527</v>
      </c>
      <c r="B1462" s="21" t="s">
        <v>22</v>
      </c>
      <c r="C1462" s="21">
        <v>0</v>
      </c>
      <c r="D1462" s="52">
        <v>0</v>
      </c>
      <c r="E1462" s="21"/>
      <c r="F1462" s="21"/>
    </row>
    <row r="1463" spans="1:6" x14ac:dyDescent="0.25">
      <c r="A1463" s="21" t="s">
        <v>1528</v>
      </c>
      <c r="B1463" s="21" t="s">
        <v>22</v>
      </c>
      <c r="C1463" s="21">
        <v>2000</v>
      </c>
      <c r="D1463" s="21">
        <v>60000</v>
      </c>
      <c r="E1463" s="21">
        <v>30</v>
      </c>
      <c r="F1463" s="21"/>
    </row>
    <row r="1464" spans="1:6" x14ac:dyDescent="0.25">
      <c r="A1464" s="21" t="s">
        <v>1529</v>
      </c>
      <c r="B1464" s="21" t="s">
        <v>22</v>
      </c>
      <c r="C1464" s="21">
        <v>2000</v>
      </c>
      <c r="D1464" s="21">
        <v>108000</v>
      </c>
      <c r="E1464" s="21">
        <v>54</v>
      </c>
      <c r="F1464" s="21"/>
    </row>
    <row r="1465" spans="1:6" x14ac:dyDescent="0.25">
      <c r="A1465" s="21" t="s">
        <v>1530</v>
      </c>
      <c r="B1465" s="21" t="s">
        <v>22</v>
      </c>
      <c r="C1465" s="21">
        <v>2000</v>
      </c>
      <c r="D1465" s="21">
        <v>60000</v>
      </c>
      <c r="E1465" s="21">
        <v>30</v>
      </c>
      <c r="F1465" s="21"/>
    </row>
    <row r="1466" spans="1:6" x14ac:dyDescent="0.25">
      <c r="A1466" s="21" t="s">
        <v>1531</v>
      </c>
      <c r="B1466" s="21" t="s">
        <v>22</v>
      </c>
      <c r="C1466" s="21">
        <v>2000</v>
      </c>
      <c r="D1466" s="21">
        <v>108000</v>
      </c>
      <c r="E1466" s="21">
        <v>54</v>
      </c>
      <c r="F1466" s="21"/>
    </row>
    <row r="1467" spans="1:6" x14ac:dyDescent="0.25">
      <c r="A1467" s="21" t="s">
        <v>1532</v>
      </c>
      <c r="B1467" s="21" t="s">
        <v>22</v>
      </c>
      <c r="C1467" s="21">
        <v>2000</v>
      </c>
      <c r="D1467" s="21">
        <v>60000</v>
      </c>
      <c r="E1467" s="21">
        <v>30</v>
      </c>
      <c r="F1467" s="21"/>
    </row>
    <row r="1468" spans="1:6" x14ac:dyDescent="0.25">
      <c r="A1468" s="21" t="s">
        <v>1533</v>
      </c>
      <c r="B1468" s="21" t="s">
        <v>22</v>
      </c>
      <c r="C1468" s="21">
        <v>2000</v>
      </c>
      <c r="D1468" s="21">
        <v>60000</v>
      </c>
      <c r="E1468" s="21">
        <v>30</v>
      </c>
      <c r="F1468" s="21"/>
    </row>
    <row r="1469" spans="1:6" x14ac:dyDescent="0.25">
      <c r="A1469" s="21" t="s">
        <v>1534</v>
      </c>
      <c r="B1469" s="21" t="s">
        <v>22</v>
      </c>
      <c r="C1469" s="21">
        <v>1000</v>
      </c>
      <c r="D1469" s="21">
        <v>30000</v>
      </c>
      <c r="E1469" s="21">
        <v>30</v>
      </c>
      <c r="F1469" s="21"/>
    </row>
    <row r="1470" spans="1:6" x14ac:dyDescent="0.25">
      <c r="A1470" s="21" t="s">
        <v>1535</v>
      </c>
      <c r="B1470" s="21" t="s">
        <v>595</v>
      </c>
      <c r="C1470" s="21">
        <v>0</v>
      </c>
      <c r="D1470" s="52">
        <v>0</v>
      </c>
      <c r="E1470" s="21"/>
      <c r="F1470" s="21"/>
    </row>
    <row r="1471" spans="1:6" x14ac:dyDescent="0.25">
      <c r="A1471" s="21" t="s">
        <v>1536</v>
      </c>
      <c r="B1471" s="21" t="s">
        <v>22</v>
      </c>
      <c r="C1471" s="21">
        <v>0</v>
      </c>
      <c r="D1471" s="52">
        <v>0</v>
      </c>
      <c r="E1471" s="21"/>
      <c r="F1471" s="21"/>
    </row>
    <row r="1472" spans="1:6" x14ac:dyDescent="0.25">
      <c r="A1472" s="21" t="s">
        <v>1537</v>
      </c>
      <c r="B1472" s="21" t="s">
        <v>22</v>
      </c>
      <c r="C1472" s="21">
        <v>500</v>
      </c>
      <c r="D1472" s="21">
        <v>10000</v>
      </c>
      <c r="E1472" s="21">
        <v>20</v>
      </c>
      <c r="F1472" s="21"/>
    </row>
    <row r="1473" spans="1:6" x14ac:dyDescent="0.25">
      <c r="A1473" s="21" t="s">
        <v>1538</v>
      </c>
      <c r="B1473" s="21" t="s">
        <v>22</v>
      </c>
      <c r="C1473" s="21">
        <v>100</v>
      </c>
      <c r="D1473" s="21">
        <v>16000</v>
      </c>
      <c r="E1473" s="21">
        <v>160</v>
      </c>
      <c r="F1473" s="21"/>
    </row>
    <row r="1474" spans="1:6" x14ac:dyDescent="0.25">
      <c r="A1474" s="21" t="s">
        <v>1539</v>
      </c>
      <c r="B1474" s="21" t="s">
        <v>595</v>
      </c>
      <c r="C1474" s="21">
        <v>36</v>
      </c>
      <c r="D1474" s="21">
        <v>1296</v>
      </c>
      <c r="E1474" s="21">
        <v>36</v>
      </c>
      <c r="F1474" s="21"/>
    </row>
    <row r="1475" spans="1:6" x14ac:dyDescent="0.25">
      <c r="A1475" s="21" t="s">
        <v>1540</v>
      </c>
      <c r="B1475" s="21" t="s">
        <v>22</v>
      </c>
      <c r="C1475" s="21">
        <v>0</v>
      </c>
      <c r="D1475" s="52">
        <v>0</v>
      </c>
      <c r="E1475" s="21"/>
      <c r="F1475" s="21"/>
    </row>
    <row r="1476" spans="1:6" x14ac:dyDescent="0.25">
      <c r="A1476" s="21" t="s">
        <v>1541</v>
      </c>
      <c r="B1476" s="21" t="s">
        <v>22</v>
      </c>
      <c r="C1476" s="21">
        <v>100</v>
      </c>
      <c r="D1476" s="21">
        <v>16000</v>
      </c>
      <c r="E1476" s="21">
        <v>160</v>
      </c>
      <c r="F1476" s="21"/>
    </row>
    <row r="1477" spans="1:6" x14ac:dyDescent="0.25">
      <c r="A1477" s="21" t="s">
        <v>1542</v>
      </c>
      <c r="B1477" s="21" t="s">
        <v>22</v>
      </c>
      <c r="C1477" s="21">
        <v>9</v>
      </c>
      <c r="D1477" s="21">
        <v>144</v>
      </c>
      <c r="E1477" s="21">
        <v>16</v>
      </c>
      <c r="F1477" s="21"/>
    </row>
    <row r="1478" spans="1:6" x14ac:dyDescent="0.25">
      <c r="A1478" s="21" t="s">
        <v>1543</v>
      </c>
      <c r="B1478" s="21" t="s">
        <v>22</v>
      </c>
      <c r="C1478" s="21">
        <v>0</v>
      </c>
      <c r="D1478" s="52">
        <v>0</v>
      </c>
      <c r="E1478" s="21"/>
      <c r="F1478" s="21"/>
    </row>
    <row r="1479" spans="1:6" x14ac:dyDescent="0.25">
      <c r="A1479" s="21" t="s">
        <v>1544</v>
      </c>
      <c r="B1479" s="21" t="s">
        <v>22</v>
      </c>
      <c r="C1479" s="21">
        <v>0</v>
      </c>
      <c r="D1479" s="52">
        <v>0</v>
      </c>
      <c r="E1479" s="21"/>
      <c r="F1479" s="21"/>
    </row>
    <row r="1480" spans="1:6" x14ac:dyDescent="0.25">
      <c r="A1480" s="21" t="s">
        <v>1545</v>
      </c>
      <c r="B1480" s="21" t="s">
        <v>22</v>
      </c>
      <c r="C1480" s="21">
        <v>0</v>
      </c>
      <c r="D1480" s="52">
        <v>0</v>
      </c>
      <c r="E1480" s="21"/>
      <c r="F1480" s="21"/>
    </row>
    <row r="1481" spans="1:6" x14ac:dyDescent="0.25">
      <c r="A1481" s="21" t="s">
        <v>1546</v>
      </c>
      <c r="B1481" s="21" t="s">
        <v>22</v>
      </c>
      <c r="C1481" s="21">
        <v>10</v>
      </c>
      <c r="D1481" s="52">
        <v>0</v>
      </c>
      <c r="E1481" s="21"/>
      <c r="F1481" s="21"/>
    </row>
    <row r="1482" spans="1:6" x14ac:dyDescent="0.25">
      <c r="A1482" s="21" t="s">
        <v>1547</v>
      </c>
      <c r="B1482" s="21" t="s">
        <v>22</v>
      </c>
      <c r="C1482" s="21">
        <v>10</v>
      </c>
      <c r="D1482" s="21">
        <v>560</v>
      </c>
      <c r="E1482" s="21">
        <v>56</v>
      </c>
      <c r="F1482" s="21"/>
    </row>
    <row r="1483" spans="1:6" x14ac:dyDescent="0.25">
      <c r="A1483" s="21" t="s">
        <v>1548</v>
      </c>
      <c r="B1483" s="21" t="s">
        <v>22</v>
      </c>
      <c r="C1483" s="21">
        <v>20</v>
      </c>
      <c r="D1483" s="21">
        <v>840</v>
      </c>
      <c r="E1483" s="21">
        <v>42</v>
      </c>
      <c r="F1483" s="21"/>
    </row>
    <row r="1484" spans="1:6" x14ac:dyDescent="0.25">
      <c r="A1484" s="21" t="s">
        <v>1549</v>
      </c>
      <c r="B1484" s="21" t="s">
        <v>22</v>
      </c>
      <c r="C1484" s="21">
        <v>20</v>
      </c>
      <c r="D1484" s="21">
        <v>840</v>
      </c>
      <c r="E1484" s="21">
        <v>42</v>
      </c>
      <c r="F1484" s="21"/>
    </row>
    <row r="1485" spans="1:6" x14ac:dyDescent="0.25">
      <c r="A1485" s="21" t="s">
        <v>1550</v>
      </c>
      <c r="B1485" s="21" t="s">
        <v>22</v>
      </c>
      <c r="C1485" s="21">
        <v>20</v>
      </c>
      <c r="D1485" s="21">
        <v>840</v>
      </c>
      <c r="E1485" s="21">
        <v>42</v>
      </c>
      <c r="F1485" s="21"/>
    </row>
    <row r="1486" spans="1:6" x14ac:dyDescent="0.25">
      <c r="A1486" s="21" t="s">
        <v>1551</v>
      </c>
      <c r="B1486" s="21" t="s">
        <v>22</v>
      </c>
      <c r="C1486" s="21">
        <v>20</v>
      </c>
      <c r="D1486" s="21">
        <v>540</v>
      </c>
      <c r="E1486" s="21">
        <v>27</v>
      </c>
      <c r="F1486" s="21"/>
    </row>
    <row r="1487" spans="1:6" x14ac:dyDescent="0.25">
      <c r="A1487" s="21" t="s">
        <v>1552</v>
      </c>
      <c r="B1487" s="21" t="s">
        <v>22</v>
      </c>
      <c r="C1487" s="21">
        <v>20</v>
      </c>
      <c r="D1487" s="21">
        <v>540</v>
      </c>
      <c r="E1487" s="21">
        <v>27</v>
      </c>
      <c r="F1487" s="21"/>
    </row>
    <row r="1488" spans="1:6" x14ac:dyDescent="0.25">
      <c r="A1488" s="21" t="s">
        <v>1553</v>
      </c>
      <c r="B1488" s="21" t="s">
        <v>22</v>
      </c>
      <c r="C1488" s="21">
        <v>20</v>
      </c>
      <c r="D1488" s="21">
        <v>540</v>
      </c>
      <c r="E1488" s="21">
        <v>27</v>
      </c>
      <c r="F1488" s="21"/>
    </row>
    <row r="1489" spans="1:6" x14ac:dyDescent="0.25">
      <c r="A1489" s="21" t="s">
        <v>1554</v>
      </c>
      <c r="B1489" s="21" t="s">
        <v>22</v>
      </c>
      <c r="C1489" s="21">
        <v>12</v>
      </c>
      <c r="D1489" s="21">
        <v>360</v>
      </c>
      <c r="E1489" s="21">
        <v>30</v>
      </c>
      <c r="F1489" s="21"/>
    </row>
    <row r="1490" spans="1:6" x14ac:dyDescent="0.25">
      <c r="A1490" s="21" t="s">
        <v>1555</v>
      </c>
      <c r="B1490" s="21" t="s">
        <v>22</v>
      </c>
      <c r="C1490" s="21">
        <v>12</v>
      </c>
      <c r="D1490" s="21">
        <v>360</v>
      </c>
      <c r="E1490" s="21">
        <v>30</v>
      </c>
      <c r="F1490" s="21"/>
    </row>
    <row r="1491" spans="1:6" x14ac:dyDescent="0.25">
      <c r="A1491" s="21" t="s">
        <v>1556</v>
      </c>
      <c r="B1491" s="21" t="s">
        <v>22</v>
      </c>
      <c r="C1491" s="21">
        <v>12</v>
      </c>
      <c r="D1491" s="21">
        <v>360</v>
      </c>
      <c r="E1491" s="21">
        <v>30</v>
      </c>
      <c r="F1491" s="21"/>
    </row>
    <row r="1492" spans="1:6" x14ac:dyDescent="0.25">
      <c r="A1492" s="21" t="s">
        <v>1557</v>
      </c>
      <c r="B1492" s="21" t="s">
        <v>22</v>
      </c>
      <c r="C1492" s="21">
        <v>8</v>
      </c>
      <c r="D1492" s="21">
        <v>240</v>
      </c>
      <c r="E1492" s="21">
        <v>30</v>
      </c>
      <c r="F1492" s="21"/>
    </row>
    <row r="1493" spans="1:6" x14ac:dyDescent="0.25">
      <c r="A1493" s="21" t="s">
        <v>1558</v>
      </c>
      <c r="B1493" s="21" t="s">
        <v>22</v>
      </c>
      <c r="C1493" s="21">
        <v>9</v>
      </c>
      <c r="D1493" s="21">
        <v>144</v>
      </c>
      <c r="E1493" s="21">
        <v>16</v>
      </c>
      <c r="F1493" s="21"/>
    </row>
    <row r="1494" spans="1:6" x14ac:dyDescent="0.25">
      <c r="A1494" s="21" t="s">
        <v>1559</v>
      </c>
      <c r="B1494" s="21" t="s">
        <v>22</v>
      </c>
      <c r="C1494" s="21">
        <v>9</v>
      </c>
      <c r="D1494" s="21">
        <v>144</v>
      </c>
      <c r="E1494" s="21">
        <v>16</v>
      </c>
      <c r="F1494" s="21"/>
    </row>
    <row r="1495" spans="1:6" x14ac:dyDescent="0.25">
      <c r="A1495" s="21" t="s">
        <v>1560</v>
      </c>
      <c r="B1495" s="21" t="s">
        <v>22</v>
      </c>
      <c r="C1495" s="21">
        <v>100</v>
      </c>
      <c r="D1495" s="21">
        <v>2000</v>
      </c>
      <c r="E1495" s="21">
        <v>20</v>
      </c>
      <c r="F1495" s="21"/>
    </row>
    <row r="1496" spans="1:6" x14ac:dyDescent="0.25">
      <c r="A1496" s="21" t="s">
        <v>1561</v>
      </c>
      <c r="B1496" s="21" t="s">
        <v>22</v>
      </c>
      <c r="C1496" s="21">
        <v>100</v>
      </c>
      <c r="D1496" s="21">
        <v>2000</v>
      </c>
      <c r="E1496" s="21">
        <v>20</v>
      </c>
      <c r="F1496" s="21"/>
    </row>
    <row r="1497" spans="1:6" x14ac:dyDescent="0.25">
      <c r="A1497" s="21" t="s">
        <v>1562</v>
      </c>
      <c r="B1497" s="21" t="s">
        <v>22</v>
      </c>
      <c r="C1497" s="21">
        <v>10</v>
      </c>
      <c r="D1497" s="21">
        <v>800</v>
      </c>
      <c r="E1497" s="21">
        <v>80</v>
      </c>
      <c r="F1497" s="21"/>
    </row>
    <row r="1498" spans="1:6" x14ac:dyDescent="0.25">
      <c r="A1498" s="21" t="s">
        <v>1563</v>
      </c>
      <c r="B1498" s="21" t="s">
        <v>22</v>
      </c>
      <c r="C1498" s="21">
        <v>50</v>
      </c>
      <c r="D1498" s="21">
        <v>2000</v>
      </c>
      <c r="E1498" s="21">
        <v>40</v>
      </c>
      <c r="F1498" s="21"/>
    </row>
    <row r="1499" spans="1:6" x14ac:dyDescent="0.25">
      <c r="A1499" s="21" t="s">
        <v>1564</v>
      </c>
      <c r="B1499" s="21" t="s">
        <v>22</v>
      </c>
      <c r="C1499" s="21">
        <v>100</v>
      </c>
      <c r="D1499" s="21">
        <v>2000</v>
      </c>
      <c r="E1499" s="21">
        <v>20</v>
      </c>
      <c r="F1499" s="21"/>
    </row>
    <row r="1500" spans="1:6" x14ac:dyDescent="0.25">
      <c r="A1500" s="21" t="s">
        <v>1565</v>
      </c>
      <c r="B1500" s="21" t="s">
        <v>22</v>
      </c>
      <c r="C1500" s="21">
        <v>100</v>
      </c>
      <c r="D1500" s="21">
        <v>2000</v>
      </c>
      <c r="E1500" s="21">
        <v>20</v>
      </c>
      <c r="F1500" s="21"/>
    </row>
    <row r="1501" spans="1:6" x14ac:dyDescent="0.25">
      <c r="A1501" s="21" t="s">
        <v>1566</v>
      </c>
      <c r="B1501" s="21" t="s">
        <v>22</v>
      </c>
      <c r="C1501" s="21">
        <v>50</v>
      </c>
      <c r="D1501" s="21">
        <v>1800</v>
      </c>
      <c r="E1501" s="21">
        <v>36</v>
      </c>
      <c r="F1501" s="21"/>
    </row>
    <row r="1502" spans="1:6" x14ac:dyDescent="0.25">
      <c r="A1502" s="21" t="s">
        <v>1567</v>
      </c>
      <c r="B1502" s="21" t="s">
        <v>22</v>
      </c>
      <c r="C1502" s="21">
        <v>50</v>
      </c>
      <c r="D1502" s="21">
        <v>2000</v>
      </c>
      <c r="E1502" s="21">
        <v>40</v>
      </c>
      <c r="F1502" s="21"/>
    </row>
    <row r="1503" spans="1:6" x14ac:dyDescent="0.25">
      <c r="A1503" s="21" t="s">
        <v>1568</v>
      </c>
      <c r="B1503" s="21" t="s">
        <v>22</v>
      </c>
      <c r="C1503" s="21">
        <v>50</v>
      </c>
      <c r="D1503" s="21">
        <v>1800</v>
      </c>
      <c r="E1503" s="21">
        <v>36</v>
      </c>
      <c r="F1503" s="21"/>
    </row>
    <row r="1504" spans="1:6" x14ac:dyDescent="0.25">
      <c r="A1504" s="21" t="s">
        <v>1569</v>
      </c>
      <c r="B1504" s="21" t="s">
        <v>22</v>
      </c>
      <c r="C1504" s="21">
        <v>40</v>
      </c>
      <c r="D1504" s="21">
        <v>1440</v>
      </c>
      <c r="E1504" s="21">
        <v>36</v>
      </c>
      <c r="F1504" s="21"/>
    </row>
    <row r="1505" spans="1:6" x14ac:dyDescent="0.25">
      <c r="A1505" s="21" t="s">
        <v>1570</v>
      </c>
      <c r="B1505" s="21" t="s">
        <v>22</v>
      </c>
      <c r="C1505" s="21">
        <v>40</v>
      </c>
      <c r="D1505" s="21">
        <v>1440</v>
      </c>
      <c r="E1505" s="21">
        <v>36</v>
      </c>
      <c r="F1505" s="21"/>
    </row>
    <row r="1506" spans="1:6" x14ac:dyDescent="0.25">
      <c r="A1506" s="21" t="s">
        <v>1571</v>
      </c>
      <c r="B1506" s="21" t="s">
        <v>22</v>
      </c>
      <c r="C1506" s="21">
        <v>40</v>
      </c>
      <c r="D1506" s="21">
        <v>1440</v>
      </c>
      <c r="E1506" s="21">
        <v>36</v>
      </c>
      <c r="F1506" s="21"/>
    </row>
    <row r="1507" spans="1:6" x14ac:dyDescent="0.25">
      <c r="A1507" s="21" t="s">
        <v>1572</v>
      </c>
      <c r="B1507" s="21" t="s">
        <v>22</v>
      </c>
      <c r="C1507" s="21">
        <v>40</v>
      </c>
      <c r="D1507" s="21">
        <v>1440</v>
      </c>
      <c r="E1507" s="21">
        <v>36</v>
      </c>
      <c r="F1507" s="21"/>
    </row>
    <row r="1508" spans="1:6" x14ac:dyDescent="0.25">
      <c r="A1508" s="21" t="s">
        <v>1573</v>
      </c>
      <c r="B1508" s="21" t="s">
        <v>22</v>
      </c>
      <c r="C1508" s="21">
        <v>40</v>
      </c>
      <c r="D1508" s="21">
        <v>1440</v>
      </c>
      <c r="E1508" s="21">
        <v>36</v>
      </c>
      <c r="F1508" s="21"/>
    </row>
    <row r="1509" spans="1:6" x14ac:dyDescent="0.25">
      <c r="A1509" s="21" t="s">
        <v>1574</v>
      </c>
      <c r="B1509" s="21" t="s">
        <v>22</v>
      </c>
      <c r="C1509" s="21">
        <v>8</v>
      </c>
      <c r="D1509" s="21">
        <v>192</v>
      </c>
      <c r="E1509" s="21">
        <v>24</v>
      </c>
      <c r="F1509" s="21"/>
    </row>
    <row r="1510" spans="1:6" x14ac:dyDescent="0.25">
      <c r="A1510" s="21" t="s">
        <v>1575</v>
      </c>
      <c r="B1510" s="21" t="s">
        <v>22</v>
      </c>
      <c r="C1510" s="21">
        <v>8</v>
      </c>
      <c r="D1510" s="21">
        <v>192</v>
      </c>
      <c r="E1510" s="21">
        <v>24</v>
      </c>
      <c r="F1510" s="21"/>
    </row>
    <row r="1511" spans="1:6" x14ac:dyDescent="0.25">
      <c r="A1511" s="21" t="s">
        <v>1576</v>
      </c>
      <c r="B1511" s="21" t="s">
        <v>22</v>
      </c>
      <c r="C1511" s="21">
        <v>0</v>
      </c>
      <c r="D1511" s="52">
        <v>0</v>
      </c>
      <c r="E1511" s="21"/>
      <c r="F1511" s="21"/>
    </row>
    <row r="1512" spans="1:6" x14ac:dyDescent="0.25">
      <c r="A1512" s="21" t="s">
        <v>1577</v>
      </c>
      <c r="B1512" s="21" t="s">
        <v>22</v>
      </c>
      <c r="C1512" s="21">
        <v>80</v>
      </c>
      <c r="D1512" s="21">
        <v>1600</v>
      </c>
      <c r="E1512" s="21">
        <v>20</v>
      </c>
      <c r="F1512" s="21"/>
    </row>
    <row r="1513" spans="1:6" x14ac:dyDescent="0.25">
      <c r="A1513" s="21" t="s">
        <v>1578</v>
      </c>
      <c r="B1513" s="21" t="s">
        <v>22</v>
      </c>
      <c r="C1513" s="21">
        <v>80</v>
      </c>
      <c r="D1513" s="21">
        <v>1600</v>
      </c>
      <c r="E1513" s="21">
        <v>20</v>
      </c>
      <c r="F1513" s="21"/>
    </row>
    <row r="1514" spans="1:6" x14ac:dyDescent="0.25">
      <c r="A1514" s="21" t="s">
        <v>1579</v>
      </c>
      <c r="B1514" s="21" t="s">
        <v>22</v>
      </c>
      <c r="C1514" s="21">
        <v>80</v>
      </c>
      <c r="D1514" s="21">
        <v>1600</v>
      </c>
      <c r="E1514" s="21">
        <v>20</v>
      </c>
      <c r="F1514" s="21"/>
    </row>
    <row r="1515" spans="1:6" x14ac:dyDescent="0.25">
      <c r="A1515" s="21" t="s">
        <v>1580</v>
      </c>
      <c r="B1515" s="21" t="s">
        <v>22</v>
      </c>
      <c r="C1515" s="21">
        <v>80</v>
      </c>
      <c r="D1515" s="21">
        <v>1600</v>
      </c>
      <c r="E1515" s="21">
        <v>20</v>
      </c>
      <c r="F1515" s="21"/>
    </row>
    <row r="1516" spans="1:6" x14ac:dyDescent="0.25">
      <c r="A1516" s="21" t="s">
        <v>1581</v>
      </c>
      <c r="B1516" s="21" t="s">
        <v>22</v>
      </c>
      <c r="C1516" s="21">
        <v>20</v>
      </c>
      <c r="D1516" s="21">
        <v>840</v>
      </c>
      <c r="E1516" s="21">
        <v>42</v>
      </c>
      <c r="F1516" s="21"/>
    </row>
    <row r="1517" spans="1:6" x14ac:dyDescent="0.25">
      <c r="A1517" s="21" t="s">
        <v>1582</v>
      </c>
      <c r="B1517" s="21" t="s">
        <v>22</v>
      </c>
      <c r="C1517" s="21">
        <v>20</v>
      </c>
      <c r="D1517" s="21">
        <v>840</v>
      </c>
      <c r="E1517" s="21">
        <v>42</v>
      </c>
      <c r="F1517" s="21"/>
    </row>
    <row r="1518" spans="1:6" x14ac:dyDescent="0.25">
      <c r="A1518" s="21" t="s">
        <v>1583</v>
      </c>
      <c r="B1518" s="21" t="s">
        <v>22</v>
      </c>
      <c r="C1518" s="21">
        <v>30</v>
      </c>
      <c r="D1518" s="21">
        <v>1440</v>
      </c>
      <c r="E1518" s="21">
        <v>48</v>
      </c>
      <c r="F1518" s="21"/>
    </row>
    <row r="1519" spans="1:6" x14ac:dyDescent="0.25">
      <c r="A1519" s="21" t="s">
        <v>1584</v>
      </c>
      <c r="B1519" s="21" t="s">
        <v>22</v>
      </c>
      <c r="C1519" s="21">
        <v>20</v>
      </c>
      <c r="D1519" s="52">
        <v>0</v>
      </c>
      <c r="E1519" s="21"/>
      <c r="F1519" s="21"/>
    </row>
    <row r="1520" spans="1:6" x14ac:dyDescent="0.25">
      <c r="A1520" s="21" t="s">
        <v>1585</v>
      </c>
      <c r="B1520" s="21" t="s">
        <v>22</v>
      </c>
      <c r="C1520" s="21">
        <v>30</v>
      </c>
      <c r="D1520" s="21">
        <v>1440</v>
      </c>
      <c r="E1520" s="21">
        <v>48</v>
      </c>
      <c r="F1520" s="21"/>
    </row>
    <row r="1521" spans="1:6" x14ac:dyDescent="0.25">
      <c r="A1521" s="21" t="s">
        <v>1586</v>
      </c>
      <c r="B1521" s="21" t="s">
        <v>22</v>
      </c>
      <c r="C1521" s="21">
        <v>20</v>
      </c>
      <c r="D1521" s="52">
        <v>0</v>
      </c>
      <c r="E1521" s="21"/>
      <c r="F1521" s="21"/>
    </row>
    <row r="1522" spans="1:6" x14ac:dyDescent="0.25">
      <c r="A1522" s="21" t="s">
        <v>1587</v>
      </c>
      <c r="B1522" s="21" t="s">
        <v>22</v>
      </c>
      <c r="C1522" s="21">
        <v>30</v>
      </c>
      <c r="D1522" s="21">
        <v>1440</v>
      </c>
      <c r="E1522" s="21">
        <v>48</v>
      </c>
      <c r="F1522" s="21"/>
    </row>
    <row r="1523" spans="1:6" x14ac:dyDescent="0.25">
      <c r="A1523" s="21" t="s">
        <v>1588</v>
      </c>
      <c r="B1523" s="21" t="s">
        <v>22</v>
      </c>
      <c r="C1523" s="21">
        <v>30</v>
      </c>
      <c r="D1523" s="21">
        <v>1440</v>
      </c>
      <c r="E1523" s="21">
        <v>48</v>
      </c>
      <c r="F1523" s="21"/>
    </row>
    <row r="1524" spans="1:6" x14ac:dyDescent="0.25">
      <c r="A1524" s="21" t="s">
        <v>1589</v>
      </c>
      <c r="B1524" s="21" t="s">
        <v>22</v>
      </c>
      <c r="C1524" s="21">
        <v>30</v>
      </c>
      <c r="D1524" s="21">
        <v>1440</v>
      </c>
      <c r="E1524" s="21">
        <v>48</v>
      </c>
      <c r="F1524" s="21"/>
    </row>
    <row r="1525" spans="1:6" x14ac:dyDescent="0.25">
      <c r="A1525" s="21" t="s">
        <v>1590</v>
      </c>
      <c r="B1525" s="21" t="s">
        <v>22</v>
      </c>
      <c r="C1525" s="21">
        <v>30</v>
      </c>
      <c r="D1525" s="21">
        <v>1440</v>
      </c>
      <c r="E1525" s="21">
        <v>48</v>
      </c>
      <c r="F1525" s="21"/>
    </row>
    <row r="1526" spans="1:6" x14ac:dyDescent="0.25">
      <c r="A1526" s="21" t="s">
        <v>1591</v>
      </c>
      <c r="B1526" s="21" t="s">
        <v>22</v>
      </c>
      <c r="C1526" s="21">
        <v>30</v>
      </c>
      <c r="D1526" s="21">
        <v>1440</v>
      </c>
      <c r="E1526" s="21">
        <v>48</v>
      </c>
      <c r="F1526" s="21"/>
    </row>
    <row r="1527" spans="1:6" x14ac:dyDescent="0.25">
      <c r="A1527" s="21" t="s">
        <v>1592</v>
      </c>
      <c r="B1527" s="21" t="s">
        <v>22</v>
      </c>
      <c r="C1527" s="21">
        <v>20</v>
      </c>
      <c r="D1527" s="21">
        <v>840</v>
      </c>
      <c r="E1527" s="21">
        <v>42</v>
      </c>
      <c r="F1527" s="21"/>
    </row>
    <row r="1528" spans="1:6" x14ac:dyDescent="0.25">
      <c r="A1528" s="21" t="s">
        <v>1593</v>
      </c>
      <c r="B1528" s="21" t="s">
        <v>22</v>
      </c>
      <c r="C1528" s="21">
        <v>20</v>
      </c>
      <c r="D1528" s="21">
        <v>840</v>
      </c>
      <c r="E1528" s="21">
        <v>42</v>
      </c>
      <c r="F1528" s="21"/>
    </row>
    <row r="1529" spans="1:6" x14ac:dyDescent="0.25">
      <c r="A1529" s="21" t="s">
        <v>1594</v>
      </c>
      <c r="B1529" s="21" t="s">
        <v>22</v>
      </c>
      <c r="C1529" s="21">
        <v>20</v>
      </c>
      <c r="D1529" s="21">
        <v>840</v>
      </c>
      <c r="E1529" s="21">
        <v>42</v>
      </c>
      <c r="F1529" s="21"/>
    </row>
    <row r="1530" spans="1:6" x14ac:dyDescent="0.25">
      <c r="A1530" s="21" t="s">
        <v>1595</v>
      </c>
      <c r="B1530" s="21" t="s">
        <v>22</v>
      </c>
      <c r="C1530" s="21">
        <v>20</v>
      </c>
      <c r="D1530" s="21">
        <v>840</v>
      </c>
      <c r="E1530" s="21">
        <v>42</v>
      </c>
      <c r="F1530" s="21"/>
    </row>
    <row r="1531" spans="1:6" x14ac:dyDescent="0.25">
      <c r="A1531" s="21" t="s">
        <v>1596</v>
      </c>
      <c r="B1531" s="21" t="s">
        <v>22</v>
      </c>
      <c r="C1531" s="21">
        <v>20</v>
      </c>
      <c r="D1531" s="21">
        <v>840</v>
      </c>
      <c r="E1531" s="21">
        <v>42</v>
      </c>
      <c r="F1531" s="21"/>
    </row>
    <row r="1532" spans="1:6" x14ac:dyDescent="0.25">
      <c r="A1532" s="21" t="s">
        <v>1597</v>
      </c>
      <c r="B1532" s="21" t="s">
        <v>22</v>
      </c>
      <c r="C1532" s="21">
        <v>20</v>
      </c>
      <c r="D1532" s="21">
        <v>840</v>
      </c>
      <c r="E1532" s="21">
        <v>42</v>
      </c>
      <c r="F1532" s="21"/>
    </row>
    <row r="1533" spans="1:6" x14ac:dyDescent="0.25">
      <c r="A1533" s="21" t="s">
        <v>1598</v>
      </c>
      <c r="B1533" s="21" t="s">
        <v>22</v>
      </c>
      <c r="C1533" s="21">
        <v>20</v>
      </c>
      <c r="D1533" s="21">
        <v>540</v>
      </c>
      <c r="E1533" s="21">
        <v>27</v>
      </c>
      <c r="F1533" s="21"/>
    </row>
    <row r="1534" spans="1:6" x14ac:dyDescent="0.25">
      <c r="A1534" s="21" t="s">
        <v>1599</v>
      </c>
      <c r="B1534" s="21" t="s">
        <v>22</v>
      </c>
      <c r="C1534" s="21">
        <v>20</v>
      </c>
      <c r="D1534" s="21">
        <v>540</v>
      </c>
      <c r="E1534" s="21">
        <v>27</v>
      </c>
      <c r="F1534" s="21"/>
    </row>
    <row r="1535" spans="1:6" x14ac:dyDescent="0.25">
      <c r="A1535" s="21" t="s">
        <v>1600</v>
      </c>
      <c r="B1535" s="21" t="s">
        <v>22</v>
      </c>
      <c r="C1535" s="21">
        <v>20</v>
      </c>
      <c r="D1535" s="21">
        <v>540</v>
      </c>
      <c r="E1535" s="21">
        <v>27</v>
      </c>
      <c r="F1535" s="21"/>
    </row>
    <row r="1536" spans="1:6" x14ac:dyDescent="0.25">
      <c r="A1536" s="21" t="s">
        <v>1601</v>
      </c>
      <c r="B1536" s="21" t="s">
        <v>22</v>
      </c>
      <c r="C1536" s="21">
        <v>20</v>
      </c>
      <c r="D1536" s="21">
        <v>540</v>
      </c>
      <c r="E1536" s="21">
        <v>27</v>
      </c>
      <c r="F1536" s="21"/>
    </row>
    <row r="1537" spans="1:6" x14ac:dyDescent="0.25">
      <c r="A1537" s="21" t="s">
        <v>1602</v>
      </c>
      <c r="B1537" s="21" t="s">
        <v>22</v>
      </c>
      <c r="C1537" s="21">
        <v>20</v>
      </c>
      <c r="D1537" s="21">
        <v>540</v>
      </c>
      <c r="E1537" s="21">
        <v>27</v>
      </c>
      <c r="F1537" s="21"/>
    </row>
    <row r="1538" spans="1:6" x14ac:dyDescent="0.25">
      <c r="A1538" s="21" t="s">
        <v>1603</v>
      </c>
      <c r="B1538" s="21" t="s">
        <v>22</v>
      </c>
      <c r="C1538" s="21">
        <v>20</v>
      </c>
      <c r="D1538" s="21">
        <v>540</v>
      </c>
      <c r="E1538" s="21">
        <v>27</v>
      </c>
      <c r="F1538" s="21"/>
    </row>
    <row r="1539" spans="1:6" x14ac:dyDescent="0.25">
      <c r="A1539" s="21" t="s">
        <v>1604</v>
      </c>
      <c r="B1539" s="21" t="s">
        <v>22</v>
      </c>
      <c r="C1539" s="21">
        <v>12</v>
      </c>
      <c r="D1539" s="21">
        <v>360</v>
      </c>
      <c r="E1539" s="21">
        <v>30</v>
      </c>
      <c r="F1539" s="21"/>
    </row>
    <row r="1540" spans="1:6" x14ac:dyDescent="0.25">
      <c r="A1540" s="21" t="s">
        <v>1605</v>
      </c>
      <c r="B1540" s="21" t="s">
        <v>22</v>
      </c>
      <c r="C1540" s="21">
        <v>12</v>
      </c>
      <c r="D1540" s="21">
        <v>300</v>
      </c>
      <c r="E1540" s="21">
        <v>25</v>
      </c>
      <c r="F1540" s="21"/>
    </row>
    <row r="1541" spans="1:6" x14ac:dyDescent="0.25">
      <c r="A1541" s="21" t="s">
        <v>1606</v>
      </c>
      <c r="B1541" s="21" t="s">
        <v>22</v>
      </c>
      <c r="C1541" s="21">
        <v>12</v>
      </c>
      <c r="D1541" s="21">
        <v>300</v>
      </c>
      <c r="E1541" s="21">
        <v>25</v>
      </c>
      <c r="F1541" s="21"/>
    </row>
    <row r="1542" spans="1:6" x14ac:dyDescent="0.25">
      <c r="A1542" s="21" t="s">
        <v>1607</v>
      </c>
      <c r="B1542" s="21" t="s">
        <v>22</v>
      </c>
      <c r="C1542" s="21">
        <v>12</v>
      </c>
      <c r="D1542" s="21">
        <v>360</v>
      </c>
      <c r="E1542" s="21">
        <v>30</v>
      </c>
      <c r="F1542" s="21"/>
    </row>
    <row r="1543" spans="1:6" x14ac:dyDescent="0.25">
      <c r="A1543" s="21" t="s">
        <v>1608</v>
      </c>
      <c r="B1543" s="21" t="s">
        <v>22</v>
      </c>
      <c r="C1543" s="21">
        <v>12</v>
      </c>
      <c r="D1543" s="21">
        <v>300</v>
      </c>
      <c r="E1543" s="21">
        <v>25</v>
      </c>
      <c r="F1543" s="21"/>
    </row>
    <row r="1544" spans="1:6" x14ac:dyDescent="0.25">
      <c r="A1544" s="21" t="s">
        <v>1609</v>
      </c>
      <c r="B1544" s="21" t="s">
        <v>22</v>
      </c>
      <c r="C1544" s="21">
        <v>12</v>
      </c>
      <c r="D1544" s="21">
        <v>300</v>
      </c>
      <c r="E1544" s="21">
        <v>25</v>
      </c>
      <c r="F1544" s="21"/>
    </row>
    <row r="1545" spans="1:6" x14ac:dyDescent="0.25">
      <c r="A1545" s="21" t="s">
        <v>1610</v>
      </c>
      <c r="B1545" s="21" t="s">
        <v>22</v>
      </c>
      <c r="C1545" s="21">
        <v>8</v>
      </c>
      <c r="D1545" s="21">
        <v>240</v>
      </c>
      <c r="E1545" s="21">
        <v>30</v>
      </c>
      <c r="F1545" s="21"/>
    </row>
    <row r="1546" spans="1:6" x14ac:dyDescent="0.25">
      <c r="A1546" s="21" t="s">
        <v>1611</v>
      </c>
      <c r="B1546" s="21" t="s">
        <v>22</v>
      </c>
      <c r="C1546" s="21">
        <v>8</v>
      </c>
      <c r="D1546" s="21">
        <v>240</v>
      </c>
      <c r="E1546" s="21">
        <v>30</v>
      </c>
      <c r="F1546" s="21"/>
    </row>
    <row r="1547" spans="1:6" x14ac:dyDescent="0.25">
      <c r="A1547" s="21" t="s">
        <v>1612</v>
      </c>
      <c r="B1547" s="21" t="s">
        <v>22</v>
      </c>
      <c r="C1547" s="21">
        <v>8</v>
      </c>
      <c r="D1547" s="21">
        <v>240</v>
      </c>
      <c r="E1547" s="21">
        <v>30</v>
      </c>
      <c r="F1547" s="21"/>
    </row>
    <row r="1548" spans="1:6" x14ac:dyDescent="0.25">
      <c r="A1548" s="21" t="s">
        <v>1613</v>
      </c>
      <c r="B1548" s="21" t="s">
        <v>22</v>
      </c>
      <c r="C1548" s="21">
        <v>8</v>
      </c>
      <c r="D1548" s="21">
        <v>240</v>
      </c>
      <c r="E1548" s="21">
        <v>30</v>
      </c>
      <c r="F1548" s="21"/>
    </row>
    <row r="1549" spans="1:6" x14ac:dyDescent="0.25">
      <c r="A1549" s="21" t="s">
        <v>1614</v>
      </c>
      <c r="B1549" s="21" t="s">
        <v>22</v>
      </c>
      <c r="C1549" s="21">
        <v>20</v>
      </c>
      <c r="D1549" s="21">
        <v>540</v>
      </c>
      <c r="E1549" s="21">
        <v>27</v>
      </c>
      <c r="F1549" s="21"/>
    </row>
    <row r="1550" spans="1:6" x14ac:dyDescent="0.25">
      <c r="A1550" s="21" t="s">
        <v>1615</v>
      </c>
      <c r="B1550" s="21" t="s">
        <v>22</v>
      </c>
      <c r="C1550" s="21">
        <v>20</v>
      </c>
      <c r="D1550" s="21">
        <v>540</v>
      </c>
      <c r="E1550" s="21">
        <v>27</v>
      </c>
      <c r="F1550" s="21"/>
    </row>
    <row r="1551" spans="1:6" x14ac:dyDescent="0.25">
      <c r="A1551" s="21" t="s">
        <v>1616</v>
      </c>
      <c r="B1551" s="21" t="s">
        <v>22</v>
      </c>
      <c r="C1551" s="21">
        <v>80</v>
      </c>
      <c r="D1551" s="21">
        <v>1600</v>
      </c>
      <c r="E1551" s="21">
        <v>20</v>
      </c>
      <c r="F1551" s="21"/>
    </row>
    <row r="1552" spans="1:6" x14ac:dyDescent="0.25">
      <c r="A1552" s="21" t="s">
        <v>1617</v>
      </c>
      <c r="B1552" s="21" t="s">
        <v>22</v>
      </c>
      <c r="C1552" s="21">
        <v>80</v>
      </c>
      <c r="D1552" s="21">
        <v>1600</v>
      </c>
      <c r="E1552" s="21">
        <v>20</v>
      </c>
      <c r="F1552" s="21"/>
    </row>
    <row r="1553" spans="1:6" x14ac:dyDescent="0.25">
      <c r="A1553" s="21" t="s">
        <v>1618</v>
      </c>
      <c r="B1553" s="21" t="s">
        <v>22</v>
      </c>
      <c r="C1553" s="21">
        <v>80</v>
      </c>
      <c r="D1553" s="21">
        <v>960</v>
      </c>
      <c r="E1553" s="21">
        <v>12</v>
      </c>
      <c r="F1553" s="21"/>
    </row>
    <row r="1554" spans="1:6" x14ac:dyDescent="0.25">
      <c r="A1554" s="21" t="s">
        <v>1619</v>
      </c>
      <c r="B1554" s="21" t="s">
        <v>22</v>
      </c>
      <c r="C1554" s="21">
        <v>80</v>
      </c>
      <c r="D1554" s="21">
        <v>960</v>
      </c>
      <c r="E1554" s="21">
        <v>12</v>
      </c>
      <c r="F1554" s="21"/>
    </row>
    <row r="1555" spans="1:6" x14ac:dyDescent="0.25">
      <c r="A1555" s="21" t="s">
        <v>1620</v>
      </c>
      <c r="B1555" s="21" t="s">
        <v>22</v>
      </c>
      <c r="C1555" s="21">
        <v>20</v>
      </c>
      <c r="D1555" s="21">
        <v>840</v>
      </c>
      <c r="E1555" s="21">
        <v>42</v>
      </c>
      <c r="F1555" s="21"/>
    </row>
    <row r="1556" spans="1:6" x14ac:dyDescent="0.25">
      <c r="A1556" s="21" t="s">
        <v>1621</v>
      </c>
      <c r="B1556" s="21" t="s">
        <v>22</v>
      </c>
      <c r="C1556" s="21">
        <v>20</v>
      </c>
      <c r="D1556" s="21">
        <v>840</v>
      </c>
      <c r="E1556" s="21">
        <v>42</v>
      </c>
      <c r="F1556" s="21"/>
    </row>
    <row r="1557" spans="1:6" x14ac:dyDescent="0.25">
      <c r="A1557" s="21" t="s">
        <v>1622</v>
      </c>
      <c r="B1557" s="21" t="s">
        <v>22</v>
      </c>
      <c r="C1557" s="21">
        <v>20</v>
      </c>
      <c r="D1557" s="21">
        <v>840</v>
      </c>
      <c r="E1557" s="21">
        <v>42</v>
      </c>
      <c r="F1557" s="21"/>
    </row>
    <row r="1558" spans="1:6" x14ac:dyDescent="0.25">
      <c r="A1558" s="21" t="s">
        <v>1623</v>
      </c>
      <c r="B1558" s="21" t="s">
        <v>22</v>
      </c>
      <c r="C1558" s="21">
        <v>20</v>
      </c>
      <c r="D1558" s="21">
        <v>840</v>
      </c>
      <c r="E1558" s="21">
        <v>42</v>
      </c>
      <c r="F1558" s="21"/>
    </row>
    <row r="1559" spans="1:6" x14ac:dyDescent="0.25">
      <c r="A1559" s="21" t="s">
        <v>1624</v>
      </c>
      <c r="B1559" s="21" t="s">
        <v>22</v>
      </c>
      <c r="C1559" s="21">
        <v>20</v>
      </c>
      <c r="D1559" s="52">
        <v>0</v>
      </c>
      <c r="E1559" s="21"/>
      <c r="F1559" s="21"/>
    </row>
    <row r="1560" spans="1:6" x14ac:dyDescent="0.25">
      <c r="A1560" s="21" t="s">
        <v>1625</v>
      </c>
      <c r="B1560" s="21" t="s">
        <v>22</v>
      </c>
      <c r="C1560" s="21">
        <v>20</v>
      </c>
      <c r="D1560" s="21">
        <v>840</v>
      </c>
      <c r="E1560" s="21">
        <v>42</v>
      </c>
      <c r="F1560" s="21"/>
    </row>
    <row r="1561" spans="1:6" x14ac:dyDescent="0.25">
      <c r="A1561" s="21" t="s">
        <v>1626</v>
      </c>
      <c r="B1561" s="21" t="s">
        <v>22</v>
      </c>
      <c r="C1561" s="21">
        <v>20</v>
      </c>
      <c r="D1561" s="21">
        <v>540</v>
      </c>
      <c r="E1561" s="21">
        <v>27</v>
      </c>
      <c r="F1561" s="21"/>
    </row>
    <row r="1562" spans="1:6" x14ac:dyDescent="0.25">
      <c r="A1562" s="21" t="s">
        <v>1627</v>
      </c>
      <c r="B1562" s="21" t="s">
        <v>22</v>
      </c>
      <c r="C1562" s="21">
        <v>20</v>
      </c>
      <c r="D1562" s="21">
        <v>540</v>
      </c>
      <c r="E1562" s="21">
        <v>27</v>
      </c>
      <c r="F1562" s="21"/>
    </row>
    <row r="1563" spans="1:6" x14ac:dyDescent="0.25">
      <c r="A1563" s="21" t="s">
        <v>1628</v>
      </c>
      <c r="B1563" s="21" t="s">
        <v>22</v>
      </c>
      <c r="C1563" s="21">
        <v>20</v>
      </c>
      <c r="D1563" s="21">
        <v>540</v>
      </c>
      <c r="E1563" s="21">
        <v>27</v>
      </c>
      <c r="F1563" s="21"/>
    </row>
    <row r="1564" spans="1:6" x14ac:dyDescent="0.25">
      <c r="A1564" s="21" t="s">
        <v>1629</v>
      </c>
      <c r="B1564" s="21" t="s">
        <v>22</v>
      </c>
      <c r="C1564" s="21">
        <v>20</v>
      </c>
      <c r="D1564" s="21">
        <v>540</v>
      </c>
      <c r="E1564" s="21">
        <v>27</v>
      </c>
      <c r="F1564" s="21"/>
    </row>
    <row r="1565" spans="1:6" x14ac:dyDescent="0.25">
      <c r="A1565" s="21" t="s">
        <v>1630</v>
      </c>
      <c r="B1565" s="21" t="s">
        <v>22</v>
      </c>
      <c r="C1565" s="21">
        <v>20</v>
      </c>
      <c r="D1565" s="52">
        <v>0</v>
      </c>
      <c r="E1565" s="21"/>
      <c r="F1565" s="21"/>
    </row>
    <row r="1566" spans="1:6" x14ac:dyDescent="0.25">
      <c r="A1566" s="21" t="s">
        <v>1631</v>
      </c>
      <c r="B1566" s="21" t="s">
        <v>22</v>
      </c>
      <c r="C1566" s="21">
        <v>20</v>
      </c>
      <c r="D1566" s="21">
        <v>540</v>
      </c>
      <c r="E1566" s="21">
        <v>27</v>
      </c>
      <c r="F1566" s="21"/>
    </row>
    <row r="1567" spans="1:6" x14ac:dyDescent="0.25">
      <c r="A1567" s="21" t="s">
        <v>1632</v>
      </c>
      <c r="B1567" s="21" t="s">
        <v>22</v>
      </c>
      <c r="C1567" s="21">
        <v>100</v>
      </c>
      <c r="D1567" s="21">
        <v>7000</v>
      </c>
      <c r="E1567" s="21">
        <v>70</v>
      </c>
      <c r="F1567" s="21"/>
    </row>
    <row r="1568" spans="1:6" x14ac:dyDescent="0.25">
      <c r="A1568" s="21" t="s">
        <v>1633</v>
      </c>
      <c r="B1568" s="21" t="s">
        <v>22</v>
      </c>
      <c r="C1568" s="21">
        <v>100</v>
      </c>
      <c r="D1568" s="21">
        <v>7000</v>
      </c>
      <c r="E1568" s="21">
        <v>70</v>
      </c>
      <c r="F1568" s="21"/>
    </row>
    <row r="1569" spans="1:6" x14ac:dyDescent="0.25">
      <c r="A1569" s="21" t="s">
        <v>1634</v>
      </c>
      <c r="B1569" s="21" t="s">
        <v>22</v>
      </c>
      <c r="C1569" s="21">
        <v>12</v>
      </c>
      <c r="D1569" s="21">
        <v>360</v>
      </c>
      <c r="E1569" s="21">
        <v>30</v>
      </c>
      <c r="F1569" s="21"/>
    </row>
    <row r="1570" spans="1:6" x14ac:dyDescent="0.25">
      <c r="A1570" s="21" t="s">
        <v>1635</v>
      </c>
      <c r="B1570" s="21" t="s">
        <v>22</v>
      </c>
      <c r="C1570" s="21">
        <v>12</v>
      </c>
      <c r="D1570" s="21">
        <v>300</v>
      </c>
      <c r="E1570" s="21">
        <v>25</v>
      </c>
      <c r="F1570" s="21"/>
    </row>
    <row r="1571" spans="1:6" x14ac:dyDescent="0.25">
      <c r="A1571" s="21" t="s">
        <v>1636</v>
      </c>
      <c r="B1571" s="21" t="s">
        <v>22</v>
      </c>
      <c r="C1571" s="21">
        <v>12</v>
      </c>
      <c r="D1571" s="21">
        <v>300</v>
      </c>
      <c r="E1571" s="21">
        <v>25</v>
      </c>
      <c r="F1571" s="21"/>
    </row>
    <row r="1572" spans="1:6" x14ac:dyDescent="0.25">
      <c r="A1572" s="21" t="s">
        <v>1637</v>
      </c>
      <c r="B1572" s="21" t="s">
        <v>22</v>
      </c>
      <c r="C1572" s="21">
        <v>12</v>
      </c>
      <c r="D1572" s="21">
        <v>360</v>
      </c>
      <c r="E1572" s="21">
        <v>30</v>
      </c>
      <c r="F1572" s="21"/>
    </row>
    <row r="1573" spans="1:6" x14ac:dyDescent="0.25">
      <c r="A1573" s="21" t="s">
        <v>1638</v>
      </c>
      <c r="B1573" s="21" t="s">
        <v>22</v>
      </c>
      <c r="C1573" s="21">
        <v>12</v>
      </c>
      <c r="D1573" s="52">
        <v>0</v>
      </c>
      <c r="E1573" s="21"/>
      <c r="F1573" s="21"/>
    </row>
    <row r="1574" spans="1:6" x14ac:dyDescent="0.25">
      <c r="A1574" s="21" t="s">
        <v>1639</v>
      </c>
      <c r="B1574" s="21" t="s">
        <v>22</v>
      </c>
      <c r="C1574" s="21">
        <v>12</v>
      </c>
      <c r="D1574" s="21">
        <v>300</v>
      </c>
      <c r="E1574" s="21">
        <v>25</v>
      </c>
      <c r="F1574" s="21"/>
    </row>
    <row r="1575" spans="1:6" x14ac:dyDescent="0.25">
      <c r="A1575" s="21" t="s">
        <v>1640</v>
      </c>
      <c r="B1575" s="21" t="s">
        <v>22</v>
      </c>
      <c r="C1575" s="21">
        <v>8</v>
      </c>
      <c r="D1575" s="21">
        <v>240</v>
      </c>
      <c r="E1575" s="21">
        <v>30</v>
      </c>
      <c r="F1575" s="21"/>
    </row>
    <row r="1576" spans="1:6" x14ac:dyDescent="0.25">
      <c r="A1576" s="21" t="s">
        <v>1641</v>
      </c>
      <c r="B1576" s="21" t="s">
        <v>22</v>
      </c>
      <c r="C1576" s="21">
        <v>8</v>
      </c>
      <c r="D1576" s="21">
        <v>240</v>
      </c>
      <c r="E1576" s="21">
        <v>30</v>
      </c>
      <c r="F1576" s="21"/>
    </row>
    <row r="1577" spans="1:6" x14ac:dyDescent="0.25">
      <c r="A1577" s="21" t="s">
        <v>1642</v>
      </c>
      <c r="B1577" s="21" t="s">
        <v>22</v>
      </c>
      <c r="C1577" s="21">
        <v>8</v>
      </c>
      <c r="D1577" s="21">
        <v>240</v>
      </c>
      <c r="E1577" s="21">
        <v>30</v>
      </c>
      <c r="F1577" s="21"/>
    </row>
    <row r="1578" spans="1:6" x14ac:dyDescent="0.25">
      <c r="A1578" s="21" t="s">
        <v>1643</v>
      </c>
      <c r="B1578" s="21" t="s">
        <v>22</v>
      </c>
      <c r="C1578" s="21">
        <v>100</v>
      </c>
      <c r="D1578" s="21">
        <v>3600</v>
      </c>
      <c r="E1578" s="21">
        <v>36</v>
      </c>
      <c r="F1578" s="21"/>
    </row>
    <row r="1579" spans="1:6" x14ac:dyDescent="0.25">
      <c r="A1579" s="21" t="s">
        <v>1644</v>
      </c>
      <c r="B1579" s="21" t="s">
        <v>22</v>
      </c>
      <c r="C1579" s="21">
        <v>100</v>
      </c>
      <c r="D1579" s="21">
        <v>3600</v>
      </c>
      <c r="E1579" s="21">
        <v>36</v>
      </c>
      <c r="F1579" s="21"/>
    </row>
    <row r="1580" spans="1:6" x14ac:dyDescent="0.25">
      <c r="A1580" s="21" t="s">
        <v>1645</v>
      </c>
      <c r="B1580" s="21" t="s">
        <v>22</v>
      </c>
      <c r="C1580" s="21">
        <v>100</v>
      </c>
      <c r="D1580" s="21">
        <v>2000</v>
      </c>
      <c r="E1580" s="21">
        <v>20</v>
      </c>
      <c r="F1580" s="21"/>
    </row>
    <row r="1581" spans="1:6" x14ac:dyDescent="0.25">
      <c r="A1581" s="21" t="s">
        <v>1646</v>
      </c>
      <c r="B1581" s="21" t="s">
        <v>22</v>
      </c>
      <c r="C1581" s="21">
        <v>100</v>
      </c>
      <c r="D1581" s="21">
        <v>2000</v>
      </c>
      <c r="E1581" s="21">
        <v>20</v>
      </c>
      <c r="F1581" s="21"/>
    </row>
    <row r="1582" spans="1:6" x14ac:dyDescent="0.25">
      <c r="A1582" s="21" t="s">
        <v>1647</v>
      </c>
      <c r="B1582" s="21" t="s">
        <v>22</v>
      </c>
      <c r="C1582" s="21">
        <v>100</v>
      </c>
      <c r="D1582" s="21">
        <v>2000</v>
      </c>
      <c r="E1582" s="21">
        <v>20</v>
      </c>
      <c r="F1582" s="21"/>
    </row>
    <row r="1583" spans="1:6" x14ac:dyDescent="0.25">
      <c r="A1583" s="21" t="s">
        <v>1648</v>
      </c>
      <c r="B1583" s="21" t="s">
        <v>22</v>
      </c>
      <c r="C1583" s="21">
        <v>100</v>
      </c>
      <c r="D1583" s="21">
        <v>2000</v>
      </c>
      <c r="E1583" s="21">
        <v>20</v>
      </c>
      <c r="F1583" s="21"/>
    </row>
    <row r="1584" spans="1:6" x14ac:dyDescent="0.25">
      <c r="A1584" s="21" t="s">
        <v>1649</v>
      </c>
      <c r="B1584" s="21" t="s">
        <v>22</v>
      </c>
      <c r="C1584" s="21">
        <v>100</v>
      </c>
      <c r="D1584" s="21">
        <v>8000</v>
      </c>
      <c r="E1584" s="21">
        <v>80</v>
      </c>
      <c r="F1584" s="21"/>
    </row>
    <row r="1585" spans="1:6" x14ac:dyDescent="0.25">
      <c r="A1585" s="21" t="s">
        <v>1650</v>
      </c>
      <c r="B1585" s="21" t="s">
        <v>22</v>
      </c>
      <c r="C1585" s="21">
        <v>100</v>
      </c>
      <c r="D1585" s="21">
        <v>8000</v>
      </c>
      <c r="E1585" s="21">
        <v>80</v>
      </c>
      <c r="F1585" s="21"/>
    </row>
    <row r="1586" spans="1:6" x14ac:dyDescent="0.25">
      <c r="A1586" s="21" t="s">
        <v>1651</v>
      </c>
      <c r="B1586" s="21" t="s">
        <v>22</v>
      </c>
      <c r="C1586" s="21">
        <v>100</v>
      </c>
      <c r="D1586" s="21">
        <v>8000</v>
      </c>
      <c r="E1586" s="21">
        <v>80</v>
      </c>
      <c r="F1586" s="21"/>
    </row>
    <row r="1587" spans="1:6" x14ac:dyDescent="0.25">
      <c r="A1587" s="21" t="s">
        <v>1652</v>
      </c>
      <c r="B1587" s="21" t="s">
        <v>22</v>
      </c>
      <c r="C1587" s="21">
        <v>100</v>
      </c>
      <c r="D1587" s="21">
        <v>8000</v>
      </c>
      <c r="E1587" s="21">
        <v>80</v>
      </c>
      <c r="F1587" s="21"/>
    </row>
    <row r="1588" spans="1:6" x14ac:dyDescent="0.25">
      <c r="A1588" s="21" t="s">
        <v>1653</v>
      </c>
      <c r="B1588" s="21" t="s">
        <v>22</v>
      </c>
      <c r="C1588" s="21">
        <v>100</v>
      </c>
      <c r="D1588" s="21">
        <v>8000</v>
      </c>
      <c r="E1588" s="21">
        <v>80</v>
      </c>
      <c r="F1588" s="21"/>
    </row>
    <row r="1589" spans="1:6" x14ac:dyDescent="0.25">
      <c r="A1589" s="21" t="s">
        <v>1654</v>
      </c>
      <c r="B1589" s="21" t="s">
        <v>22</v>
      </c>
      <c r="C1589" s="21">
        <v>100</v>
      </c>
      <c r="D1589" s="21">
        <v>8000</v>
      </c>
      <c r="E1589" s="21">
        <v>80</v>
      </c>
      <c r="F1589" s="21"/>
    </row>
    <row r="1590" spans="1:6" x14ac:dyDescent="0.25">
      <c r="A1590" s="21" t="s">
        <v>1655</v>
      </c>
      <c r="B1590" s="21" t="s">
        <v>22</v>
      </c>
      <c r="C1590" s="21">
        <v>100</v>
      </c>
      <c r="D1590" s="21">
        <v>4800</v>
      </c>
      <c r="E1590" s="21">
        <v>48</v>
      </c>
      <c r="F1590" s="21"/>
    </row>
    <row r="1591" spans="1:6" x14ac:dyDescent="0.25">
      <c r="A1591" s="21" t="s">
        <v>1656</v>
      </c>
      <c r="B1591" s="21" t="s">
        <v>22</v>
      </c>
      <c r="C1591" s="21">
        <v>100</v>
      </c>
      <c r="D1591" s="21">
        <v>4800</v>
      </c>
      <c r="E1591" s="21">
        <v>48</v>
      </c>
      <c r="F1591" s="21"/>
    </row>
    <row r="1592" spans="1:6" x14ac:dyDescent="0.25">
      <c r="A1592" s="21" t="s">
        <v>1657</v>
      </c>
      <c r="B1592" s="21" t="s">
        <v>22</v>
      </c>
      <c r="C1592" s="21">
        <v>100</v>
      </c>
      <c r="D1592" s="21">
        <v>8000</v>
      </c>
      <c r="E1592" s="21">
        <v>80</v>
      </c>
      <c r="F1592" s="21"/>
    </row>
    <row r="1593" spans="1:6" x14ac:dyDescent="0.25">
      <c r="A1593" s="21" t="s">
        <v>1658</v>
      </c>
      <c r="B1593" s="21" t="s">
        <v>22</v>
      </c>
      <c r="C1593" s="21">
        <v>12</v>
      </c>
      <c r="D1593" s="21">
        <v>360</v>
      </c>
      <c r="E1593" s="21">
        <v>30</v>
      </c>
      <c r="F1593" s="21"/>
    </row>
    <row r="1594" spans="1:6" x14ac:dyDescent="0.25">
      <c r="A1594" s="21" t="s">
        <v>1659</v>
      </c>
      <c r="B1594" s="21" t="s">
        <v>22</v>
      </c>
      <c r="C1594" s="21">
        <v>12</v>
      </c>
      <c r="D1594" s="21">
        <v>360</v>
      </c>
      <c r="E1594" s="21">
        <v>30</v>
      </c>
      <c r="F1594" s="21"/>
    </row>
    <row r="1595" spans="1:6" x14ac:dyDescent="0.25">
      <c r="A1595" s="21" t="s">
        <v>1660</v>
      </c>
      <c r="B1595" s="21" t="s">
        <v>22</v>
      </c>
      <c r="C1595" s="21">
        <v>8</v>
      </c>
      <c r="D1595" s="21">
        <v>240</v>
      </c>
      <c r="E1595" s="21">
        <v>30</v>
      </c>
      <c r="F1595" s="21"/>
    </row>
    <row r="1596" spans="1:6" x14ac:dyDescent="0.25">
      <c r="A1596" s="21" t="s">
        <v>1661</v>
      </c>
      <c r="B1596" s="21" t="s">
        <v>22</v>
      </c>
      <c r="C1596" s="21">
        <v>8</v>
      </c>
      <c r="D1596" s="21">
        <v>240</v>
      </c>
      <c r="E1596" s="21">
        <v>30</v>
      </c>
      <c r="F1596" s="21"/>
    </row>
    <row r="1597" spans="1:6" x14ac:dyDescent="0.25">
      <c r="A1597" s="21" t="s">
        <v>1662</v>
      </c>
      <c r="B1597" s="21" t="s">
        <v>22</v>
      </c>
      <c r="C1597" s="21">
        <v>100</v>
      </c>
      <c r="D1597" s="21">
        <v>3600</v>
      </c>
      <c r="E1597" s="21">
        <v>36</v>
      </c>
      <c r="F1597" s="21"/>
    </row>
    <row r="1598" spans="1:6" x14ac:dyDescent="0.25">
      <c r="A1598" s="21" t="s">
        <v>1663</v>
      </c>
      <c r="B1598" s="21" t="s">
        <v>22</v>
      </c>
      <c r="C1598" s="21">
        <v>100</v>
      </c>
      <c r="D1598" s="21">
        <v>3600</v>
      </c>
      <c r="E1598" s="21">
        <v>36</v>
      </c>
      <c r="F1598" s="21"/>
    </row>
    <row r="1599" spans="1:6" x14ac:dyDescent="0.25">
      <c r="A1599" s="21" t="s">
        <v>1664</v>
      </c>
      <c r="B1599" s="21" t="s">
        <v>22</v>
      </c>
      <c r="C1599" s="21">
        <v>8</v>
      </c>
      <c r="D1599" s="21">
        <v>240</v>
      </c>
      <c r="E1599" s="21">
        <v>30</v>
      </c>
      <c r="F1599" s="21"/>
    </row>
    <row r="1600" spans="1:6" x14ac:dyDescent="0.25">
      <c r="A1600" s="21" t="s">
        <v>1665</v>
      </c>
      <c r="B1600" s="21" t="s">
        <v>22</v>
      </c>
      <c r="C1600" s="21">
        <v>8</v>
      </c>
      <c r="D1600" s="21">
        <v>240</v>
      </c>
      <c r="E1600" s="21">
        <v>30</v>
      </c>
      <c r="F1600" s="21"/>
    </row>
    <row r="1601" spans="1:6" x14ac:dyDescent="0.25">
      <c r="A1601" s="21" t="s">
        <v>1666</v>
      </c>
      <c r="B1601" s="21" t="s">
        <v>22</v>
      </c>
      <c r="C1601" s="21">
        <v>100</v>
      </c>
      <c r="D1601" s="21">
        <v>2000</v>
      </c>
      <c r="E1601" s="21">
        <v>20</v>
      </c>
      <c r="F1601" s="21"/>
    </row>
    <row r="1602" spans="1:6" x14ac:dyDescent="0.25">
      <c r="A1602" s="21" t="s">
        <v>1667</v>
      </c>
      <c r="B1602" s="21" t="s">
        <v>22</v>
      </c>
      <c r="C1602" s="21">
        <v>100</v>
      </c>
      <c r="D1602" s="21">
        <v>2000</v>
      </c>
      <c r="E1602" s="21">
        <v>20</v>
      </c>
      <c r="F1602" s="21"/>
    </row>
    <row r="1603" spans="1:6" x14ac:dyDescent="0.25">
      <c r="A1603" s="21" t="s">
        <v>1668</v>
      </c>
      <c r="B1603" s="21" t="s">
        <v>22</v>
      </c>
      <c r="C1603" s="21">
        <v>100</v>
      </c>
      <c r="D1603" s="21">
        <v>2000</v>
      </c>
      <c r="E1603" s="21">
        <v>20</v>
      </c>
      <c r="F1603" s="21"/>
    </row>
    <row r="1604" spans="1:6" x14ac:dyDescent="0.25">
      <c r="A1604" s="21" t="s">
        <v>1669</v>
      </c>
      <c r="B1604" s="21" t="s">
        <v>22</v>
      </c>
      <c r="C1604" s="21">
        <v>100</v>
      </c>
      <c r="D1604" s="21">
        <v>2000</v>
      </c>
      <c r="E1604" s="21">
        <v>20</v>
      </c>
      <c r="F1604" s="21"/>
    </row>
    <row r="1605" spans="1:6" x14ac:dyDescent="0.25">
      <c r="A1605" s="21" t="s">
        <v>1670</v>
      </c>
      <c r="B1605" s="21" t="s">
        <v>22</v>
      </c>
      <c r="C1605" s="21">
        <v>100</v>
      </c>
      <c r="D1605" s="21">
        <v>1500</v>
      </c>
      <c r="E1605" s="21">
        <v>15</v>
      </c>
      <c r="F1605" s="21"/>
    </row>
    <row r="1606" spans="1:6" x14ac:dyDescent="0.25">
      <c r="A1606" s="21" t="s">
        <v>1671</v>
      </c>
      <c r="B1606" s="21" t="s">
        <v>22</v>
      </c>
      <c r="C1606" s="21">
        <v>100</v>
      </c>
      <c r="D1606" s="21">
        <v>2000</v>
      </c>
      <c r="E1606" s="21">
        <v>20</v>
      </c>
      <c r="F1606" s="21"/>
    </row>
    <row r="1607" spans="1:6" x14ac:dyDescent="0.25">
      <c r="A1607" s="21" t="s">
        <v>1672</v>
      </c>
      <c r="B1607" s="21" t="s">
        <v>22</v>
      </c>
      <c r="C1607" s="21">
        <v>50</v>
      </c>
      <c r="D1607" s="21">
        <v>1200</v>
      </c>
      <c r="E1607" s="21">
        <v>24</v>
      </c>
      <c r="F1607" s="21"/>
    </row>
    <row r="1608" spans="1:6" x14ac:dyDescent="0.25">
      <c r="A1608" s="21" t="s">
        <v>1673</v>
      </c>
      <c r="B1608" s="21" t="s">
        <v>22</v>
      </c>
      <c r="C1608" s="21">
        <v>50</v>
      </c>
      <c r="D1608" s="21">
        <v>1200</v>
      </c>
      <c r="E1608" s="21">
        <v>24</v>
      </c>
      <c r="F1608" s="21"/>
    </row>
    <row r="1609" spans="1:6" x14ac:dyDescent="0.25">
      <c r="A1609" s="21" t="s">
        <v>1674</v>
      </c>
      <c r="B1609" s="21" t="s">
        <v>22</v>
      </c>
      <c r="C1609" s="21">
        <v>0</v>
      </c>
      <c r="D1609" s="52">
        <v>0</v>
      </c>
      <c r="E1609" s="21"/>
      <c r="F1609" s="21"/>
    </row>
    <row r="1610" spans="1:6" x14ac:dyDescent="0.25">
      <c r="A1610" s="21" t="s">
        <v>1675</v>
      </c>
      <c r="B1610" s="21" t="s">
        <v>22</v>
      </c>
      <c r="C1610" s="21">
        <v>0</v>
      </c>
      <c r="D1610" s="52">
        <v>0</v>
      </c>
      <c r="E1610" s="21"/>
      <c r="F1610" s="21"/>
    </row>
    <row r="1611" spans="1:6" x14ac:dyDescent="0.25">
      <c r="A1611" s="21" t="s">
        <v>1676</v>
      </c>
      <c r="B1611" s="21" t="s">
        <v>22</v>
      </c>
      <c r="C1611" s="21">
        <v>0</v>
      </c>
      <c r="D1611" s="52">
        <v>0</v>
      </c>
      <c r="E1611" s="21"/>
      <c r="F1611" s="21"/>
    </row>
    <row r="1612" spans="1:6" x14ac:dyDescent="0.25">
      <c r="A1612" s="21" t="s">
        <v>1677</v>
      </c>
      <c r="B1612" s="21" t="s">
        <v>22</v>
      </c>
      <c r="C1612" s="21">
        <v>0</v>
      </c>
      <c r="D1612" s="52">
        <v>0</v>
      </c>
      <c r="E1612" s="21"/>
      <c r="F1612" s="21"/>
    </row>
    <row r="1613" spans="1:6" x14ac:dyDescent="0.25">
      <c r="A1613" s="21" t="s">
        <v>1678</v>
      </c>
      <c r="B1613" s="21" t="s">
        <v>22</v>
      </c>
      <c r="C1613" s="21">
        <v>1</v>
      </c>
      <c r="D1613" s="21">
        <v>72</v>
      </c>
      <c r="E1613" s="21">
        <v>72</v>
      </c>
      <c r="F1613" s="21"/>
    </row>
    <row r="1614" spans="1:6" x14ac:dyDescent="0.25">
      <c r="A1614" s="21" t="s">
        <v>1679</v>
      </c>
      <c r="B1614" s="21" t="s">
        <v>22</v>
      </c>
      <c r="C1614" s="21">
        <v>1</v>
      </c>
      <c r="D1614" s="21">
        <v>72</v>
      </c>
      <c r="E1614" s="21">
        <v>72</v>
      </c>
      <c r="F1614" s="21"/>
    </row>
    <row r="1615" spans="1:6" x14ac:dyDescent="0.25">
      <c r="A1615" s="21" t="s">
        <v>1680</v>
      </c>
      <c r="B1615" s="21" t="s">
        <v>22</v>
      </c>
      <c r="C1615" s="21">
        <v>5</v>
      </c>
      <c r="D1615" s="21">
        <v>60</v>
      </c>
      <c r="E1615" s="21">
        <v>12</v>
      </c>
      <c r="F1615" s="21"/>
    </row>
    <row r="1616" spans="1:6" x14ac:dyDescent="0.25">
      <c r="A1616" s="21" t="s">
        <v>1681</v>
      </c>
      <c r="B1616" s="21" t="s">
        <v>22</v>
      </c>
      <c r="C1616" s="21">
        <v>5</v>
      </c>
      <c r="D1616" s="21">
        <v>60</v>
      </c>
      <c r="E1616" s="21">
        <v>12</v>
      </c>
      <c r="F1616" s="21"/>
    </row>
    <row r="1617" spans="1:6" x14ac:dyDescent="0.25">
      <c r="A1617" s="21" t="s">
        <v>1682</v>
      </c>
      <c r="B1617" s="21" t="s">
        <v>22</v>
      </c>
      <c r="C1617" s="21">
        <v>40</v>
      </c>
      <c r="D1617" s="21">
        <v>960</v>
      </c>
      <c r="E1617" s="21">
        <v>24</v>
      </c>
      <c r="F1617" s="21"/>
    </row>
    <row r="1618" spans="1:6" x14ac:dyDescent="0.25">
      <c r="A1618" s="21" t="s">
        <v>1683</v>
      </c>
      <c r="B1618" s="21" t="s">
        <v>22</v>
      </c>
      <c r="C1618" s="21">
        <v>4</v>
      </c>
      <c r="D1618" s="21">
        <v>112</v>
      </c>
      <c r="E1618" s="21">
        <v>28</v>
      </c>
      <c r="F1618" s="21"/>
    </row>
    <row r="1619" spans="1:6" x14ac:dyDescent="0.25">
      <c r="A1619" s="21" t="s">
        <v>1684</v>
      </c>
      <c r="B1619" s="21" t="s">
        <v>22</v>
      </c>
      <c r="C1619" s="21">
        <v>30</v>
      </c>
      <c r="D1619" s="21">
        <v>1080</v>
      </c>
      <c r="E1619" s="21">
        <v>36</v>
      </c>
      <c r="F1619" s="21"/>
    </row>
    <row r="1620" spans="1:6" x14ac:dyDescent="0.25">
      <c r="A1620" s="21" t="s">
        <v>1685</v>
      </c>
      <c r="B1620" s="21" t="s">
        <v>22</v>
      </c>
      <c r="C1620" s="21">
        <v>30</v>
      </c>
      <c r="D1620" s="21">
        <v>1080</v>
      </c>
      <c r="E1620" s="21">
        <v>36</v>
      </c>
      <c r="F1620" s="21"/>
    </row>
    <row r="1621" spans="1:6" x14ac:dyDescent="0.25">
      <c r="A1621" s="21" t="s">
        <v>1686</v>
      </c>
      <c r="B1621" s="21" t="s">
        <v>22</v>
      </c>
      <c r="C1621" s="21">
        <v>30</v>
      </c>
      <c r="D1621" s="21">
        <v>1080</v>
      </c>
      <c r="E1621" s="21">
        <v>36</v>
      </c>
      <c r="F1621" s="21"/>
    </row>
    <row r="1622" spans="1:6" x14ac:dyDescent="0.25">
      <c r="A1622" s="21" t="s">
        <v>1687</v>
      </c>
      <c r="B1622" s="21" t="s">
        <v>22</v>
      </c>
      <c r="C1622" s="21">
        <v>30</v>
      </c>
      <c r="D1622" s="21">
        <v>1080</v>
      </c>
      <c r="E1622" s="21">
        <v>36</v>
      </c>
      <c r="F1622" s="21"/>
    </row>
    <row r="1623" spans="1:6" x14ac:dyDescent="0.25">
      <c r="A1623" s="21" t="s">
        <v>1688</v>
      </c>
      <c r="B1623" s="21" t="s">
        <v>22</v>
      </c>
      <c r="C1623" s="21">
        <v>30</v>
      </c>
      <c r="D1623" s="21">
        <v>1080</v>
      </c>
      <c r="E1623" s="21">
        <v>36</v>
      </c>
      <c r="F1623" s="21"/>
    </row>
    <row r="1624" spans="1:6" x14ac:dyDescent="0.25">
      <c r="A1624" s="21" t="s">
        <v>1689</v>
      </c>
      <c r="B1624" s="21" t="s">
        <v>22</v>
      </c>
      <c r="C1624" s="21">
        <v>30</v>
      </c>
      <c r="D1624" s="21">
        <v>1080</v>
      </c>
      <c r="E1624" s="21">
        <v>36</v>
      </c>
      <c r="F1624" s="21"/>
    </row>
    <row r="1625" spans="1:6" x14ac:dyDescent="0.25">
      <c r="A1625" s="21" t="s">
        <v>1690</v>
      </c>
      <c r="B1625" s="21" t="s">
        <v>22</v>
      </c>
      <c r="C1625" s="21">
        <v>1</v>
      </c>
      <c r="D1625" s="21">
        <v>16</v>
      </c>
      <c r="E1625" s="21">
        <v>16</v>
      </c>
      <c r="F1625" s="21"/>
    </row>
    <row r="1626" spans="1:6" x14ac:dyDescent="0.25">
      <c r="A1626" s="21" t="s">
        <v>1691</v>
      </c>
      <c r="B1626" s="21" t="s">
        <v>22</v>
      </c>
      <c r="C1626" s="21">
        <v>1</v>
      </c>
      <c r="D1626" s="21">
        <v>16</v>
      </c>
      <c r="E1626" s="21">
        <v>16</v>
      </c>
      <c r="F1626" s="21"/>
    </row>
    <row r="1627" spans="1:6" x14ac:dyDescent="0.25">
      <c r="A1627" s="21" t="s">
        <v>1692</v>
      </c>
      <c r="B1627" s="21" t="s">
        <v>22</v>
      </c>
      <c r="C1627" s="21">
        <v>1</v>
      </c>
      <c r="D1627" s="21">
        <v>16</v>
      </c>
      <c r="E1627" s="21">
        <v>16</v>
      </c>
      <c r="F1627" s="21"/>
    </row>
    <row r="1628" spans="1:6" x14ac:dyDescent="0.25">
      <c r="A1628" s="21" t="s">
        <v>1693</v>
      </c>
      <c r="B1628" s="21" t="s">
        <v>22</v>
      </c>
      <c r="C1628" s="21">
        <v>1</v>
      </c>
      <c r="D1628" s="21">
        <v>20</v>
      </c>
      <c r="E1628" s="21">
        <v>20</v>
      </c>
      <c r="F1628" s="21"/>
    </row>
    <row r="1629" spans="1:6" x14ac:dyDescent="0.25">
      <c r="A1629" s="21" t="s">
        <v>1694</v>
      </c>
      <c r="B1629" s="21" t="s">
        <v>22</v>
      </c>
      <c r="C1629" s="21">
        <v>1</v>
      </c>
      <c r="D1629" s="21">
        <v>20</v>
      </c>
      <c r="E1629" s="21">
        <v>20</v>
      </c>
      <c r="F1629" s="21"/>
    </row>
    <row r="1630" spans="1:6" x14ac:dyDescent="0.25">
      <c r="A1630" s="21" t="s">
        <v>1695</v>
      </c>
      <c r="B1630" s="21" t="s">
        <v>22</v>
      </c>
      <c r="C1630" s="21">
        <v>1</v>
      </c>
      <c r="D1630" s="21">
        <v>20</v>
      </c>
      <c r="E1630" s="21">
        <v>20</v>
      </c>
      <c r="F1630" s="21"/>
    </row>
    <row r="1631" spans="1:6" x14ac:dyDescent="0.25">
      <c r="A1631" s="21" t="s">
        <v>1696</v>
      </c>
      <c r="B1631" s="21" t="s">
        <v>22</v>
      </c>
      <c r="C1631" s="21">
        <v>1</v>
      </c>
      <c r="D1631" s="21">
        <v>16</v>
      </c>
      <c r="E1631" s="21">
        <v>16</v>
      </c>
      <c r="F1631" s="21"/>
    </row>
    <row r="1632" spans="1:6" x14ac:dyDescent="0.25">
      <c r="A1632" s="21" t="s">
        <v>1697</v>
      </c>
      <c r="B1632" s="21" t="s">
        <v>22</v>
      </c>
      <c r="C1632" s="21">
        <v>1</v>
      </c>
      <c r="D1632" s="21">
        <v>16</v>
      </c>
      <c r="E1632" s="21">
        <v>16</v>
      </c>
      <c r="F1632" s="21"/>
    </row>
    <row r="1633" spans="1:6" x14ac:dyDescent="0.25">
      <c r="A1633" s="21" t="s">
        <v>1698</v>
      </c>
      <c r="B1633" s="21" t="s">
        <v>22</v>
      </c>
      <c r="C1633" s="21">
        <v>1</v>
      </c>
      <c r="D1633" s="21">
        <v>16</v>
      </c>
      <c r="E1633" s="21">
        <v>16</v>
      </c>
      <c r="F1633" s="21"/>
    </row>
    <row r="1634" spans="1:6" x14ac:dyDescent="0.25">
      <c r="A1634" s="21" t="s">
        <v>1699</v>
      </c>
      <c r="B1634" s="21" t="s">
        <v>22</v>
      </c>
      <c r="C1634" s="21">
        <v>1</v>
      </c>
      <c r="D1634" s="21">
        <v>24</v>
      </c>
      <c r="E1634" s="21">
        <v>24</v>
      </c>
      <c r="F1634" s="21"/>
    </row>
    <row r="1635" spans="1:6" x14ac:dyDescent="0.25">
      <c r="A1635" s="21" t="s">
        <v>1700</v>
      </c>
      <c r="B1635" s="21" t="s">
        <v>22</v>
      </c>
      <c r="C1635" s="21">
        <v>1</v>
      </c>
      <c r="D1635" s="21">
        <v>24</v>
      </c>
      <c r="E1635" s="21">
        <v>24</v>
      </c>
      <c r="F1635" s="21"/>
    </row>
    <row r="1636" spans="1:6" x14ac:dyDescent="0.25">
      <c r="A1636" s="21" t="s">
        <v>1701</v>
      </c>
      <c r="B1636" s="21" t="s">
        <v>22</v>
      </c>
      <c r="C1636" s="21">
        <v>1</v>
      </c>
      <c r="D1636" s="21">
        <v>24</v>
      </c>
      <c r="E1636" s="21">
        <v>24</v>
      </c>
      <c r="F1636" s="21"/>
    </row>
    <row r="1637" spans="1:6" x14ac:dyDescent="0.25">
      <c r="A1637" s="21" t="s">
        <v>1702</v>
      </c>
      <c r="B1637" s="21" t="s">
        <v>22</v>
      </c>
      <c r="C1637" s="21">
        <v>1</v>
      </c>
      <c r="D1637" s="21">
        <v>24</v>
      </c>
      <c r="E1637" s="21">
        <v>24</v>
      </c>
      <c r="F1637" s="21"/>
    </row>
    <row r="1638" spans="1:6" x14ac:dyDescent="0.25">
      <c r="A1638" s="21" t="s">
        <v>1703</v>
      </c>
      <c r="B1638" s="21" t="s">
        <v>22</v>
      </c>
      <c r="C1638" s="21">
        <v>1</v>
      </c>
      <c r="D1638" s="21">
        <v>24</v>
      </c>
      <c r="E1638" s="21">
        <v>24</v>
      </c>
      <c r="F1638" s="21"/>
    </row>
    <row r="1639" spans="1:6" x14ac:dyDescent="0.25">
      <c r="A1639" s="21" t="s">
        <v>1704</v>
      </c>
      <c r="B1639" s="21" t="s">
        <v>22</v>
      </c>
      <c r="C1639" s="21">
        <v>1</v>
      </c>
      <c r="D1639" s="21">
        <v>24</v>
      </c>
      <c r="E1639" s="21">
        <v>24</v>
      </c>
      <c r="F1639" s="21"/>
    </row>
    <row r="1640" spans="1:6" x14ac:dyDescent="0.25">
      <c r="A1640" s="21" t="s">
        <v>1705</v>
      </c>
      <c r="B1640" s="21" t="s">
        <v>22</v>
      </c>
      <c r="C1640" s="21">
        <v>2</v>
      </c>
      <c r="D1640" s="21">
        <v>288</v>
      </c>
      <c r="E1640" s="21">
        <v>144</v>
      </c>
      <c r="F1640" s="21"/>
    </row>
    <row r="1641" spans="1:6" x14ac:dyDescent="0.25">
      <c r="A1641" s="21" t="s">
        <v>1706</v>
      </c>
      <c r="B1641" s="21" t="s">
        <v>22</v>
      </c>
      <c r="C1641" s="21">
        <v>30</v>
      </c>
      <c r="D1641" s="21">
        <v>720</v>
      </c>
      <c r="E1641" s="21">
        <v>24</v>
      </c>
      <c r="F1641" s="21"/>
    </row>
    <row r="1642" spans="1:6" x14ac:dyDescent="0.25">
      <c r="A1642" s="21" t="s">
        <v>1707</v>
      </c>
      <c r="B1642" s="21" t="s">
        <v>22</v>
      </c>
      <c r="C1642" s="21">
        <v>30</v>
      </c>
      <c r="D1642" s="21">
        <v>1800</v>
      </c>
      <c r="E1642" s="21">
        <v>60</v>
      </c>
      <c r="F1642" s="21"/>
    </row>
    <row r="1643" spans="1:6" x14ac:dyDescent="0.25">
      <c r="A1643" s="21" t="s">
        <v>1708</v>
      </c>
      <c r="B1643" s="21" t="s">
        <v>22</v>
      </c>
      <c r="C1643" s="21">
        <v>30</v>
      </c>
      <c r="D1643" s="21">
        <v>1800</v>
      </c>
      <c r="E1643" s="21">
        <v>60</v>
      </c>
      <c r="F1643" s="21"/>
    </row>
    <row r="1644" spans="1:6" x14ac:dyDescent="0.25">
      <c r="A1644" s="21" t="s">
        <v>1709</v>
      </c>
      <c r="B1644" s="21" t="s">
        <v>22</v>
      </c>
      <c r="C1644" s="21">
        <v>30</v>
      </c>
      <c r="D1644" s="21">
        <v>1800</v>
      </c>
      <c r="E1644" s="21">
        <v>60</v>
      </c>
      <c r="F1644" s="21"/>
    </row>
    <row r="1645" spans="1:6" x14ac:dyDescent="0.25">
      <c r="A1645" s="21" t="s">
        <v>1710</v>
      </c>
      <c r="B1645" s="21" t="s">
        <v>22</v>
      </c>
      <c r="C1645" s="21">
        <v>30</v>
      </c>
      <c r="D1645" s="21">
        <v>1800</v>
      </c>
      <c r="E1645" s="21">
        <v>60</v>
      </c>
      <c r="F1645" s="21"/>
    </row>
    <row r="1646" spans="1:6" x14ac:dyDescent="0.25">
      <c r="A1646" s="21" t="s">
        <v>1711</v>
      </c>
      <c r="B1646" s="21" t="s">
        <v>22</v>
      </c>
      <c r="C1646" s="21">
        <v>30</v>
      </c>
      <c r="D1646" s="21">
        <v>1200</v>
      </c>
      <c r="E1646" s="21">
        <v>40</v>
      </c>
      <c r="F1646" s="21"/>
    </row>
    <row r="1647" spans="1:6" x14ac:dyDescent="0.25">
      <c r="A1647" s="21" t="s">
        <v>1712</v>
      </c>
      <c r="B1647" s="21" t="s">
        <v>22</v>
      </c>
      <c r="C1647" s="21">
        <v>0</v>
      </c>
      <c r="D1647" s="52">
        <v>0</v>
      </c>
      <c r="E1647" s="21"/>
      <c r="F1647" s="21"/>
    </row>
    <row r="1648" spans="1:6" x14ac:dyDescent="0.25">
      <c r="A1648" s="21" t="s">
        <v>1713</v>
      </c>
      <c r="B1648" s="21" t="s">
        <v>22</v>
      </c>
      <c r="C1648" s="21">
        <v>1</v>
      </c>
      <c r="D1648" s="21">
        <v>18</v>
      </c>
      <c r="E1648" s="21">
        <v>18</v>
      </c>
      <c r="F1648" s="21"/>
    </row>
    <row r="1649" spans="1:6" x14ac:dyDescent="0.25">
      <c r="A1649" s="21" t="s">
        <v>1714</v>
      </c>
      <c r="B1649" s="21" t="s">
        <v>22</v>
      </c>
      <c r="C1649" s="21">
        <v>1</v>
      </c>
      <c r="D1649" s="21">
        <v>18</v>
      </c>
      <c r="E1649" s="21">
        <v>18</v>
      </c>
      <c r="F1649" s="21"/>
    </row>
    <row r="1650" spans="1:6" x14ac:dyDescent="0.25">
      <c r="A1650" s="21" t="s">
        <v>1715</v>
      </c>
      <c r="B1650" s="21" t="s">
        <v>22</v>
      </c>
      <c r="C1650" s="21">
        <v>1</v>
      </c>
      <c r="D1650" s="21">
        <v>18</v>
      </c>
      <c r="E1650" s="21">
        <v>18</v>
      </c>
      <c r="F1650" s="21"/>
    </row>
    <row r="1651" spans="1:6" x14ac:dyDescent="0.25">
      <c r="A1651" s="21" t="s">
        <v>1716</v>
      </c>
      <c r="B1651" s="21" t="s">
        <v>22</v>
      </c>
      <c r="C1651" s="21">
        <v>1</v>
      </c>
      <c r="D1651" s="21">
        <v>18</v>
      </c>
      <c r="E1651" s="21">
        <v>18</v>
      </c>
      <c r="F1651" s="21"/>
    </row>
    <row r="1652" spans="1:6" x14ac:dyDescent="0.25">
      <c r="A1652" s="21" t="s">
        <v>1717</v>
      </c>
      <c r="B1652" s="21" t="s">
        <v>22</v>
      </c>
      <c r="C1652" s="21">
        <v>1</v>
      </c>
      <c r="D1652" s="21">
        <v>18</v>
      </c>
      <c r="E1652" s="21">
        <v>18</v>
      </c>
      <c r="F1652" s="21"/>
    </row>
    <row r="1653" spans="1:6" x14ac:dyDescent="0.25">
      <c r="A1653" s="21" t="s">
        <v>1718</v>
      </c>
      <c r="B1653" s="21" t="s">
        <v>22</v>
      </c>
      <c r="C1653" s="21">
        <v>1</v>
      </c>
      <c r="D1653" s="21">
        <v>18</v>
      </c>
      <c r="E1653" s="21">
        <v>18</v>
      </c>
      <c r="F1653" s="21"/>
    </row>
    <row r="1654" spans="1:6" x14ac:dyDescent="0.25">
      <c r="A1654" s="21" t="s">
        <v>1719</v>
      </c>
      <c r="B1654" s="21" t="s">
        <v>22</v>
      </c>
      <c r="C1654" s="21">
        <v>1</v>
      </c>
      <c r="D1654" s="21">
        <v>144</v>
      </c>
      <c r="E1654" s="21">
        <v>144</v>
      </c>
      <c r="F1654" s="21"/>
    </row>
    <row r="1655" spans="1:6" x14ac:dyDescent="0.25">
      <c r="A1655" s="21" t="s">
        <v>1720</v>
      </c>
      <c r="B1655" s="21" t="s">
        <v>22</v>
      </c>
      <c r="C1655" s="21">
        <v>1</v>
      </c>
      <c r="D1655" s="21">
        <v>144</v>
      </c>
      <c r="E1655" s="21">
        <v>144</v>
      </c>
      <c r="F1655" s="21"/>
    </row>
    <row r="1656" spans="1:6" x14ac:dyDescent="0.25">
      <c r="A1656" s="21" t="s">
        <v>1721</v>
      </c>
      <c r="B1656" s="21" t="s">
        <v>22</v>
      </c>
      <c r="C1656" s="21">
        <v>1</v>
      </c>
      <c r="D1656" s="21">
        <v>144</v>
      </c>
      <c r="E1656" s="21">
        <v>144</v>
      </c>
      <c r="F1656" s="21"/>
    </row>
    <row r="1657" spans="1:6" x14ac:dyDescent="0.25">
      <c r="A1657" s="21" t="s">
        <v>1722</v>
      </c>
      <c r="B1657" s="21" t="s">
        <v>22</v>
      </c>
      <c r="C1657" s="21">
        <v>1</v>
      </c>
      <c r="D1657" s="21">
        <v>144</v>
      </c>
      <c r="E1657" s="21">
        <v>144</v>
      </c>
      <c r="F1657" s="21"/>
    </row>
    <row r="1658" spans="1:6" x14ac:dyDescent="0.25">
      <c r="A1658" s="21" t="s">
        <v>1723</v>
      </c>
      <c r="B1658" s="21" t="s">
        <v>22</v>
      </c>
      <c r="C1658" s="21">
        <v>1</v>
      </c>
      <c r="D1658" s="21">
        <v>144</v>
      </c>
      <c r="E1658" s="21">
        <v>144</v>
      </c>
      <c r="F1658" s="21"/>
    </row>
    <row r="1659" spans="1:6" x14ac:dyDescent="0.25">
      <c r="A1659" s="21" t="s">
        <v>1724</v>
      </c>
      <c r="B1659" s="21" t="s">
        <v>22</v>
      </c>
      <c r="C1659" s="21">
        <v>1</v>
      </c>
      <c r="D1659" s="21">
        <v>144</v>
      </c>
      <c r="E1659" s="21">
        <v>144</v>
      </c>
      <c r="F1659" s="21"/>
    </row>
    <row r="1660" spans="1:6" x14ac:dyDescent="0.25">
      <c r="A1660" s="21" t="s">
        <v>1725</v>
      </c>
      <c r="B1660" s="21" t="s">
        <v>22</v>
      </c>
      <c r="C1660" s="21">
        <v>1</v>
      </c>
      <c r="D1660" s="21">
        <v>144</v>
      </c>
      <c r="E1660" s="21">
        <v>144</v>
      </c>
      <c r="F1660" s="21"/>
    </row>
    <row r="1661" spans="1:6" x14ac:dyDescent="0.25">
      <c r="A1661" s="21" t="s">
        <v>1726</v>
      </c>
      <c r="B1661" s="21" t="s">
        <v>22</v>
      </c>
      <c r="C1661" s="21">
        <v>1</v>
      </c>
      <c r="D1661" s="21">
        <v>144</v>
      </c>
      <c r="E1661" s="21">
        <v>144</v>
      </c>
      <c r="F1661" s="21"/>
    </row>
    <row r="1662" spans="1:6" x14ac:dyDescent="0.25">
      <c r="A1662" s="21" t="s">
        <v>1727</v>
      </c>
      <c r="B1662" s="21" t="s">
        <v>22</v>
      </c>
      <c r="C1662" s="21">
        <v>1</v>
      </c>
      <c r="D1662" s="21">
        <v>144</v>
      </c>
      <c r="E1662" s="21">
        <v>144</v>
      </c>
      <c r="F1662" s="21"/>
    </row>
    <row r="1663" spans="1:6" x14ac:dyDescent="0.25">
      <c r="A1663" s="21" t="s">
        <v>1728</v>
      </c>
      <c r="B1663" s="21" t="s">
        <v>22</v>
      </c>
      <c r="C1663" s="21">
        <v>1</v>
      </c>
      <c r="D1663" s="21">
        <v>144</v>
      </c>
      <c r="E1663" s="21">
        <v>144</v>
      </c>
      <c r="F1663" s="21"/>
    </row>
    <row r="1664" spans="1:6" x14ac:dyDescent="0.25">
      <c r="A1664" s="21" t="s">
        <v>1729</v>
      </c>
      <c r="B1664" s="21" t="s">
        <v>22</v>
      </c>
      <c r="C1664" s="21">
        <v>1</v>
      </c>
      <c r="D1664" s="21">
        <v>144</v>
      </c>
      <c r="E1664" s="21">
        <v>144</v>
      </c>
      <c r="F1664" s="21"/>
    </row>
    <row r="1665" spans="1:6" x14ac:dyDescent="0.25">
      <c r="A1665" s="21" t="s">
        <v>1730</v>
      </c>
      <c r="B1665" s="21" t="s">
        <v>22</v>
      </c>
      <c r="C1665" s="21">
        <v>1</v>
      </c>
      <c r="D1665" s="21">
        <v>144</v>
      </c>
      <c r="E1665" s="21">
        <v>144</v>
      </c>
      <c r="F1665" s="21"/>
    </row>
    <row r="1666" spans="1:6" x14ac:dyDescent="0.25">
      <c r="A1666" s="21" t="s">
        <v>1731</v>
      </c>
      <c r="B1666" s="21" t="s">
        <v>22</v>
      </c>
      <c r="C1666" s="21">
        <v>1</v>
      </c>
      <c r="D1666" s="21">
        <v>108</v>
      </c>
      <c r="E1666" s="21">
        <v>108</v>
      </c>
      <c r="F1666" s="21"/>
    </row>
    <row r="1667" spans="1:6" x14ac:dyDescent="0.25">
      <c r="A1667" s="21" t="s">
        <v>1732</v>
      </c>
      <c r="B1667" s="21" t="s">
        <v>22</v>
      </c>
      <c r="C1667" s="21">
        <v>1</v>
      </c>
      <c r="D1667" s="21">
        <v>108</v>
      </c>
      <c r="E1667" s="21">
        <v>108</v>
      </c>
      <c r="F1667" s="21"/>
    </row>
    <row r="1668" spans="1:6" x14ac:dyDescent="0.25">
      <c r="A1668" s="21" t="s">
        <v>1733</v>
      </c>
      <c r="B1668" s="21" t="s">
        <v>22</v>
      </c>
      <c r="C1668" s="21">
        <v>1</v>
      </c>
      <c r="D1668" s="21">
        <v>108</v>
      </c>
      <c r="E1668" s="21">
        <v>108</v>
      </c>
      <c r="F1668" s="21"/>
    </row>
    <row r="1669" spans="1:6" x14ac:dyDescent="0.25">
      <c r="A1669" s="21" t="s">
        <v>1734</v>
      </c>
      <c r="B1669" s="21" t="s">
        <v>22</v>
      </c>
      <c r="C1669" s="21">
        <v>1</v>
      </c>
      <c r="D1669" s="21">
        <v>14</v>
      </c>
      <c r="E1669" s="21">
        <v>14</v>
      </c>
      <c r="F1669" s="21"/>
    </row>
    <row r="1670" spans="1:6" x14ac:dyDescent="0.25">
      <c r="A1670" s="21" t="s">
        <v>1735</v>
      </c>
      <c r="B1670" s="21" t="s">
        <v>22</v>
      </c>
      <c r="C1670" s="21">
        <v>1</v>
      </c>
      <c r="D1670" s="21">
        <v>14</v>
      </c>
      <c r="E1670" s="21">
        <v>14</v>
      </c>
      <c r="F1670" s="21"/>
    </row>
    <row r="1671" spans="1:6" x14ac:dyDescent="0.25">
      <c r="A1671" s="21" t="s">
        <v>1736</v>
      </c>
      <c r="B1671" s="21" t="s">
        <v>22</v>
      </c>
      <c r="C1671" s="21">
        <v>1</v>
      </c>
      <c r="D1671" s="21">
        <v>14</v>
      </c>
      <c r="E1671" s="21">
        <v>14</v>
      </c>
      <c r="F1671" s="21"/>
    </row>
    <row r="1672" spans="1:6" x14ac:dyDescent="0.25">
      <c r="A1672" s="21" t="s">
        <v>1737</v>
      </c>
      <c r="B1672" s="21" t="s">
        <v>22</v>
      </c>
      <c r="C1672" s="21">
        <v>1</v>
      </c>
      <c r="D1672" s="21">
        <v>14</v>
      </c>
      <c r="E1672" s="21">
        <v>14</v>
      </c>
      <c r="F1672" s="21"/>
    </row>
    <row r="1673" spans="1:6" x14ac:dyDescent="0.25">
      <c r="A1673" s="21" t="s">
        <v>1738</v>
      </c>
      <c r="B1673" s="21" t="s">
        <v>22</v>
      </c>
      <c r="C1673" s="21">
        <v>1</v>
      </c>
      <c r="D1673" s="21">
        <v>14</v>
      </c>
      <c r="E1673" s="21">
        <v>14</v>
      </c>
      <c r="F1673" s="21"/>
    </row>
    <row r="1674" spans="1:6" x14ac:dyDescent="0.25">
      <c r="A1674" s="21" t="s">
        <v>1739</v>
      </c>
      <c r="B1674" s="21" t="s">
        <v>22</v>
      </c>
      <c r="C1674" s="21">
        <v>1</v>
      </c>
      <c r="D1674" s="21">
        <v>14</v>
      </c>
      <c r="E1674" s="21">
        <v>14</v>
      </c>
      <c r="F1674" s="21"/>
    </row>
    <row r="1675" spans="1:6" x14ac:dyDescent="0.25">
      <c r="A1675" s="21" t="s">
        <v>1740</v>
      </c>
      <c r="B1675" s="21" t="s">
        <v>22</v>
      </c>
      <c r="C1675" s="21">
        <v>1</v>
      </c>
      <c r="D1675" s="21">
        <v>18</v>
      </c>
      <c r="E1675" s="21">
        <v>18</v>
      </c>
      <c r="F1675" s="21"/>
    </row>
    <row r="1676" spans="1:6" x14ac:dyDescent="0.25">
      <c r="A1676" s="21" t="s">
        <v>1741</v>
      </c>
      <c r="B1676" s="21" t="s">
        <v>22</v>
      </c>
      <c r="C1676" s="21">
        <v>1</v>
      </c>
      <c r="D1676" s="21">
        <v>18</v>
      </c>
      <c r="E1676" s="21">
        <v>18</v>
      </c>
      <c r="F1676" s="21"/>
    </row>
    <row r="1677" spans="1:6" x14ac:dyDescent="0.25">
      <c r="A1677" s="21" t="s">
        <v>1742</v>
      </c>
      <c r="B1677" s="21" t="s">
        <v>22</v>
      </c>
      <c r="C1677" s="21">
        <v>1</v>
      </c>
      <c r="D1677" s="21">
        <v>18</v>
      </c>
      <c r="E1677" s="21">
        <v>18</v>
      </c>
      <c r="F1677" s="21"/>
    </row>
    <row r="1678" spans="1:6" x14ac:dyDescent="0.25">
      <c r="A1678" s="21" t="s">
        <v>1743</v>
      </c>
      <c r="B1678" s="21" t="s">
        <v>595</v>
      </c>
      <c r="C1678" s="21">
        <v>100</v>
      </c>
      <c r="D1678" s="21">
        <v>4800</v>
      </c>
      <c r="E1678" s="21">
        <v>48</v>
      </c>
      <c r="F1678" s="21"/>
    </row>
    <row r="1679" spans="1:6" x14ac:dyDescent="0.25">
      <c r="A1679" s="21" t="s">
        <v>1744</v>
      </c>
      <c r="B1679" s="21" t="s">
        <v>22</v>
      </c>
      <c r="C1679" s="21">
        <v>1</v>
      </c>
      <c r="D1679" s="52">
        <v>0</v>
      </c>
      <c r="E1679" s="21"/>
      <c r="F1679" s="21"/>
    </row>
    <row r="1680" spans="1:6" x14ac:dyDescent="0.25">
      <c r="A1680" s="21" t="s">
        <v>1745</v>
      </c>
      <c r="B1680" s="21" t="s">
        <v>22</v>
      </c>
      <c r="C1680" s="21">
        <v>1</v>
      </c>
      <c r="D1680" s="21">
        <v>60</v>
      </c>
      <c r="E1680" s="21">
        <v>60</v>
      </c>
      <c r="F1680" s="21"/>
    </row>
    <row r="1681" spans="1:6" x14ac:dyDescent="0.25">
      <c r="A1681" s="21" t="s">
        <v>1746</v>
      </c>
      <c r="B1681" s="21" t="s">
        <v>22</v>
      </c>
      <c r="C1681" s="21">
        <v>1</v>
      </c>
      <c r="D1681" s="21">
        <v>156</v>
      </c>
      <c r="E1681" s="21">
        <v>156</v>
      </c>
      <c r="F1681" s="21"/>
    </row>
    <row r="1682" spans="1:6" x14ac:dyDescent="0.25">
      <c r="A1682" s="21" t="s">
        <v>1747</v>
      </c>
      <c r="B1682" s="21" t="s">
        <v>22</v>
      </c>
      <c r="C1682" s="21">
        <v>1</v>
      </c>
      <c r="D1682" s="52">
        <v>0</v>
      </c>
      <c r="E1682" s="21"/>
      <c r="F1682" s="21"/>
    </row>
    <row r="1683" spans="1:6" x14ac:dyDescent="0.25">
      <c r="A1683" s="21" t="s">
        <v>1748</v>
      </c>
      <c r="B1683" s="21" t="s">
        <v>22</v>
      </c>
      <c r="C1683" s="21">
        <v>1</v>
      </c>
      <c r="D1683" s="52">
        <v>0</v>
      </c>
      <c r="E1683" s="21"/>
      <c r="F1683" s="21"/>
    </row>
    <row r="1684" spans="1:6" x14ac:dyDescent="0.25">
      <c r="A1684" s="21" t="s">
        <v>1749</v>
      </c>
      <c r="B1684" s="21" t="s">
        <v>22</v>
      </c>
      <c r="C1684" s="21">
        <v>1</v>
      </c>
      <c r="D1684" s="21">
        <v>117</v>
      </c>
      <c r="E1684" s="21">
        <v>117</v>
      </c>
      <c r="F1684" s="21"/>
    </row>
    <row r="1685" spans="1:6" x14ac:dyDescent="0.25">
      <c r="A1685" s="21" t="s">
        <v>1750</v>
      </c>
      <c r="B1685" s="21" t="s">
        <v>22</v>
      </c>
      <c r="C1685" s="21">
        <v>1</v>
      </c>
      <c r="D1685" s="21">
        <v>156</v>
      </c>
      <c r="E1685" s="21">
        <v>156</v>
      </c>
      <c r="F1685" s="21"/>
    </row>
    <row r="1686" spans="1:6" x14ac:dyDescent="0.25">
      <c r="A1686" s="21" t="s">
        <v>1751</v>
      </c>
      <c r="B1686" s="21" t="s">
        <v>22</v>
      </c>
      <c r="C1686" s="21">
        <v>1</v>
      </c>
      <c r="D1686" s="52">
        <v>0</v>
      </c>
      <c r="E1686" s="21"/>
      <c r="F1686" s="21"/>
    </row>
    <row r="1687" spans="1:6" x14ac:dyDescent="0.25">
      <c r="A1687" s="21" t="s">
        <v>1752</v>
      </c>
      <c r="B1687" s="21" t="s">
        <v>22</v>
      </c>
      <c r="C1687" s="21">
        <v>1</v>
      </c>
      <c r="D1687" s="52">
        <v>0</v>
      </c>
      <c r="E1687" s="21"/>
      <c r="F1687" s="21"/>
    </row>
    <row r="1688" spans="1:6" x14ac:dyDescent="0.25">
      <c r="A1688" s="21" t="s">
        <v>1753</v>
      </c>
      <c r="B1688" s="21" t="s">
        <v>22</v>
      </c>
      <c r="C1688" s="21">
        <v>1</v>
      </c>
      <c r="D1688" s="21">
        <v>30</v>
      </c>
      <c r="E1688" s="21">
        <v>30</v>
      </c>
      <c r="F1688" s="21"/>
    </row>
    <row r="1689" spans="1:6" x14ac:dyDescent="0.25">
      <c r="A1689" s="21" t="s">
        <v>1754</v>
      </c>
      <c r="B1689" s="21" t="s">
        <v>22</v>
      </c>
      <c r="C1689" s="21">
        <v>1</v>
      </c>
      <c r="D1689" s="21">
        <v>104</v>
      </c>
      <c r="E1689" s="21">
        <v>104</v>
      </c>
      <c r="F1689" s="21"/>
    </row>
    <row r="1690" spans="1:6" x14ac:dyDescent="0.25">
      <c r="A1690" s="21" t="s">
        <v>1755</v>
      </c>
      <c r="B1690" s="21" t="s">
        <v>22</v>
      </c>
      <c r="C1690" s="21">
        <v>1</v>
      </c>
      <c r="D1690" s="52">
        <v>0</v>
      </c>
      <c r="E1690" s="21"/>
      <c r="F1690" s="21"/>
    </row>
    <row r="1691" spans="1:6" x14ac:dyDescent="0.25">
      <c r="A1691" s="21" t="s">
        <v>1756</v>
      </c>
      <c r="B1691" s="21" t="s">
        <v>22</v>
      </c>
      <c r="C1691" s="21">
        <v>1</v>
      </c>
      <c r="D1691" s="21">
        <v>30</v>
      </c>
      <c r="E1691" s="21">
        <v>30</v>
      </c>
      <c r="F1691" s="21"/>
    </row>
    <row r="1692" spans="1:6" x14ac:dyDescent="0.25">
      <c r="A1692" s="21" t="s">
        <v>1757</v>
      </c>
      <c r="B1692" s="21" t="s">
        <v>22</v>
      </c>
      <c r="C1692" s="21">
        <v>1</v>
      </c>
      <c r="D1692" s="21">
        <v>104</v>
      </c>
      <c r="E1692" s="21">
        <v>104</v>
      </c>
      <c r="F1692" s="21"/>
    </row>
    <row r="1693" spans="1:6" x14ac:dyDescent="0.25">
      <c r="A1693" s="21" t="s">
        <v>1758</v>
      </c>
      <c r="B1693" s="21" t="s">
        <v>22</v>
      </c>
      <c r="C1693" s="21">
        <v>1</v>
      </c>
      <c r="D1693" s="52">
        <v>0</v>
      </c>
      <c r="E1693" s="21"/>
      <c r="F1693" s="21"/>
    </row>
    <row r="1694" spans="1:6" x14ac:dyDescent="0.25">
      <c r="A1694" s="21" t="s">
        <v>1759</v>
      </c>
      <c r="B1694" s="21" t="s">
        <v>22</v>
      </c>
      <c r="C1694" s="21">
        <v>1</v>
      </c>
      <c r="D1694" s="21">
        <v>23</v>
      </c>
      <c r="E1694" s="21">
        <v>23</v>
      </c>
      <c r="F1694" s="21"/>
    </row>
    <row r="1695" spans="1:6" x14ac:dyDescent="0.25">
      <c r="A1695" s="21" t="s">
        <v>1760</v>
      </c>
      <c r="B1695" s="21" t="s">
        <v>22</v>
      </c>
      <c r="C1695" s="21">
        <v>1</v>
      </c>
      <c r="D1695" s="52">
        <v>0</v>
      </c>
      <c r="E1695" s="21"/>
      <c r="F1695" s="21"/>
    </row>
    <row r="1696" spans="1:6" x14ac:dyDescent="0.25">
      <c r="A1696" s="21" t="s">
        <v>1761</v>
      </c>
      <c r="B1696" s="21" t="s">
        <v>22</v>
      </c>
      <c r="C1696" s="21">
        <v>1</v>
      </c>
      <c r="D1696" s="52">
        <v>0</v>
      </c>
      <c r="E1696" s="21"/>
      <c r="F1696" s="21"/>
    </row>
    <row r="1697" spans="1:6" x14ac:dyDescent="0.25">
      <c r="A1697" s="21" t="s">
        <v>1762</v>
      </c>
      <c r="B1697" s="21" t="s">
        <v>22</v>
      </c>
      <c r="C1697" s="21">
        <v>1</v>
      </c>
      <c r="D1697" s="21">
        <v>23</v>
      </c>
      <c r="E1697" s="21">
        <v>23</v>
      </c>
      <c r="F1697" s="21"/>
    </row>
    <row r="1698" spans="1:6" x14ac:dyDescent="0.25">
      <c r="A1698" s="21" t="s">
        <v>1763</v>
      </c>
      <c r="B1698" s="21" t="s">
        <v>22</v>
      </c>
      <c r="C1698" s="21">
        <v>1</v>
      </c>
      <c r="D1698" s="52">
        <v>0</v>
      </c>
      <c r="E1698" s="21"/>
      <c r="F1698" s="21"/>
    </row>
    <row r="1699" spans="1:6" x14ac:dyDescent="0.25">
      <c r="A1699" s="21" t="s">
        <v>1764</v>
      </c>
      <c r="B1699" s="21" t="s">
        <v>595</v>
      </c>
      <c r="C1699" s="21">
        <v>0</v>
      </c>
      <c r="D1699" s="52">
        <v>0</v>
      </c>
      <c r="E1699" s="21"/>
      <c r="F1699" s="21"/>
    </row>
    <row r="1700" spans="1:6" x14ac:dyDescent="0.25">
      <c r="A1700" s="21" t="s">
        <v>1765</v>
      </c>
      <c r="B1700" s="21" t="s">
        <v>595</v>
      </c>
      <c r="C1700" s="21">
        <v>1000</v>
      </c>
      <c r="D1700" s="21">
        <v>30000</v>
      </c>
      <c r="E1700" s="21">
        <v>30</v>
      </c>
      <c r="F1700" s="21"/>
    </row>
    <row r="1701" spans="1:6" x14ac:dyDescent="0.25">
      <c r="A1701" s="21" t="s">
        <v>1766</v>
      </c>
      <c r="B1701" s="21" t="s">
        <v>22</v>
      </c>
      <c r="C1701" s="21">
        <v>50</v>
      </c>
      <c r="D1701" s="21">
        <v>2000</v>
      </c>
      <c r="E1701" s="21">
        <v>40</v>
      </c>
      <c r="F1701" s="21"/>
    </row>
    <row r="1702" spans="1:6" x14ac:dyDescent="0.25">
      <c r="A1702" s="21" t="s">
        <v>1767</v>
      </c>
      <c r="B1702" s="21" t="s">
        <v>595</v>
      </c>
      <c r="C1702" s="21">
        <v>500</v>
      </c>
      <c r="D1702" s="21">
        <v>12500</v>
      </c>
      <c r="E1702" s="21">
        <v>25</v>
      </c>
      <c r="F1702" s="21"/>
    </row>
    <row r="1703" spans="1:6" x14ac:dyDescent="0.25">
      <c r="A1703" s="21" t="s">
        <v>1768</v>
      </c>
      <c r="B1703" s="21" t="s">
        <v>22</v>
      </c>
      <c r="C1703" s="21">
        <v>20</v>
      </c>
      <c r="D1703" s="21">
        <v>400</v>
      </c>
      <c r="E1703" s="21">
        <v>20</v>
      </c>
      <c r="F1703" s="21"/>
    </row>
    <row r="1704" spans="1:6" x14ac:dyDescent="0.25">
      <c r="A1704" s="21" t="s">
        <v>1769</v>
      </c>
      <c r="B1704" s="21" t="s">
        <v>22</v>
      </c>
      <c r="C1704" s="21">
        <v>20</v>
      </c>
      <c r="D1704" s="21">
        <v>400</v>
      </c>
      <c r="E1704" s="21">
        <v>20</v>
      </c>
      <c r="F1704" s="21"/>
    </row>
    <row r="1705" spans="1:6" x14ac:dyDescent="0.25">
      <c r="A1705" s="21" t="s">
        <v>1770</v>
      </c>
      <c r="B1705" s="21" t="s">
        <v>22</v>
      </c>
      <c r="C1705" s="21">
        <v>20</v>
      </c>
      <c r="D1705" s="21">
        <v>400</v>
      </c>
      <c r="E1705" s="21">
        <v>20</v>
      </c>
      <c r="F1705" s="21"/>
    </row>
    <row r="1706" spans="1:6" x14ac:dyDescent="0.25">
      <c r="A1706" s="21" t="s">
        <v>1771</v>
      </c>
      <c r="B1706" s="21" t="s">
        <v>22</v>
      </c>
      <c r="C1706" s="21">
        <v>20</v>
      </c>
      <c r="D1706" s="21">
        <v>400</v>
      </c>
      <c r="E1706" s="21">
        <v>20</v>
      </c>
      <c r="F1706" s="21"/>
    </row>
    <row r="1707" spans="1:6" x14ac:dyDescent="0.25">
      <c r="A1707" s="21" t="s">
        <v>1772</v>
      </c>
      <c r="B1707" s="21" t="s">
        <v>22</v>
      </c>
      <c r="C1707" s="21">
        <v>6</v>
      </c>
      <c r="D1707" s="21">
        <v>252</v>
      </c>
      <c r="E1707" s="21">
        <v>42</v>
      </c>
      <c r="F1707" s="21"/>
    </row>
    <row r="1708" spans="1:6" x14ac:dyDescent="0.25">
      <c r="A1708" s="21" t="s">
        <v>1773</v>
      </c>
      <c r="B1708" s="21" t="s">
        <v>22</v>
      </c>
      <c r="C1708" s="21">
        <v>6</v>
      </c>
      <c r="D1708" s="21">
        <v>252</v>
      </c>
      <c r="E1708" s="21">
        <v>42</v>
      </c>
      <c r="F1708" s="21"/>
    </row>
    <row r="1709" spans="1:6" x14ac:dyDescent="0.25">
      <c r="A1709" s="21" t="s">
        <v>1774</v>
      </c>
      <c r="B1709" s="21" t="s">
        <v>22</v>
      </c>
      <c r="C1709" s="21">
        <v>6</v>
      </c>
      <c r="D1709" s="21">
        <v>210</v>
      </c>
      <c r="E1709" s="21">
        <v>35</v>
      </c>
      <c r="F1709" s="21"/>
    </row>
    <row r="1710" spans="1:6" x14ac:dyDescent="0.25">
      <c r="A1710" s="21" t="s">
        <v>1775</v>
      </c>
      <c r="B1710" s="21" t="s">
        <v>22</v>
      </c>
      <c r="C1710" s="21">
        <v>6</v>
      </c>
      <c r="D1710" s="21">
        <v>210</v>
      </c>
      <c r="E1710" s="21">
        <v>35</v>
      </c>
      <c r="F1710" s="21"/>
    </row>
    <row r="1711" spans="1:6" x14ac:dyDescent="0.25">
      <c r="A1711" s="21" t="s">
        <v>1776</v>
      </c>
      <c r="B1711" s="21" t="s">
        <v>22</v>
      </c>
      <c r="C1711" s="21">
        <v>6</v>
      </c>
      <c r="D1711" s="21">
        <v>252</v>
      </c>
      <c r="E1711" s="21">
        <v>42</v>
      </c>
      <c r="F1711" s="21"/>
    </row>
    <row r="1712" spans="1:6" x14ac:dyDescent="0.25">
      <c r="A1712" s="21" t="s">
        <v>1777</v>
      </c>
      <c r="B1712" s="21" t="s">
        <v>22</v>
      </c>
      <c r="C1712" s="21">
        <v>6</v>
      </c>
      <c r="D1712" s="21">
        <v>252</v>
      </c>
      <c r="E1712" s="21">
        <v>42</v>
      </c>
      <c r="F1712" s="21"/>
    </row>
    <row r="1713" spans="1:6" x14ac:dyDescent="0.25">
      <c r="A1713" s="21" t="s">
        <v>1778</v>
      </c>
      <c r="B1713" s="21" t="s">
        <v>22</v>
      </c>
      <c r="C1713" s="21">
        <v>6</v>
      </c>
      <c r="D1713" s="21">
        <v>180</v>
      </c>
      <c r="E1713" s="21">
        <v>30</v>
      </c>
      <c r="F1713" s="21"/>
    </row>
    <row r="1714" spans="1:6" x14ac:dyDescent="0.25">
      <c r="A1714" s="21" t="s">
        <v>1779</v>
      </c>
      <c r="B1714" s="21" t="s">
        <v>22</v>
      </c>
      <c r="C1714" s="21">
        <v>6</v>
      </c>
      <c r="D1714" s="21">
        <v>180</v>
      </c>
      <c r="E1714" s="21">
        <v>30</v>
      </c>
      <c r="F1714" s="21"/>
    </row>
    <row r="1715" spans="1:6" x14ac:dyDescent="0.25">
      <c r="A1715" s="21" t="s">
        <v>1780</v>
      </c>
      <c r="B1715" s="21" t="s">
        <v>22</v>
      </c>
      <c r="C1715" s="21">
        <v>10</v>
      </c>
      <c r="D1715" s="21">
        <v>210</v>
      </c>
      <c r="E1715" s="21">
        <v>21</v>
      </c>
      <c r="F1715" s="21"/>
    </row>
    <row r="1716" spans="1:6" x14ac:dyDescent="0.25">
      <c r="A1716" s="21" t="s">
        <v>1781</v>
      </c>
      <c r="B1716" s="21" t="s">
        <v>22</v>
      </c>
      <c r="C1716" s="21">
        <v>10</v>
      </c>
      <c r="D1716" s="21">
        <v>200</v>
      </c>
      <c r="E1716" s="21">
        <v>20</v>
      </c>
      <c r="F1716" s="21"/>
    </row>
    <row r="1717" spans="1:6" x14ac:dyDescent="0.25">
      <c r="A1717" s="21" t="s">
        <v>1782</v>
      </c>
      <c r="B1717" s="21" t="s">
        <v>22</v>
      </c>
      <c r="C1717" s="21">
        <v>10</v>
      </c>
      <c r="D1717" s="21">
        <v>210</v>
      </c>
      <c r="E1717" s="21">
        <v>21</v>
      </c>
      <c r="F1717" s="21"/>
    </row>
    <row r="1718" spans="1:6" x14ac:dyDescent="0.25">
      <c r="A1718" s="21" t="s">
        <v>1783</v>
      </c>
      <c r="B1718" s="21" t="s">
        <v>22</v>
      </c>
      <c r="C1718" s="21">
        <v>10</v>
      </c>
      <c r="D1718" s="21">
        <v>200</v>
      </c>
      <c r="E1718" s="21">
        <v>20</v>
      </c>
      <c r="F1718" s="21"/>
    </row>
    <row r="1719" spans="1:6" x14ac:dyDescent="0.25">
      <c r="A1719" s="21" t="s">
        <v>1784</v>
      </c>
      <c r="B1719" s="21" t="s">
        <v>22</v>
      </c>
      <c r="C1719" s="21">
        <v>10</v>
      </c>
      <c r="D1719" s="21">
        <v>210</v>
      </c>
      <c r="E1719" s="21">
        <v>21</v>
      </c>
      <c r="F1719" s="21"/>
    </row>
    <row r="1720" spans="1:6" x14ac:dyDescent="0.25">
      <c r="A1720" s="21" t="s">
        <v>1785</v>
      </c>
      <c r="B1720" s="21" t="s">
        <v>22</v>
      </c>
      <c r="C1720" s="21">
        <v>10</v>
      </c>
      <c r="D1720" s="21">
        <v>200</v>
      </c>
      <c r="E1720" s="21">
        <v>20</v>
      </c>
      <c r="F1720" s="21"/>
    </row>
    <row r="1721" spans="1:6" x14ac:dyDescent="0.25">
      <c r="A1721" s="21" t="s">
        <v>1786</v>
      </c>
      <c r="B1721" s="21" t="s">
        <v>22</v>
      </c>
      <c r="C1721" s="21">
        <v>10</v>
      </c>
      <c r="D1721" s="21">
        <v>210</v>
      </c>
      <c r="E1721" s="21">
        <v>21</v>
      </c>
      <c r="F1721" s="21"/>
    </row>
    <row r="1722" spans="1:6" x14ac:dyDescent="0.25">
      <c r="A1722" s="21" t="s">
        <v>1787</v>
      </c>
      <c r="B1722" s="21" t="s">
        <v>22</v>
      </c>
      <c r="C1722" s="21">
        <v>10</v>
      </c>
      <c r="D1722" s="21">
        <v>200</v>
      </c>
      <c r="E1722" s="21">
        <v>20</v>
      </c>
      <c r="F1722" s="21"/>
    </row>
    <row r="1723" spans="1:6" x14ac:dyDescent="0.25">
      <c r="A1723" s="21" t="s">
        <v>1788</v>
      </c>
      <c r="B1723" s="21" t="s">
        <v>22</v>
      </c>
      <c r="C1723" s="21">
        <v>24</v>
      </c>
      <c r="D1723" s="21">
        <v>384</v>
      </c>
      <c r="E1723" s="21">
        <v>16</v>
      </c>
      <c r="F1723" s="21"/>
    </row>
    <row r="1724" spans="1:6" x14ac:dyDescent="0.25">
      <c r="A1724" s="21" t="s">
        <v>1789</v>
      </c>
      <c r="B1724" s="21" t="s">
        <v>586</v>
      </c>
      <c r="C1724" s="21">
        <v>10</v>
      </c>
      <c r="D1724" s="21">
        <v>600</v>
      </c>
      <c r="E1724" s="21">
        <v>60</v>
      </c>
      <c r="F1724" s="21"/>
    </row>
    <row r="1725" spans="1:6" x14ac:dyDescent="0.25">
      <c r="A1725" s="21" t="s">
        <v>1790</v>
      </c>
      <c r="B1725" s="21" t="s">
        <v>595</v>
      </c>
      <c r="C1725" s="21">
        <v>100</v>
      </c>
      <c r="D1725" s="21">
        <v>9000</v>
      </c>
      <c r="E1725" s="21">
        <v>90</v>
      </c>
      <c r="F1725" s="21"/>
    </row>
    <row r="1726" spans="1:6" x14ac:dyDescent="0.25">
      <c r="A1726" s="21" t="s">
        <v>1791</v>
      </c>
      <c r="B1726" s="21" t="s">
        <v>586</v>
      </c>
      <c r="C1726" s="21">
        <v>50</v>
      </c>
      <c r="D1726" s="21">
        <v>3150</v>
      </c>
      <c r="E1726" s="21">
        <v>63</v>
      </c>
      <c r="F1726" s="21"/>
    </row>
    <row r="1727" spans="1:6" x14ac:dyDescent="0.25">
      <c r="A1727" s="21" t="s">
        <v>1792</v>
      </c>
      <c r="B1727" s="21" t="s">
        <v>586</v>
      </c>
      <c r="C1727" s="21">
        <v>50</v>
      </c>
      <c r="D1727" s="21">
        <v>3150</v>
      </c>
      <c r="E1727" s="21">
        <v>63</v>
      </c>
      <c r="F1727" s="21"/>
    </row>
    <row r="1728" spans="1:6" x14ac:dyDescent="0.25">
      <c r="A1728" s="21" t="s">
        <v>1793</v>
      </c>
      <c r="B1728" s="21" t="s">
        <v>586</v>
      </c>
      <c r="C1728" s="21">
        <v>50</v>
      </c>
      <c r="D1728" s="21">
        <v>4200</v>
      </c>
      <c r="E1728" s="21">
        <v>84</v>
      </c>
      <c r="F1728" s="21"/>
    </row>
    <row r="1729" spans="1:6" x14ac:dyDescent="0.25">
      <c r="A1729" s="21" t="s">
        <v>1794</v>
      </c>
      <c r="B1729" s="21" t="s">
        <v>586</v>
      </c>
      <c r="C1729" s="21">
        <v>50</v>
      </c>
      <c r="D1729" s="21">
        <v>4200</v>
      </c>
      <c r="E1729" s="21">
        <v>84</v>
      </c>
      <c r="F1729" s="21"/>
    </row>
    <row r="1730" spans="1:6" x14ac:dyDescent="0.25">
      <c r="A1730" s="21" t="s">
        <v>1795</v>
      </c>
      <c r="B1730" s="21" t="s">
        <v>586</v>
      </c>
      <c r="C1730" s="21">
        <v>50</v>
      </c>
      <c r="D1730" s="21">
        <v>2250</v>
      </c>
      <c r="E1730" s="21">
        <v>45</v>
      </c>
      <c r="F1730" s="21"/>
    </row>
    <row r="1731" spans="1:6" x14ac:dyDescent="0.25">
      <c r="A1731" s="21" t="s">
        <v>1796</v>
      </c>
      <c r="B1731" s="21" t="s">
        <v>586</v>
      </c>
      <c r="C1731" s="21">
        <v>50</v>
      </c>
      <c r="D1731" s="21">
        <v>3150</v>
      </c>
      <c r="E1731" s="21">
        <v>63</v>
      </c>
      <c r="F1731" s="21"/>
    </row>
    <row r="1732" spans="1:6" x14ac:dyDescent="0.25">
      <c r="A1732" s="21" t="s">
        <v>1797</v>
      </c>
      <c r="B1732" s="21" t="s">
        <v>586</v>
      </c>
      <c r="C1732" s="21">
        <v>50</v>
      </c>
      <c r="D1732" s="21">
        <v>3150</v>
      </c>
      <c r="E1732" s="21">
        <v>63</v>
      </c>
      <c r="F1732" s="21"/>
    </row>
    <row r="1733" spans="1:6" x14ac:dyDescent="0.25">
      <c r="A1733" s="21" t="s">
        <v>1798</v>
      </c>
      <c r="B1733" s="21" t="s">
        <v>586</v>
      </c>
      <c r="C1733" s="21">
        <v>100</v>
      </c>
      <c r="D1733" s="21">
        <v>6000</v>
      </c>
      <c r="E1733" s="21">
        <v>60</v>
      </c>
      <c r="F1733" s="21"/>
    </row>
    <row r="1734" spans="1:6" x14ac:dyDescent="0.25">
      <c r="A1734" s="21" t="s">
        <v>1799</v>
      </c>
      <c r="B1734" s="21" t="s">
        <v>586</v>
      </c>
      <c r="C1734" s="21">
        <v>100</v>
      </c>
      <c r="D1734" s="21">
        <v>6000</v>
      </c>
      <c r="E1734" s="21">
        <v>60</v>
      </c>
      <c r="F1734" s="21"/>
    </row>
    <row r="1735" spans="1:6" x14ac:dyDescent="0.25">
      <c r="A1735" s="21" t="s">
        <v>1800</v>
      </c>
      <c r="B1735" s="21" t="s">
        <v>586</v>
      </c>
      <c r="C1735" s="21">
        <v>50</v>
      </c>
      <c r="D1735" s="21">
        <v>3150</v>
      </c>
      <c r="E1735" s="21">
        <v>63</v>
      </c>
      <c r="F1735" s="21"/>
    </row>
    <row r="1736" spans="1:6" x14ac:dyDescent="0.25">
      <c r="A1736" s="21" t="s">
        <v>1801</v>
      </c>
      <c r="B1736" s="21" t="s">
        <v>586</v>
      </c>
      <c r="C1736" s="21">
        <v>50</v>
      </c>
      <c r="D1736" s="21">
        <v>3150</v>
      </c>
      <c r="E1736" s="21">
        <v>63</v>
      </c>
      <c r="F1736" s="21"/>
    </row>
    <row r="1737" spans="1:6" x14ac:dyDescent="0.25">
      <c r="A1737" s="21" t="s">
        <v>1802</v>
      </c>
      <c r="B1737" s="21" t="s">
        <v>586</v>
      </c>
      <c r="C1737" s="21">
        <v>25</v>
      </c>
      <c r="D1737" s="21">
        <v>1500</v>
      </c>
      <c r="E1737" s="21">
        <v>60</v>
      </c>
      <c r="F1737" s="21"/>
    </row>
    <row r="1738" spans="1:6" x14ac:dyDescent="0.25">
      <c r="A1738" s="21" t="s">
        <v>1803</v>
      </c>
      <c r="B1738" s="21" t="s">
        <v>22</v>
      </c>
      <c r="C1738" s="21">
        <v>10</v>
      </c>
      <c r="D1738" s="21">
        <v>120</v>
      </c>
      <c r="E1738" s="21">
        <v>12</v>
      </c>
      <c r="F1738" s="21"/>
    </row>
    <row r="1739" spans="1:6" x14ac:dyDescent="0.25">
      <c r="A1739" s="21" t="s">
        <v>1804</v>
      </c>
      <c r="B1739" s="21" t="s">
        <v>22</v>
      </c>
      <c r="C1739" s="21">
        <v>10</v>
      </c>
      <c r="D1739" s="21">
        <v>120</v>
      </c>
      <c r="E1739" s="21">
        <v>12</v>
      </c>
      <c r="F1739" s="21"/>
    </row>
    <row r="1740" spans="1:6" x14ac:dyDescent="0.25">
      <c r="A1740" s="21" t="s">
        <v>1805</v>
      </c>
      <c r="B1740" s="21" t="s">
        <v>22</v>
      </c>
      <c r="C1740" s="21">
        <v>10</v>
      </c>
      <c r="D1740" s="21">
        <v>120</v>
      </c>
      <c r="E1740" s="21">
        <v>12</v>
      </c>
      <c r="F1740" s="21"/>
    </row>
    <row r="1741" spans="1:6" x14ac:dyDescent="0.25">
      <c r="A1741" s="21" t="s">
        <v>1806</v>
      </c>
      <c r="B1741" s="21" t="s">
        <v>22</v>
      </c>
      <c r="C1741" s="21">
        <v>10</v>
      </c>
      <c r="D1741" s="21">
        <v>120</v>
      </c>
      <c r="E1741" s="21">
        <v>12</v>
      </c>
      <c r="F1741" s="21"/>
    </row>
    <row r="1742" spans="1:6" x14ac:dyDescent="0.25">
      <c r="A1742" s="21" t="s">
        <v>1807</v>
      </c>
      <c r="B1742" s="21" t="s">
        <v>22</v>
      </c>
      <c r="C1742" s="21">
        <v>40</v>
      </c>
      <c r="D1742" s="21">
        <v>120</v>
      </c>
      <c r="E1742" s="21">
        <v>3</v>
      </c>
      <c r="F1742" s="21"/>
    </row>
    <row r="1743" spans="1:6" x14ac:dyDescent="0.25">
      <c r="A1743" s="21" t="s">
        <v>1808</v>
      </c>
      <c r="B1743" s="21" t="s">
        <v>22</v>
      </c>
      <c r="C1743" s="21">
        <v>10</v>
      </c>
      <c r="D1743" s="21">
        <v>120</v>
      </c>
      <c r="E1743" s="21">
        <v>12</v>
      </c>
      <c r="F1743" s="21"/>
    </row>
    <row r="1744" spans="1:6" x14ac:dyDescent="0.25">
      <c r="A1744" s="21" t="s">
        <v>1809</v>
      </c>
      <c r="B1744" s="21" t="s">
        <v>22</v>
      </c>
      <c r="C1744" s="21">
        <v>0</v>
      </c>
      <c r="D1744" s="52">
        <v>0</v>
      </c>
      <c r="E1744" s="21"/>
      <c r="F1744" s="21"/>
    </row>
    <row r="1745" spans="1:6" x14ac:dyDescent="0.25">
      <c r="A1745" s="21" t="s">
        <v>1810</v>
      </c>
      <c r="B1745" s="21" t="s">
        <v>22</v>
      </c>
      <c r="C1745" s="21">
        <v>1</v>
      </c>
      <c r="D1745" s="21">
        <v>4</v>
      </c>
      <c r="E1745" s="21">
        <v>4</v>
      </c>
      <c r="F1745" s="21"/>
    </row>
    <row r="1746" spans="1:6" x14ac:dyDescent="0.25">
      <c r="A1746" s="21" t="s">
        <v>1811</v>
      </c>
      <c r="B1746" s="21" t="s">
        <v>22</v>
      </c>
      <c r="C1746" s="21">
        <v>1</v>
      </c>
      <c r="D1746" s="21">
        <v>4</v>
      </c>
      <c r="E1746" s="21">
        <v>4</v>
      </c>
      <c r="F1746" s="21"/>
    </row>
    <row r="1747" spans="1:6" x14ac:dyDescent="0.25">
      <c r="A1747" s="21" t="s">
        <v>1812</v>
      </c>
      <c r="B1747" s="21" t="s">
        <v>22</v>
      </c>
      <c r="C1747" s="21">
        <v>1</v>
      </c>
      <c r="D1747" s="21">
        <v>4</v>
      </c>
      <c r="E1747" s="21">
        <v>4</v>
      </c>
      <c r="F1747" s="21"/>
    </row>
    <row r="1748" spans="1:6" x14ac:dyDescent="0.25">
      <c r="A1748" s="21" t="s">
        <v>1813</v>
      </c>
      <c r="B1748" s="21" t="s">
        <v>22</v>
      </c>
      <c r="C1748" s="21">
        <v>1</v>
      </c>
      <c r="D1748" s="21">
        <v>4</v>
      </c>
      <c r="E1748" s="21">
        <v>4</v>
      </c>
      <c r="F1748" s="21"/>
    </row>
    <row r="1749" spans="1:6" x14ac:dyDescent="0.25">
      <c r="A1749" s="21" t="s">
        <v>1814</v>
      </c>
      <c r="B1749" s="21" t="s">
        <v>22</v>
      </c>
      <c r="C1749" s="21">
        <v>1</v>
      </c>
      <c r="D1749" s="21">
        <v>4</v>
      </c>
      <c r="E1749" s="21">
        <v>4</v>
      </c>
      <c r="F1749" s="21"/>
    </row>
    <row r="1750" spans="1:6" x14ac:dyDescent="0.25">
      <c r="A1750" s="21" t="s">
        <v>1815</v>
      </c>
      <c r="B1750" s="21" t="s">
        <v>22</v>
      </c>
      <c r="C1750" s="21">
        <v>1</v>
      </c>
      <c r="D1750" s="21">
        <v>4</v>
      </c>
      <c r="E1750" s="21">
        <v>4</v>
      </c>
      <c r="F1750" s="21"/>
    </row>
    <row r="1751" spans="1:6" x14ac:dyDescent="0.25">
      <c r="A1751" s="21" t="s">
        <v>1816</v>
      </c>
      <c r="B1751" s="21" t="s">
        <v>22</v>
      </c>
      <c r="C1751" s="21">
        <v>1</v>
      </c>
      <c r="D1751" s="21">
        <v>12</v>
      </c>
      <c r="E1751" s="21">
        <v>12</v>
      </c>
      <c r="F1751" s="21"/>
    </row>
    <row r="1752" spans="1:6" x14ac:dyDescent="0.25">
      <c r="A1752" s="21" t="s">
        <v>1817</v>
      </c>
      <c r="B1752" s="21" t="s">
        <v>22</v>
      </c>
      <c r="C1752" s="21">
        <v>1</v>
      </c>
      <c r="D1752" s="21">
        <v>12</v>
      </c>
      <c r="E1752" s="21">
        <v>12</v>
      </c>
      <c r="F1752" s="21"/>
    </row>
    <row r="1753" spans="1:6" x14ac:dyDescent="0.25">
      <c r="A1753" s="21" t="s">
        <v>1818</v>
      </c>
      <c r="B1753" s="21" t="s">
        <v>22</v>
      </c>
      <c r="C1753" s="21">
        <v>1</v>
      </c>
      <c r="D1753" s="21">
        <v>12</v>
      </c>
      <c r="E1753" s="21">
        <v>12</v>
      </c>
      <c r="F1753" s="21"/>
    </row>
    <row r="1754" spans="1:6" x14ac:dyDescent="0.25">
      <c r="A1754" s="21" t="s">
        <v>1819</v>
      </c>
      <c r="B1754" s="21" t="s">
        <v>22</v>
      </c>
      <c r="C1754" s="21">
        <v>1</v>
      </c>
      <c r="D1754" s="21">
        <v>12</v>
      </c>
      <c r="E1754" s="21">
        <v>12</v>
      </c>
      <c r="F1754" s="21"/>
    </row>
    <row r="1755" spans="1:6" x14ac:dyDescent="0.25">
      <c r="A1755" s="21" t="s">
        <v>1820</v>
      </c>
      <c r="B1755" s="21" t="s">
        <v>22</v>
      </c>
      <c r="C1755" s="21">
        <v>1</v>
      </c>
      <c r="D1755" s="21">
        <v>12</v>
      </c>
      <c r="E1755" s="21">
        <v>12</v>
      </c>
      <c r="F1755" s="21"/>
    </row>
    <row r="1756" spans="1:6" x14ac:dyDescent="0.25">
      <c r="A1756" s="21" t="s">
        <v>1821</v>
      </c>
      <c r="B1756" s="21" t="s">
        <v>22</v>
      </c>
      <c r="C1756" s="21">
        <v>1</v>
      </c>
      <c r="D1756" s="21">
        <v>12</v>
      </c>
      <c r="E1756" s="21">
        <v>12</v>
      </c>
      <c r="F1756" s="21"/>
    </row>
    <row r="1757" spans="1:6" x14ac:dyDescent="0.25">
      <c r="A1757" s="21" t="s">
        <v>1822</v>
      </c>
      <c r="B1757" s="21" t="s">
        <v>22</v>
      </c>
      <c r="C1757" s="21">
        <v>1</v>
      </c>
      <c r="D1757" s="21">
        <v>4</v>
      </c>
      <c r="E1757" s="21">
        <v>4</v>
      </c>
      <c r="F1757" s="21"/>
    </row>
    <row r="1758" spans="1:6" x14ac:dyDescent="0.25">
      <c r="A1758" s="21" t="s">
        <v>1823</v>
      </c>
      <c r="B1758" s="21" t="s">
        <v>22</v>
      </c>
      <c r="C1758" s="21">
        <v>1</v>
      </c>
      <c r="D1758" s="21">
        <v>4</v>
      </c>
      <c r="E1758" s="21">
        <v>4</v>
      </c>
      <c r="F1758" s="21"/>
    </row>
    <row r="1759" spans="1:6" x14ac:dyDescent="0.25">
      <c r="A1759" s="21" t="s">
        <v>1824</v>
      </c>
      <c r="B1759" s="21" t="s">
        <v>22</v>
      </c>
      <c r="C1759" s="21">
        <v>1</v>
      </c>
      <c r="D1759" s="21">
        <v>4</v>
      </c>
      <c r="E1759" s="21">
        <v>4</v>
      </c>
      <c r="F1759" s="21"/>
    </row>
    <row r="1760" spans="1:6" x14ac:dyDescent="0.25">
      <c r="A1760" s="21" t="s">
        <v>1825</v>
      </c>
      <c r="B1760" s="21" t="s">
        <v>22</v>
      </c>
      <c r="C1760" s="21">
        <v>1</v>
      </c>
      <c r="D1760" s="21">
        <v>4</v>
      </c>
      <c r="E1760" s="21">
        <v>4</v>
      </c>
      <c r="F1760" s="21"/>
    </row>
    <row r="1761" spans="1:6" x14ac:dyDescent="0.25">
      <c r="A1761" s="21" t="s">
        <v>1826</v>
      </c>
      <c r="B1761" s="21" t="s">
        <v>22</v>
      </c>
      <c r="C1761" s="21">
        <v>1</v>
      </c>
      <c r="D1761" s="21">
        <v>4</v>
      </c>
      <c r="E1761" s="21">
        <v>4</v>
      </c>
      <c r="F1761" s="21"/>
    </row>
    <row r="1762" spans="1:6" x14ac:dyDescent="0.25">
      <c r="A1762" s="21" t="s">
        <v>1827</v>
      </c>
      <c r="B1762" s="21" t="s">
        <v>22</v>
      </c>
      <c r="C1762" s="21">
        <v>1</v>
      </c>
      <c r="D1762" s="21">
        <v>4</v>
      </c>
      <c r="E1762" s="21">
        <v>4</v>
      </c>
      <c r="F1762" s="21"/>
    </row>
    <row r="1763" spans="1:6" x14ac:dyDescent="0.25">
      <c r="A1763" s="21" t="s">
        <v>1828</v>
      </c>
      <c r="B1763" s="21" t="s">
        <v>22</v>
      </c>
      <c r="C1763" s="21">
        <v>25</v>
      </c>
      <c r="D1763" s="21">
        <v>1575</v>
      </c>
      <c r="E1763" s="21">
        <v>63</v>
      </c>
      <c r="F1763" s="21"/>
    </row>
    <row r="1764" spans="1:6" x14ac:dyDescent="0.25">
      <c r="A1764" s="21" t="s">
        <v>1829</v>
      </c>
      <c r="B1764" s="21" t="s">
        <v>22</v>
      </c>
      <c r="C1764" s="21">
        <v>10</v>
      </c>
      <c r="D1764" s="21">
        <v>120</v>
      </c>
      <c r="E1764" s="21">
        <v>12</v>
      </c>
      <c r="F1764" s="21"/>
    </row>
    <row r="1765" spans="1:6" x14ac:dyDescent="0.25">
      <c r="A1765" s="21" t="s">
        <v>1830</v>
      </c>
      <c r="B1765" s="21" t="s">
        <v>22</v>
      </c>
      <c r="C1765" s="21">
        <v>10</v>
      </c>
      <c r="D1765" s="21">
        <v>120</v>
      </c>
      <c r="E1765" s="21">
        <v>12</v>
      </c>
      <c r="F1765" s="21"/>
    </row>
    <row r="1766" spans="1:6" x14ac:dyDescent="0.25">
      <c r="A1766" s="21" t="s">
        <v>1831</v>
      </c>
      <c r="B1766" s="21" t="s">
        <v>22</v>
      </c>
      <c r="C1766" s="21">
        <v>10</v>
      </c>
      <c r="D1766" s="21">
        <v>120</v>
      </c>
      <c r="E1766" s="21">
        <v>12</v>
      </c>
      <c r="F1766" s="21"/>
    </row>
    <row r="1767" spans="1:6" x14ac:dyDescent="0.25">
      <c r="A1767" s="21" t="s">
        <v>1832</v>
      </c>
      <c r="B1767" s="21" t="s">
        <v>22</v>
      </c>
      <c r="C1767" s="21">
        <v>10</v>
      </c>
      <c r="D1767" s="52">
        <v>0</v>
      </c>
      <c r="E1767" s="21"/>
      <c r="F1767" s="21"/>
    </row>
    <row r="1768" spans="1:6" x14ac:dyDescent="0.25">
      <c r="A1768" s="21" t="s">
        <v>1833</v>
      </c>
      <c r="B1768" s="21" t="s">
        <v>22</v>
      </c>
      <c r="C1768" s="21">
        <v>20</v>
      </c>
      <c r="D1768" s="52">
        <v>0</v>
      </c>
      <c r="E1768" s="21"/>
      <c r="F1768" s="21"/>
    </row>
    <row r="1769" spans="1:6" x14ac:dyDescent="0.25">
      <c r="A1769" s="21" t="s">
        <v>1834</v>
      </c>
      <c r="B1769" s="21" t="s">
        <v>22</v>
      </c>
      <c r="C1769" s="21">
        <v>10</v>
      </c>
      <c r="D1769" s="21">
        <v>50</v>
      </c>
      <c r="E1769" s="21">
        <v>5</v>
      </c>
      <c r="F1769" s="21"/>
    </row>
    <row r="1770" spans="1:6" x14ac:dyDescent="0.25">
      <c r="A1770" s="21" t="s">
        <v>1835</v>
      </c>
      <c r="B1770" s="21" t="s">
        <v>22</v>
      </c>
      <c r="C1770" s="21">
        <v>1</v>
      </c>
      <c r="D1770" s="21">
        <v>18</v>
      </c>
      <c r="E1770" s="21">
        <v>18</v>
      </c>
      <c r="F1770" s="21"/>
    </row>
    <row r="1771" spans="1:6" x14ac:dyDescent="0.25">
      <c r="A1771" s="21" t="s">
        <v>1836</v>
      </c>
      <c r="B1771" s="21" t="s">
        <v>22</v>
      </c>
      <c r="C1771" s="21">
        <v>1</v>
      </c>
      <c r="D1771" s="21">
        <v>18</v>
      </c>
      <c r="E1771" s="21">
        <v>18</v>
      </c>
      <c r="F1771" s="21"/>
    </row>
    <row r="1772" spans="1:6" x14ac:dyDescent="0.25">
      <c r="A1772" s="21" t="s">
        <v>1837</v>
      </c>
      <c r="B1772" s="21" t="s">
        <v>22</v>
      </c>
      <c r="C1772" s="21">
        <v>1</v>
      </c>
      <c r="D1772" s="21">
        <v>18</v>
      </c>
      <c r="E1772" s="21">
        <v>18</v>
      </c>
      <c r="F1772" s="21"/>
    </row>
    <row r="1773" spans="1:6" x14ac:dyDescent="0.25">
      <c r="A1773" s="21" t="s">
        <v>1838</v>
      </c>
      <c r="B1773" s="21" t="s">
        <v>22</v>
      </c>
      <c r="C1773" s="21">
        <v>1</v>
      </c>
      <c r="D1773" s="21">
        <v>18</v>
      </c>
      <c r="E1773" s="21">
        <v>18</v>
      </c>
      <c r="F1773" s="21"/>
    </row>
    <row r="1774" spans="1:6" x14ac:dyDescent="0.25">
      <c r="A1774" s="21" t="s">
        <v>1839</v>
      </c>
      <c r="B1774" s="21" t="s">
        <v>22</v>
      </c>
      <c r="C1774" s="21">
        <v>1</v>
      </c>
      <c r="D1774" s="21">
        <v>18</v>
      </c>
      <c r="E1774" s="21">
        <v>18</v>
      </c>
      <c r="F1774" s="21"/>
    </row>
    <row r="1775" spans="1:6" x14ac:dyDescent="0.25">
      <c r="A1775" s="21" t="s">
        <v>1840</v>
      </c>
      <c r="B1775" s="21" t="s">
        <v>22</v>
      </c>
      <c r="C1775" s="21">
        <v>1</v>
      </c>
      <c r="D1775" s="21">
        <v>18</v>
      </c>
      <c r="E1775" s="21">
        <v>18</v>
      </c>
      <c r="F1775" s="21"/>
    </row>
    <row r="1776" spans="1:6" x14ac:dyDescent="0.25">
      <c r="A1776" s="21" t="s">
        <v>1841</v>
      </c>
      <c r="B1776" s="21" t="s">
        <v>22</v>
      </c>
      <c r="C1776" s="21">
        <v>1</v>
      </c>
      <c r="D1776" s="21">
        <v>18</v>
      </c>
      <c r="E1776" s="21">
        <v>18</v>
      </c>
      <c r="F1776" s="21"/>
    </row>
    <row r="1777" spans="1:6" x14ac:dyDescent="0.25">
      <c r="A1777" s="21" t="s">
        <v>1842</v>
      </c>
      <c r="B1777" s="21" t="s">
        <v>22</v>
      </c>
      <c r="C1777" s="21">
        <v>1</v>
      </c>
      <c r="D1777" s="21">
        <v>18</v>
      </c>
      <c r="E1777" s="21">
        <v>18</v>
      </c>
      <c r="F1777" s="21"/>
    </row>
    <row r="1778" spans="1:6" x14ac:dyDescent="0.25">
      <c r="A1778" s="21" t="s">
        <v>1843</v>
      </c>
      <c r="B1778" s="21" t="s">
        <v>22</v>
      </c>
      <c r="C1778" s="21">
        <v>1</v>
      </c>
      <c r="D1778" s="21">
        <v>18</v>
      </c>
      <c r="E1778" s="21">
        <v>18</v>
      </c>
      <c r="F1778" s="21"/>
    </row>
    <row r="1779" spans="1:6" x14ac:dyDescent="0.25">
      <c r="A1779" s="21" t="s">
        <v>1844</v>
      </c>
      <c r="B1779" s="21" t="s">
        <v>22</v>
      </c>
      <c r="C1779" s="21">
        <v>1</v>
      </c>
      <c r="D1779" s="21">
        <v>18</v>
      </c>
      <c r="E1779" s="21">
        <v>18</v>
      </c>
      <c r="F1779" s="21"/>
    </row>
    <row r="1780" spans="1:6" x14ac:dyDescent="0.25">
      <c r="A1780" s="21" t="s">
        <v>1845</v>
      </c>
      <c r="B1780" s="21" t="s">
        <v>22</v>
      </c>
      <c r="C1780" s="21">
        <v>1</v>
      </c>
      <c r="D1780" s="21">
        <v>18</v>
      </c>
      <c r="E1780" s="21">
        <v>18</v>
      </c>
      <c r="F1780" s="21"/>
    </row>
    <row r="1781" spans="1:6" x14ac:dyDescent="0.25">
      <c r="A1781" s="21" t="s">
        <v>1846</v>
      </c>
      <c r="B1781" s="21" t="s">
        <v>22</v>
      </c>
      <c r="C1781" s="21">
        <v>1</v>
      </c>
      <c r="D1781" s="21">
        <v>18</v>
      </c>
      <c r="E1781" s="21">
        <v>18</v>
      </c>
      <c r="F1781" s="21"/>
    </row>
    <row r="1782" spans="1:6" x14ac:dyDescent="0.25">
      <c r="A1782" s="21" t="s">
        <v>1847</v>
      </c>
      <c r="B1782" s="21" t="s">
        <v>22</v>
      </c>
      <c r="C1782" s="21">
        <v>1</v>
      </c>
      <c r="D1782" s="21">
        <v>12</v>
      </c>
      <c r="E1782" s="21">
        <v>12</v>
      </c>
      <c r="F1782" s="21"/>
    </row>
    <row r="1783" spans="1:6" x14ac:dyDescent="0.25">
      <c r="A1783" s="21" t="s">
        <v>1848</v>
      </c>
      <c r="B1783" s="21" t="s">
        <v>22</v>
      </c>
      <c r="C1783" s="21">
        <v>1</v>
      </c>
      <c r="D1783" s="21">
        <v>12</v>
      </c>
      <c r="E1783" s="21">
        <v>12</v>
      </c>
      <c r="F1783" s="21"/>
    </row>
    <row r="1784" spans="1:6" x14ac:dyDescent="0.25">
      <c r="A1784" s="21" t="s">
        <v>1849</v>
      </c>
      <c r="B1784" s="21" t="s">
        <v>22</v>
      </c>
      <c r="C1784" s="21">
        <v>1</v>
      </c>
      <c r="D1784" s="21">
        <v>12</v>
      </c>
      <c r="E1784" s="21">
        <v>12</v>
      </c>
      <c r="F1784" s="21"/>
    </row>
    <row r="1785" spans="1:6" x14ac:dyDescent="0.25">
      <c r="A1785" s="21" t="s">
        <v>1850</v>
      </c>
      <c r="B1785" s="21" t="s">
        <v>22</v>
      </c>
      <c r="C1785" s="21">
        <v>1</v>
      </c>
      <c r="D1785" s="21">
        <v>12</v>
      </c>
      <c r="E1785" s="21">
        <v>12</v>
      </c>
      <c r="F1785" s="21"/>
    </row>
    <row r="1786" spans="1:6" x14ac:dyDescent="0.25">
      <c r="A1786" s="21" t="s">
        <v>1851</v>
      </c>
      <c r="B1786" s="21" t="s">
        <v>22</v>
      </c>
      <c r="C1786" s="21">
        <v>1</v>
      </c>
      <c r="D1786" s="21">
        <v>12</v>
      </c>
      <c r="E1786" s="21">
        <v>12</v>
      </c>
      <c r="F1786" s="21"/>
    </row>
    <row r="1787" spans="1:6" x14ac:dyDescent="0.25">
      <c r="A1787" s="21" t="s">
        <v>1852</v>
      </c>
      <c r="B1787" s="21" t="s">
        <v>22</v>
      </c>
      <c r="C1787" s="21">
        <v>1</v>
      </c>
      <c r="D1787" s="21">
        <v>12</v>
      </c>
      <c r="E1787" s="21">
        <v>12</v>
      </c>
      <c r="F1787" s="21"/>
    </row>
    <row r="1788" spans="1:6" x14ac:dyDescent="0.25">
      <c r="A1788" s="21" t="s">
        <v>1853</v>
      </c>
      <c r="B1788" s="21" t="s">
        <v>22</v>
      </c>
      <c r="C1788" s="21">
        <v>1</v>
      </c>
      <c r="D1788" s="21">
        <v>18</v>
      </c>
      <c r="E1788" s="21">
        <v>18</v>
      </c>
      <c r="F1788" s="21"/>
    </row>
    <row r="1789" spans="1:6" x14ac:dyDescent="0.25">
      <c r="A1789" s="21" t="s">
        <v>1854</v>
      </c>
      <c r="B1789" s="21" t="s">
        <v>22</v>
      </c>
      <c r="C1789" s="21">
        <v>1</v>
      </c>
      <c r="D1789" s="21">
        <v>18</v>
      </c>
      <c r="E1789" s="21">
        <v>18</v>
      </c>
      <c r="F1789" s="21"/>
    </row>
    <row r="1790" spans="1:6" x14ac:dyDescent="0.25">
      <c r="A1790" s="21" t="s">
        <v>1855</v>
      </c>
      <c r="B1790" s="21" t="s">
        <v>22</v>
      </c>
      <c r="C1790" s="21">
        <v>1</v>
      </c>
      <c r="D1790" s="21">
        <v>18</v>
      </c>
      <c r="E1790" s="21">
        <v>18</v>
      </c>
      <c r="F1790" s="21"/>
    </row>
    <row r="1791" spans="1:6" x14ac:dyDescent="0.25">
      <c r="A1791" s="21" t="s">
        <v>1856</v>
      </c>
      <c r="B1791" s="21" t="s">
        <v>22</v>
      </c>
      <c r="C1791" s="21">
        <v>1</v>
      </c>
      <c r="D1791" s="21">
        <v>6</v>
      </c>
      <c r="E1791" s="21">
        <v>6</v>
      </c>
      <c r="F1791" s="21"/>
    </row>
    <row r="1792" spans="1:6" x14ac:dyDescent="0.25">
      <c r="A1792" s="21" t="s">
        <v>1857</v>
      </c>
      <c r="B1792" s="21" t="s">
        <v>22</v>
      </c>
      <c r="C1792" s="21">
        <v>1</v>
      </c>
      <c r="D1792" s="21">
        <v>6</v>
      </c>
      <c r="E1792" s="21">
        <v>6</v>
      </c>
      <c r="F1792" s="21"/>
    </row>
    <row r="1793" spans="1:6" x14ac:dyDescent="0.25">
      <c r="A1793" s="21" t="s">
        <v>1858</v>
      </c>
      <c r="B1793" s="21" t="s">
        <v>22</v>
      </c>
      <c r="C1793" s="21">
        <v>1</v>
      </c>
      <c r="D1793" s="21">
        <v>6</v>
      </c>
      <c r="E1793" s="21">
        <v>6</v>
      </c>
      <c r="F1793" s="21"/>
    </row>
    <row r="1794" spans="1:6" x14ac:dyDescent="0.25">
      <c r="A1794" s="21" t="s">
        <v>1859</v>
      </c>
      <c r="B1794" s="21" t="s">
        <v>22</v>
      </c>
      <c r="C1794" s="21">
        <v>1</v>
      </c>
      <c r="D1794" s="21">
        <v>32</v>
      </c>
      <c r="E1794" s="21">
        <v>32</v>
      </c>
      <c r="F1794" s="21"/>
    </row>
    <row r="1795" spans="1:6" x14ac:dyDescent="0.25">
      <c r="A1795" s="21" t="s">
        <v>1860</v>
      </c>
      <c r="B1795" s="21" t="s">
        <v>22</v>
      </c>
      <c r="C1795" s="21">
        <v>0</v>
      </c>
      <c r="D1795" s="52">
        <v>0</v>
      </c>
      <c r="E1795" s="21"/>
      <c r="F1795" s="21"/>
    </row>
    <row r="1796" spans="1:6" x14ac:dyDescent="0.25">
      <c r="A1796" s="21" t="s">
        <v>1861</v>
      </c>
      <c r="B1796" s="21" t="s">
        <v>22</v>
      </c>
      <c r="C1796" s="21">
        <v>1</v>
      </c>
      <c r="D1796" s="21">
        <v>28</v>
      </c>
      <c r="E1796" s="21">
        <v>28</v>
      </c>
      <c r="F1796" s="21"/>
    </row>
    <row r="1797" spans="1:6" x14ac:dyDescent="0.25">
      <c r="A1797" s="21" t="s">
        <v>1862</v>
      </c>
      <c r="B1797" s="21" t="s">
        <v>22</v>
      </c>
      <c r="C1797" s="21">
        <v>1</v>
      </c>
      <c r="D1797" s="21">
        <v>28</v>
      </c>
      <c r="E1797" s="21">
        <v>28</v>
      </c>
      <c r="F1797" s="21"/>
    </row>
    <row r="1798" spans="1:6" x14ac:dyDescent="0.25">
      <c r="A1798" s="21" t="s">
        <v>1863</v>
      </c>
      <c r="B1798" s="21" t="s">
        <v>22</v>
      </c>
      <c r="C1798" s="21">
        <v>1</v>
      </c>
      <c r="D1798" s="21">
        <v>28</v>
      </c>
      <c r="E1798" s="21">
        <v>28</v>
      </c>
      <c r="F1798" s="21"/>
    </row>
    <row r="1799" spans="1:6" x14ac:dyDescent="0.25">
      <c r="A1799" s="21" t="s">
        <v>1864</v>
      </c>
      <c r="B1799" s="21" t="s">
        <v>22</v>
      </c>
      <c r="C1799" s="21">
        <v>1</v>
      </c>
      <c r="D1799" s="21">
        <v>28</v>
      </c>
      <c r="E1799" s="21">
        <v>28</v>
      </c>
      <c r="F1799" s="21"/>
    </row>
    <row r="1800" spans="1:6" x14ac:dyDescent="0.25">
      <c r="A1800" s="21" t="s">
        <v>1865</v>
      </c>
      <c r="B1800" s="21" t="s">
        <v>22</v>
      </c>
      <c r="C1800" s="21">
        <v>1</v>
      </c>
      <c r="D1800" s="21">
        <v>28</v>
      </c>
      <c r="E1800" s="21">
        <v>28</v>
      </c>
      <c r="F1800" s="21"/>
    </row>
    <row r="1801" spans="1:6" x14ac:dyDescent="0.25">
      <c r="A1801" s="21" t="s">
        <v>1866</v>
      </c>
      <c r="B1801" s="21" t="s">
        <v>22</v>
      </c>
      <c r="C1801" s="21">
        <v>1</v>
      </c>
      <c r="D1801" s="21">
        <v>28</v>
      </c>
      <c r="E1801" s="21">
        <v>28</v>
      </c>
      <c r="F1801" s="21"/>
    </row>
    <row r="1802" spans="1:6" x14ac:dyDescent="0.25">
      <c r="A1802" s="21" t="s">
        <v>1867</v>
      </c>
      <c r="B1802" s="21" t="s">
        <v>22</v>
      </c>
      <c r="C1802" s="21">
        <v>1</v>
      </c>
      <c r="D1802" s="21">
        <v>72</v>
      </c>
      <c r="E1802" s="21">
        <v>72</v>
      </c>
      <c r="F1802" s="21"/>
    </row>
    <row r="1803" spans="1:6" x14ac:dyDescent="0.25">
      <c r="A1803" s="21" t="s">
        <v>1868</v>
      </c>
      <c r="B1803" s="21" t="s">
        <v>22</v>
      </c>
      <c r="C1803" s="21">
        <v>1</v>
      </c>
      <c r="D1803" s="21">
        <v>54</v>
      </c>
      <c r="E1803" s="21">
        <v>54</v>
      </c>
      <c r="F1803" s="21"/>
    </row>
    <row r="1804" spans="1:6" x14ac:dyDescent="0.25">
      <c r="A1804" s="21" t="s">
        <v>1869</v>
      </c>
      <c r="B1804" s="21" t="s">
        <v>22</v>
      </c>
      <c r="C1804" s="21">
        <v>1</v>
      </c>
      <c r="D1804" s="21">
        <v>54</v>
      </c>
      <c r="E1804" s="21">
        <v>54</v>
      </c>
      <c r="F1804" s="21"/>
    </row>
    <row r="1805" spans="1:6" x14ac:dyDescent="0.25">
      <c r="A1805" s="21" t="s">
        <v>1870</v>
      </c>
      <c r="B1805" s="21" t="s">
        <v>22</v>
      </c>
      <c r="C1805" s="21">
        <v>1</v>
      </c>
      <c r="D1805" s="21">
        <v>36</v>
      </c>
      <c r="E1805" s="21">
        <v>36</v>
      </c>
      <c r="F1805" s="21"/>
    </row>
    <row r="1806" spans="1:6" x14ac:dyDescent="0.25">
      <c r="A1806" s="21" t="s">
        <v>1871</v>
      </c>
      <c r="B1806" s="21" t="s">
        <v>22</v>
      </c>
      <c r="C1806" s="21">
        <v>1</v>
      </c>
      <c r="D1806" s="21">
        <v>36</v>
      </c>
      <c r="E1806" s="21">
        <v>36</v>
      </c>
      <c r="F1806" s="21"/>
    </row>
    <row r="1807" spans="1:6" x14ac:dyDescent="0.25">
      <c r="A1807" s="21" t="s">
        <v>1872</v>
      </c>
      <c r="B1807" s="21" t="s">
        <v>22</v>
      </c>
      <c r="C1807" s="21">
        <v>1</v>
      </c>
      <c r="D1807" s="21">
        <v>36</v>
      </c>
      <c r="E1807" s="21">
        <v>36</v>
      </c>
      <c r="F1807" s="21"/>
    </row>
    <row r="1808" spans="1:6" x14ac:dyDescent="0.25">
      <c r="A1808" s="21" t="s">
        <v>1873</v>
      </c>
      <c r="B1808" s="21" t="s">
        <v>22</v>
      </c>
      <c r="C1808" s="21">
        <v>1</v>
      </c>
      <c r="D1808" s="21">
        <v>32</v>
      </c>
      <c r="E1808" s="21">
        <v>32</v>
      </c>
      <c r="F1808" s="21"/>
    </row>
    <row r="1809" spans="1:6" x14ac:dyDescent="0.25">
      <c r="A1809" s="21" t="s">
        <v>1874</v>
      </c>
      <c r="B1809" s="21" t="s">
        <v>22</v>
      </c>
      <c r="C1809" s="21">
        <v>1</v>
      </c>
      <c r="D1809" s="21">
        <v>24</v>
      </c>
      <c r="E1809" s="21">
        <v>24</v>
      </c>
      <c r="F1809" s="21"/>
    </row>
    <row r="1810" spans="1:6" x14ac:dyDescent="0.25">
      <c r="A1810" s="21" t="s">
        <v>1875</v>
      </c>
      <c r="B1810" s="21" t="s">
        <v>22</v>
      </c>
      <c r="C1810" s="21">
        <v>1</v>
      </c>
      <c r="D1810" s="21">
        <v>24</v>
      </c>
      <c r="E1810" s="21">
        <v>24</v>
      </c>
      <c r="F1810" s="21"/>
    </row>
    <row r="1811" spans="1:6" x14ac:dyDescent="0.25">
      <c r="A1811" s="21" t="s">
        <v>1876</v>
      </c>
      <c r="B1811" s="21" t="s">
        <v>22</v>
      </c>
      <c r="C1811" s="21">
        <v>1</v>
      </c>
      <c r="D1811" s="21">
        <v>24</v>
      </c>
      <c r="E1811" s="21">
        <v>24</v>
      </c>
      <c r="F1811" s="21"/>
    </row>
    <row r="1812" spans="1:6" x14ac:dyDescent="0.25">
      <c r="A1812" s="21" t="s">
        <v>1877</v>
      </c>
      <c r="B1812" s="21" t="s">
        <v>22</v>
      </c>
      <c r="C1812" s="21">
        <v>1</v>
      </c>
      <c r="D1812" s="21">
        <v>24</v>
      </c>
      <c r="E1812" s="21">
        <v>24</v>
      </c>
      <c r="F1812" s="21"/>
    </row>
    <row r="1813" spans="1:6" x14ac:dyDescent="0.25">
      <c r="A1813" s="21" t="s">
        <v>1878</v>
      </c>
      <c r="B1813" s="21" t="s">
        <v>22</v>
      </c>
      <c r="C1813" s="21">
        <v>1</v>
      </c>
      <c r="D1813" s="21">
        <v>24</v>
      </c>
      <c r="E1813" s="21">
        <v>24</v>
      </c>
      <c r="F1813" s="21"/>
    </row>
    <row r="1814" spans="1:6" x14ac:dyDescent="0.25">
      <c r="A1814" s="21" t="s">
        <v>1879</v>
      </c>
      <c r="B1814" s="21" t="s">
        <v>22</v>
      </c>
      <c r="C1814" s="21">
        <v>1</v>
      </c>
      <c r="D1814" s="21">
        <v>24</v>
      </c>
      <c r="E1814" s="21">
        <v>24</v>
      </c>
      <c r="F1814" s="21"/>
    </row>
    <row r="1815" spans="1:6" x14ac:dyDescent="0.25">
      <c r="A1815" s="21" t="s">
        <v>1880</v>
      </c>
      <c r="B1815" s="21" t="s">
        <v>22</v>
      </c>
      <c r="C1815" s="21">
        <v>1</v>
      </c>
      <c r="D1815" s="21">
        <v>24</v>
      </c>
      <c r="E1815" s="21">
        <v>24</v>
      </c>
      <c r="F1815" s="21"/>
    </row>
    <row r="1816" spans="1:6" x14ac:dyDescent="0.25">
      <c r="A1816" s="21" t="s">
        <v>1881</v>
      </c>
      <c r="B1816" s="21" t="s">
        <v>22</v>
      </c>
      <c r="C1816" s="21">
        <v>1</v>
      </c>
      <c r="D1816" s="21">
        <v>24</v>
      </c>
      <c r="E1816" s="21">
        <v>24</v>
      </c>
      <c r="F1816" s="21"/>
    </row>
    <row r="1817" spans="1:6" x14ac:dyDescent="0.25">
      <c r="A1817" s="21" t="s">
        <v>1882</v>
      </c>
      <c r="B1817" s="21" t="s">
        <v>22</v>
      </c>
      <c r="C1817" s="21">
        <v>1</v>
      </c>
      <c r="D1817" s="21">
        <v>28</v>
      </c>
      <c r="E1817" s="21">
        <v>28</v>
      </c>
      <c r="F1817" s="21"/>
    </row>
    <row r="1818" spans="1:6" x14ac:dyDescent="0.25">
      <c r="A1818" s="21" t="s">
        <v>1883</v>
      </c>
      <c r="B1818" s="21" t="s">
        <v>22</v>
      </c>
      <c r="C1818" s="21">
        <v>1</v>
      </c>
      <c r="D1818" s="21">
        <v>28</v>
      </c>
      <c r="E1818" s="21">
        <v>28</v>
      </c>
      <c r="F1818" s="21"/>
    </row>
    <row r="1819" spans="1:6" x14ac:dyDescent="0.25">
      <c r="A1819" s="21" t="s">
        <v>1884</v>
      </c>
      <c r="B1819" s="21" t="s">
        <v>22</v>
      </c>
      <c r="C1819" s="21">
        <v>1</v>
      </c>
      <c r="D1819" s="21">
        <v>28</v>
      </c>
      <c r="E1819" s="21">
        <v>28</v>
      </c>
      <c r="F1819" s="21"/>
    </row>
    <row r="1820" spans="1:6" x14ac:dyDescent="0.25">
      <c r="A1820" s="21" t="s">
        <v>1885</v>
      </c>
      <c r="B1820" s="21" t="s">
        <v>22</v>
      </c>
      <c r="C1820" s="21">
        <v>6</v>
      </c>
      <c r="D1820" s="21">
        <v>264</v>
      </c>
      <c r="E1820" s="21">
        <v>44</v>
      </c>
      <c r="F1820" s="21"/>
    </row>
    <row r="1821" spans="1:6" x14ac:dyDescent="0.25">
      <c r="A1821" s="21" t="s">
        <v>1886</v>
      </c>
      <c r="B1821" s="21" t="s">
        <v>22</v>
      </c>
      <c r="C1821" s="21">
        <v>6</v>
      </c>
      <c r="D1821" s="21">
        <v>264</v>
      </c>
      <c r="E1821" s="21">
        <v>44</v>
      </c>
      <c r="F1821" s="21"/>
    </row>
    <row r="1822" spans="1:6" x14ac:dyDescent="0.25">
      <c r="A1822" s="21" t="s">
        <v>1887</v>
      </c>
      <c r="B1822" s="21" t="s">
        <v>22</v>
      </c>
      <c r="C1822" s="21">
        <v>6</v>
      </c>
      <c r="D1822" s="21">
        <v>216</v>
      </c>
      <c r="E1822" s="21">
        <v>36</v>
      </c>
      <c r="F1822" s="21"/>
    </row>
    <row r="1823" spans="1:6" x14ac:dyDescent="0.25">
      <c r="A1823" s="21" t="s">
        <v>1888</v>
      </c>
      <c r="B1823" s="21" t="s">
        <v>22</v>
      </c>
      <c r="C1823" s="21">
        <v>6</v>
      </c>
      <c r="D1823" s="21">
        <v>216</v>
      </c>
      <c r="E1823" s="21">
        <v>36</v>
      </c>
      <c r="F1823" s="21"/>
    </row>
    <row r="1824" spans="1:6" x14ac:dyDescent="0.25">
      <c r="A1824" s="21" t="s">
        <v>1889</v>
      </c>
      <c r="B1824" s="21" t="s">
        <v>22</v>
      </c>
      <c r="C1824" s="21">
        <v>6</v>
      </c>
      <c r="D1824" s="21">
        <v>216</v>
      </c>
      <c r="E1824" s="21">
        <v>36</v>
      </c>
      <c r="F1824" s="21"/>
    </row>
    <row r="1825" spans="1:6" x14ac:dyDescent="0.25">
      <c r="A1825" s="21" t="s">
        <v>1890</v>
      </c>
      <c r="B1825" s="21" t="s">
        <v>22</v>
      </c>
      <c r="C1825" s="21">
        <v>6</v>
      </c>
      <c r="D1825" s="21">
        <v>216</v>
      </c>
      <c r="E1825" s="21">
        <v>36</v>
      </c>
      <c r="F1825" s="21"/>
    </row>
    <row r="1826" spans="1:6" x14ac:dyDescent="0.25">
      <c r="A1826" s="21" t="s">
        <v>1891</v>
      </c>
      <c r="B1826" s="21" t="s">
        <v>22</v>
      </c>
      <c r="C1826" s="21">
        <v>1</v>
      </c>
      <c r="D1826" s="21">
        <v>28</v>
      </c>
      <c r="E1826" s="21">
        <v>28</v>
      </c>
      <c r="F1826" s="21"/>
    </row>
    <row r="1827" spans="1:6" x14ac:dyDescent="0.25">
      <c r="A1827" s="21" t="s">
        <v>1892</v>
      </c>
      <c r="B1827" s="21" t="s">
        <v>22</v>
      </c>
      <c r="C1827" s="21">
        <v>1</v>
      </c>
      <c r="D1827" s="21">
        <v>28</v>
      </c>
      <c r="E1827" s="21">
        <v>28</v>
      </c>
      <c r="F1827" s="21"/>
    </row>
    <row r="1828" spans="1:6" x14ac:dyDescent="0.25">
      <c r="A1828" s="21" t="s">
        <v>1893</v>
      </c>
      <c r="B1828" s="21" t="s">
        <v>22</v>
      </c>
      <c r="C1828" s="21">
        <v>1</v>
      </c>
      <c r="D1828" s="21">
        <v>28</v>
      </c>
      <c r="E1828" s="21">
        <v>28</v>
      </c>
      <c r="F1828" s="21"/>
    </row>
    <row r="1829" spans="1:6" x14ac:dyDescent="0.25">
      <c r="A1829" s="21" t="s">
        <v>1894</v>
      </c>
      <c r="B1829" s="21" t="s">
        <v>22</v>
      </c>
      <c r="C1829" s="21">
        <v>1</v>
      </c>
      <c r="D1829" s="21">
        <v>28</v>
      </c>
      <c r="E1829" s="21">
        <v>28</v>
      </c>
      <c r="F1829" s="21"/>
    </row>
    <row r="1830" spans="1:6" x14ac:dyDescent="0.25">
      <c r="A1830" s="21" t="s">
        <v>1895</v>
      </c>
      <c r="B1830" s="21" t="s">
        <v>22</v>
      </c>
      <c r="C1830" s="21">
        <v>1</v>
      </c>
      <c r="D1830" s="21">
        <v>28</v>
      </c>
      <c r="E1830" s="21">
        <v>28</v>
      </c>
      <c r="F1830" s="21"/>
    </row>
    <row r="1831" spans="1:6" x14ac:dyDescent="0.25">
      <c r="A1831" s="21" t="s">
        <v>1896</v>
      </c>
      <c r="B1831" s="21" t="s">
        <v>22</v>
      </c>
      <c r="C1831" s="21">
        <v>1</v>
      </c>
      <c r="D1831" s="21">
        <v>28</v>
      </c>
      <c r="E1831" s="21">
        <v>28</v>
      </c>
      <c r="F1831" s="21"/>
    </row>
    <row r="1832" spans="1:6" x14ac:dyDescent="0.25">
      <c r="A1832" s="21" t="s">
        <v>1897</v>
      </c>
      <c r="B1832" s="21" t="s">
        <v>22</v>
      </c>
      <c r="C1832" s="21">
        <v>0</v>
      </c>
      <c r="D1832" s="52">
        <v>0</v>
      </c>
      <c r="E1832" s="21"/>
      <c r="F1832" s="21"/>
    </row>
    <row r="1833" spans="1:6" x14ac:dyDescent="0.25">
      <c r="A1833" s="21" t="s">
        <v>1898</v>
      </c>
      <c r="B1833" s="21" t="s">
        <v>22</v>
      </c>
      <c r="C1833" s="21">
        <v>0</v>
      </c>
      <c r="D1833" s="52">
        <v>0</v>
      </c>
      <c r="E1833" s="21"/>
      <c r="F1833" s="21"/>
    </row>
    <row r="1834" spans="1:6" x14ac:dyDescent="0.25">
      <c r="A1834" s="21" t="s">
        <v>1899</v>
      </c>
      <c r="B1834" s="21" t="s">
        <v>22</v>
      </c>
      <c r="C1834" s="21">
        <v>0</v>
      </c>
      <c r="D1834" s="52">
        <v>0</v>
      </c>
      <c r="E1834" s="21"/>
      <c r="F1834" s="21"/>
    </row>
    <row r="1835" spans="1:6" x14ac:dyDescent="0.25">
      <c r="A1835" s="21" t="s">
        <v>1900</v>
      </c>
      <c r="B1835" s="21" t="s">
        <v>22</v>
      </c>
      <c r="C1835" s="21">
        <v>25</v>
      </c>
      <c r="D1835" s="21">
        <v>700</v>
      </c>
      <c r="E1835" s="21">
        <v>28</v>
      </c>
      <c r="F1835" s="21"/>
    </row>
    <row r="1836" spans="1:6" x14ac:dyDescent="0.25">
      <c r="A1836" s="21" t="s">
        <v>1901</v>
      </c>
      <c r="B1836" s="21" t="s">
        <v>22</v>
      </c>
      <c r="C1836" s="21">
        <v>25</v>
      </c>
      <c r="D1836" s="21">
        <v>600</v>
      </c>
      <c r="E1836" s="21">
        <v>24</v>
      </c>
      <c r="F1836" s="21"/>
    </row>
    <row r="1837" spans="1:6" x14ac:dyDescent="0.25">
      <c r="A1837" s="21" t="s">
        <v>1902</v>
      </c>
      <c r="B1837" s="21" t="s">
        <v>22</v>
      </c>
      <c r="C1837" s="21">
        <v>25</v>
      </c>
      <c r="D1837" s="21">
        <v>375</v>
      </c>
      <c r="E1837" s="21">
        <v>15</v>
      </c>
      <c r="F1837" s="21" t="s">
        <v>3217</v>
      </c>
    </row>
    <row r="1838" spans="1:6" x14ac:dyDescent="0.25">
      <c r="A1838" s="21" t="s">
        <v>1903</v>
      </c>
      <c r="B1838" s="21" t="s">
        <v>22</v>
      </c>
      <c r="C1838" s="21">
        <v>25</v>
      </c>
      <c r="D1838" s="21">
        <v>700</v>
      </c>
      <c r="E1838" s="21">
        <v>28</v>
      </c>
      <c r="F1838" s="21"/>
    </row>
    <row r="1839" spans="1:6" x14ac:dyDescent="0.25">
      <c r="A1839" s="21" t="s">
        <v>1904</v>
      </c>
      <c r="B1839" s="21" t="s">
        <v>22</v>
      </c>
      <c r="C1839" s="21">
        <v>25</v>
      </c>
      <c r="D1839" s="21">
        <v>700</v>
      </c>
      <c r="E1839" s="21">
        <v>28</v>
      </c>
      <c r="F1839" s="21"/>
    </row>
    <row r="1840" spans="1:6" x14ac:dyDescent="0.25">
      <c r="A1840" s="21" t="s">
        <v>1905</v>
      </c>
      <c r="B1840" s="21" t="s">
        <v>22</v>
      </c>
      <c r="C1840" s="21">
        <v>25</v>
      </c>
      <c r="D1840" s="21">
        <v>900</v>
      </c>
      <c r="E1840" s="21">
        <v>36</v>
      </c>
      <c r="F1840" s="21"/>
    </row>
    <row r="1841" spans="1:6" x14ac:dyDescent="0.25">
      <c r="A1841" s="21" t="s">
        <v>1906</v>
      </c>
      <c r="B1841" s="21" t="s">
        <v>22</v>
      </c>
      <c r="C1841" s="21">
        <v>25</v>
      </c>
      <c r="D1841" s="21">
        <v>900</v>
      </c>
      <c r="E1841" s="21">
        <v>36</v>
      </c>
      <c r="F1841" s="21"/>
    </row>
    <row r="1842" spans="1:6" x14ac:dyDescent="0.25">
      <c r="A1842" s="21" t="s">
        <v>1907</v>
      </c>
      <c r="B1842" s="21" t="s">
        <v>22</v>
      </c>
      <c r="C1842" s="21">
        <v>25</v>
      </c>
      <c r="D1842" s="21">
        <v>750</v>
      </c>
      <c r="E1842" s="21">
        <v>30</v>
      </c>
      <c r="F1842" s="21" t="s">
        <v>3217</v>
      </c>
    </row>
    <row r="1843" spans="1:6" x14ac:dyDescent="0.25">
      <c r="A1843" s="21" t="s">
        <v>1908</v>
      </c>
      <c r="B1843" s="21" t="s">
        <v>22</v>
      </c>
      <c r="C1843" s="21">
        <v>25</v>
      </c>
      <c r="D1843" s="21">
        <v>1050</v>
      </c>
      <c r="E1843" s="21">
        <v>42</v>
      </c>
      <c r="F1843" s="21"/>
    </row>
    <row r="1844" spans="1:6" x14ac:dyDescent="0.25">
      <c r="A1844" s="21" t="s">
        <v>1909</v>
      </c>
      <c r="B1844" s="21" t="s">
        <v>22</v>
      </c>
      <c r="C1844" s="21">
        <v>25</v>
      </c>
      <c r="D1844" s="21">
        <v>1050</v>
      </c>
      <c r="E1844" s="21">
        <v>42</v>
      </c>
      <c r="F1844" s="21"/>
    </row>
    <row r="1845" spans="1:6" x14ac:dyDescent="0.25">
      <c r="A1845" s="21" t="s">
        <v>1910</v>
      </c>
      <c r="B1845" s="21" t="s">
        <v>22</v>
      </c>
      <c r="C1845" s="21">
        <v>16</v>
      </c>
      <c r="D1845" s="21">
        <v>320</v>
      </c>
      <c r="E1845" s="21">
        <v>20</v>
      </c>
      <c r="F1845" s="21"/>
    </row>
    <row r="1846" spans="1:6" x14ac:dyDescent="0.25">
      <c r="A1846" s="21" t="s">
        <v>1911</v>
      </c>
      <c r="B1846" s="21" t="s">
        <v>22</v>
      </c>
      <c r="C1846" s="21">
        <v>16</v>
      </c>
      <c r="D1846" s="21">
        <v>320</v>
      </c>
      <c r="E1846" s="21">
        <v>20</v>
      </c>
      <c r="F1846" s="21"/>
    </row>
    <row r="1847" spans="1:6" x14ac:dyDescent="0.25">
      <c r="A1847" s="21" t="s">
        <v>1912</v>
      </c>
      <c r="B1847" s="21" t="s">
        <v>22</v>
      </c>
      <c r="C1847" s="21">
        <v>16</v>
      </c>
      <c r="D1847" s="21">
        <v>320</v>
      </c>
      <c r="E1847" s="21">
        <v>20</v>
      </c>
      <c r="F1847" s="21"/>
    </row>
    <row r="1848" spans="1:6" x14ac:dyDescent="0.25">
      <c r="A1848" s="21" t="s">
        <v>1913</v>
      </c>
      <c r="B1848" s="21" t="s">
        <v>22</v>
      </c>
      <c r="C1848" s="21">
        <v>16</v>
      </c>
      <c r="D1848" s="21">
        <v>320</v>
      </c>
      <c r="E1848" s="21">
        <v>20</v>
      </c>
      <c r="F1848" s="21"/>
    </row>
    <row r="1849" spans="1:6" x14ac:dyDescent="0.25">
      <c r="A1849" s="21" t="s">
        <v>1914</v>
      </c>
      <c r="B1849" s="21" t="s">
        <v>22</v>
      </c>
      <c r="C1849" s="21">
        <v>12</v>
      </c>
      <c r="D1849" s="21">
        <v>648</v>
      </c>
      <c r="E1849" s="21">
        <v>54</v>
      </c>
      <c r="F1849" s="21"/>
    </row>
    <row r="1850" spans="1:6" x14ac:dyDescent="0.25">
      <c r="A1850" s="21" t="s">
        <v>1915</v>
      </c>
      <c r="B1850" s="21" t="s">
        <v>22</v>
      </c>
      <c r="C1850" s="21">
        <v>12</v>
      </c>
      <c r="D1850" s="21">
        <v>648</v>
      </c>
      <c r="E1850" s="21">
        <v>54</v>
      </c>
      <c r="F1850" s="21"/>
    </row>
    <row r="1851" spans="1:6" x14ac:dyDescent="0.25">
      <c r="A1851" s="21" t="s">
        <v>1916</v>
      </c>
      <c r="B1851" s="21" t="s">
        <v>22</v>
      </c>
      <c r="C1851" s="21">
        <v>8</v>
      </c>
      <c r="D1851" s="21">
        <v>288</v>
      </c>
      <c r="E1851" s="21">
        <v>36</v>
      </c>
      <c r="F1851" s="21"/>
    </row>
    <row r="1852" spans="1:6" x14ac:dyDescent="0.25">
      <c r="A1852" s="21" t="s">
        <v>1917</v>
      </c>
      <c r="B1852" s="21" t="s">
        <v>22</v>
      </c>
      <c r="C1852" s="21">
        <v>8</v>
      </c>
      <c r="D1852" s="21">
        <v>288</v>
      </c>
      <c r="E1852" s="21">
        <v>36</v>
      </c>
      <c r="F1852" s="21"/>
    </row>
    <row r="1853" spans="1:6" x14ac:dyDescent="0.25">
      <c r="A1853" s="21" t="s">
        <v>1918</v>
      </c>
      <c r="B1853" s="21" t="s">
        <v>22</v>
      </c>
      <c r="C1853" s="21">
        <v>6</v>
      </c>
      <c r="D1853" s="21">
        <v>216</v>
      </c>
      <c r="E1853" s="21">
        <v>36</v>
      </c>
      <c r="F1853" s="21"/>
    </row>
    <row r="1854" spans="1:6" x14ac:dyDescent="0.25">
      <c r="A1854" s="21" t="s">
        <v>1919</v>
      </c>
      <c r="B1854" s="21" t="s">
        <v>22</v>
      </c>
      <c r="C1854" s="21">
        <v>6</v>
      </c>
      <c r="D1854" s="21">
        <v>216</v>
      </c>
      <c r="E1854" s="21">
        <v>36</v>
      </c>
      <c r="F1854" s="21"/>
    </row>
    <row r="1855" spans="1:6" x14ac:dyDescent="0.25">
      <c r="A1855" s="21" t="s">
        <v>1920</v>
      </c>
      <c r="B1855" s="21" t="s">
        <v>22</v>
      </c>
      <c r="C1855" s="21">
        <v>6</v>
      </c>
      <c r="D1855" s="21">
        <v>168</v>
      </c>
      <c r="E1855" s="21">
        <v>28</v>
      </c>
      <c r="F1855" s="21"/>
    </row>
    <row r="1856" spans="1:6" x14ac:dyDescent="0.25">
      <c r="A1856" s="21" t="s">
        <v>1921</v>
      </c>
      <c r="B1856" s="21" t="s">
        <v>22</v>
      </c>
      <c r="C1856" s="21">
        <v>6</v>
      </c>
      <c r="D1856" s="21">
        <v>168</v>
      </c>
      <c r="E1856" s="21">
        <v>28</v>
      </c>
      <c r="F1856" s="21"/>
    </row>
    <row r="1857" spans="1:6" x14ac:dyDescent="0.25">
      <c r="A1857" s="21" t="s">
        <v>1922</v>
      </c>
      <c r="B1857" s="21" t="s">
        <v>22</v>
      </c>
      <c r="C1857" s="21">
        <v>20</v>
      </c>
      <c r="D1857" s="21">
        <v>1080</v>
      </c>
      <c r="E1857" s="21">
        <v>54</v>
      </c>
      <c r="F1857" s="21"/>
    </row>
    <row r="1858" spans="1:6" x14ac:dyDescent="0.25">
      <c r="A1858" s="21" t="s">
        <v>1923</v>
      </c>
      <c r="B1858" s="21" t="s">
        <v>22</v>
      </c>
      <c r="C1858" s="21">
        <v>20</v>
      </c>
      <c r="D1858" s="21">
        <v>1080</v>
      </c>
      <c r="E1858" s="21">
        <v>54</v>
      </c>
      <c r="F1858" s="21"/>
    </row>
    <row r="1859" spans="1:6" x14ac:dyDescent="0.25">
      <c r="A1859" s="21" t="s">
        <v>1924</v>
      </c>
      <c r="B1859" s="21" t="s">
        <v>22</v>
      </c>
      <c r="C1859" s="21">
        <v>1</v>
      </c>
      <c r="D1859" s="21">
        <v>1</v>
      </c>
      <c r="E1859" s="21">
        <v>1</v>
      </c>
      <c r="F1859" s="21"/>
    </row>
    <row r="1860" spans="1:6" x14ac:dyDescent="0.25">
      <c r="A1860" s="21" t="s">
        <v>1925</v>
      </c>
      <c r="B1860" s="21" t="s">
        <v>22</v>
      </c>
      <c r="C1860" s="21">
        <v>12</v>
      </c>
      <c r="D1860" s="21">
        <v>216</v>
      </c>
      <c r="E1860" s="21">
        <v>18</v>
      </c>
      <c r="F1860" s="21"/>
    </row>
    <row r="1861" spans="1:6" x14ac:dyDescent="0.25">
      <c r="A1861" s="21" t="s">
        <v>1926</v>
      </c>
      <c r="B1861" s="21" t="s">
        <v>22</v>
      </c>
      <c r="C1861" s="21">
        <v>12</v>
      </c>
      <c r="D1861" s="21">
        <v>216</v>
      </c>
      <c r="E1861" s="21">
        <v>18</v>
      </c>
      <c r="F1861" s="21"/>
    </row>
    <row r="1862" spans="1:6" x14ac:dyDescent="0.25">
      <c r="A1862" s="21" t="s">
        <v>1927</v>
      </c>
      <c r="B1862" s="21" t="s">
        <v>22</v>
      </c>
      <c r="C1862" s="21">
        <v>12</v>
      </c>
      <c r="D1862" s="21">
        <v>156</v>
      </c>
      <c r="E1862" s="21">
        <v>13</v>
      </c>
      <c r="F1862" s="21"/>
    </row>
    <row r="1863" spans="1:6" x14ac:dyDescent="0.25">
      <c r="A1863" s="21" t="s">
        <v>1928</v>
      </c>
      <c r="B1863" s="21" t="s">
        <v>22</v>
      </c>
      <c r="C1863" s="21">
        <v>12</v>
      </c>
      <c r="D1863" s="21">
        <v>156</v>
      </c>
      <c r="E1863" s="21">
        <v>13</v>
      </c>
      <c r="F1863" s="21"/>
    </row>
    <row r="1864" spans="1:6" x14ac:dyDescent="0.25">
      <c r="A1864" s="21" t="s">
        <v>1929</v>
      </c>
      <c r="B1864" s="21" t="s">
        <v>22</v>
      </c>
      <c r="C1864" s="21">
        <v>16</v>
      </c>
      <c r="D1864" s="21">
        <v>320</v>
      </c>
      <c r="E1864" s="21">
        <v>20</v>
      </c>
      <c r="F1864" s="21"/>
    </row>
    <row r="1865" spans="1:6" x14ac:dyDescent="0.25">
      <c r="A1865" s="21" t="s">
        <v>1930</v>
      </c>
      <c r="B1865" s="21" t="s">
        <v>22</v>
      </c>
      <c r="C1865" s="21">
        <v>16</v>
      </c>
      <c r="D1865" s="21">
        <v>320</v>
      </c>
      <c r="E1865" s="21">
        <v>20</v>
      </c>
      <c r="F1865" s="21"/>
    </row>
    <row r="1866" spans="1:6" x14ac:dyDescent="0.25">
      <c r="A1866" s="21" t="s">
        <v>1931</v>
      </c>
      <c r="B1866" s="21" t="s">
        <v>22</v>
      </c>
      <c r="C1866" s="21">
        <v>16</v>
      </c>
      <c r="D1866" s="21">
        <v>320</v>
      </c>
      <c r="E1866" s="21">
        <v>20</v>
      </c>
      <c r="F1866" s="21"/>
    </row>
    <row r="1867" spans="1:6" x14ac:dyDescent="0.25">
      <c r="A1867" s="21" t="s">
        <v>1932</v>
      </c>
      <c r="B1867" s="21" t="s">
        <v>22</v>
      </c>
      <c r="C1867" s="21">
        <v>16</v>
      </c>
      <c r="D1867" s="21">
        <v>320</v>
      </c>
      <c r="E1867" s="21">
        <v>20</v>
      </c>
      <c r="F1867" s="21"/>
    </row>
    <row r="1868" spans="1:6" x14ac:dyDescent="0.25">
      <c r="A1868" s="21" t="s">
        <v>1933</v>
      </c>
      <c r="B1868" s="21" t="s">
        <v>22</v>
      </c>
      <c r="C1868" s="21">
        <v>10</v>
      </c>
      <c r="D1868" s="21">
        <v>2400</v>
      </c>
      <c r="E1868" s="21">
        <v>240</v>
      </c>
      <c r="F1868" s="21"/>
    </row>
    <row r="1869" spans="1:6" x14ac:dyDescent="0.25">
      <c r="A1869" s="21" t="s">
        <v>1934</v>
      </c>
      <c r="B1869" s="21" t="s">
        <v>22</v>
      </c>
      <c r="C1869" s="21">
        <v>10</v>
      </c>
      <c r="D1869" s="21">
        <v>240</v>
      </c>
      <c r="E1869" s="21">
        <v>24</v>
      </c>
      <c r="F1869" s="21"/>
    </row>
    <row r="1870" spans="1:6" x14ac:dyDescent="0.25">
      <c r="A1870" s="21" t="s">
        <v>1935</v>
      </c>
      <c r="B1870" s="21" t="s">
        <v>22</v>
      </c>
      <c r="C1870" s="21">
        <v>0</v>
      </c>
      <c r="D1870" s="52">
        <v>0</v>
      </c>
      <c r="E1870" s="21"/>
      <c r="F1870" s="21"/>
    </row>
    <row r="1871" spans="1:6" x14ac:dyDescent="0.25">
      <c r="A1871" s="21" t="s">
        <v>1936</v>
      </c>
      <c r="B1871" s="21" t="s">
        <v>22</v>
      </c>
      <c r="C1871" s="21">
        <v>0</v>
      </c>
      <c r="D1871" s="52">
        <v>0</v>
      </c>
      <c r="E1871" s="21"/>
      <c r="F1871" s="21"/>
    </row>
    <row r="1872" spans="1:6" x14ac:dyDescent="0.25">
      <c r="A1872" s="21" t="s">
        <v>1937</v>
      </c>
      <c r="B1872" s="21" t="s">
        <v>22</v>
      </c>
      <c r="C1872" s="21">
        <v>0</v>
      </c>
      <c r="D1872" s="52">
        <v>0</v>
      </c>
      <c r="E1872" s="21"/>
      <c r="F1872" s="21"/>
    </row>
    <row r="1873" spans="1:6" x14ac:dyDescent="0.25">
      <c r="A1873" s="21" t="s">
        <v>1938</v>
      </c>
      <c r="B1873" s="21" t="s">
        <v>22</v>
      </c>
      <c r="C1873" s="21">
        <v>0</v>
      </c>
      <c r="D1873" s="52">
        <v>0</v>
      </c>
      <c r="E1873" s="21"/>
      <c r="F1873" s="21"/>
    </row>
    <row r="1874" spans="1:6" x14ac:dyDescent="0.25">
      <c r="A1874" s="21" t="s">
        <v>1939</v>
      </c>
      <c r="B1874" s="21" t="s">
        <v>22</v>
      </c>
      <c r="C1874" s="21">
        <v>0</v>
      </c>
      <c r="D1874" s="52">
        <v>0</v>
      </c>
      <c r="E1874" s="21"/>
      <c r="F1874" s="21"/>
    </row>
    <row r="1875" spans="1:6" x14ac:dyDescent="0.25">
      <c r="A1875" s="21" t="s">
        <v>1940</v>
      </c>
      <c r="B1875" s="21" t="s">
        <v>22</v>
      </c>
      <c r="C1875" s="21">
        <v>0</v>
      </c>
      <c r="D1875" s="52">
        <v>0</v>
      </c>
      <c r="E1875" s="21"/>
      <c r="F1875" s="21"/>
    </row>
    <row r="1876" spans="1:6" x14ac:dyDescent="0.25">
      <c r="A1876" s="21" t="s">
        <v>1941</v>
      </c>
      <c r="B1876" s="21" t="s">
        <v>22</v>
      </c>
      <c r="C1876" s="21">
        <v>0</v>
      </c>
      <c r="D1876" s="52">
        <v>0</v>
      </c>
      <c r="E1876" s="21"/>
      <c r="F1876" s="21"/>
    </row>
    <row r="1877" spans="1:6" x14ac:dyDescent="0.25">
      <c r="A1877" s="21" t="s">
        <v>1942</v>
      </c>
      <c r="B1877" s="21" t="s">
        <v>22</v>
      </c>
      <c r="C1877" s="21">
        <v>0</v>
      </c>
      <c r="D1877" s="52">
        <v>0</v>
      </c>
      <c r="E1877" s="21"/>
      <c r="F1877" s="21"/>
    </row>
    <row r="1878" spans="1:6" x14ac:dyDescent="0.25">
      <c r="A1878" s="21" t="s">
        <v>1943</v>
      </c>
      <c r="B1878" s="21" t="s">
        <v>22</v>
      </c>
      <c r="C1878" s="21">
        <v>50</v>
      </c>
      <c r="D1878" s="21">
        <v>1200</v>
      </c>
      <c r="E1878" s="21">
        <v>24</v>
      </c>
      <c r="F1878" s="21"/>
    </row>
    <row r="1879" spans="1:6" x14ac:dyDescent="0.25">
      <c r="A1879" s="21" t="s">
        <v>1944</v>
      </c>
      <c r="B1879" s="21" t="s">
        <v>22</v>
      </c>
      <c r="C1879" s="21">
        <v>50</v>
      </c>
      <c r="D1879" s="21">
        <v>1200</v>
      </c>
      <c r="E1879" s="21">
        <v>24</v>
      </c>
      <c r="F1879" s="21"/>
    </row>
    <row r="1880" spans="1:6" x14ac:dyDescent="0.25">
      <c r="A1880" s="21" t="s">
        <v>1945</v>
      </c>
      <c r="B1880" s="21" t="s">
        <v>22</v>
      </c>
      <c r="C1880" s="21">
        <v>2</v>
      </c>
      <c r="D1880" s="21">
        <v>48</v>
      </c>
      <c r="E1880" s="21">
        <v>24</v>
      </c>
      <c r="F1880" s="21"/>
    </row>
    <row r="1881" spans="1:6" x14ac:dyDescent="0.25">
      <c r="A1881" s="21" t="s">
        <v>1946</v>
      </c>
      <c r="B1881" s="21" t="s">
        <v>22</v>
      </c>
      <c r="C1881" s="21">
        <v>2</v>
      </c>
      <c r="D1881" s="21">
        <v>42</v>
      </c>
      <c r="E1881" s="21">
        <v>21</v>
      </c>
      <c r="F1881" s="21"/>
    </row>
    <row r="1882" spans="1:6" x14ac:dyDescent="0.25">
      <c r="A1882" s="21" t="s">
        <v>1947</v>
      </c>
      <c r="B1882" s="21" t="s">
        <v>22</v>
      </c>
      <c r="C1882" s="21">
        <v>50</v>
      </c>
      <c r="D1882" s="21">
        <v>1200</v>
      </c>
      <c r="E1882" s="21">
        <v>24</v>
      </c>
      <c r="F1882" s="21"/>
    </row>
    <row r="1883" spans="1:6" x14ac:dyDescent="0.25">
      <c r="A1883" s="21" t="s">
        <v>1948</v>
      </c>
      <c r="B1883" s="21" t="s">
        <v>22</v>
      </c>
      <c r="C1883" s="21">
        <v>2</v>
      </c>
      <c r="D1883" s="21">
        <v>28</v>
      </c>
      <c r="E1883" s="21">
        <v>14</v>
      </c>
      <c r="F1883" s="21"/>
    </row>
    <row r="1884" spans="1:6" x14ac:dyDescent="0.25">
      <c r="A1884" s="21" t="s">
        <v>1949</v>
      </c>
      <c r="B1884" s="21" t="s">
        <v>22</v>
      </c>
      <c r="C1884" s="21">
        <v>2</v>
      </c>
      <c r="D1884" s="21">
        <v>14</v>
      </c>
      <c r="E1884" s="21">
        <v>7</v>
      </c>
      <c r="F1884" s="21"/>
    </row>
    <row r="1885" spans="1:6" x14ac:dyDescent="0.25">
      <c r="A1885" s="21" t="s">
        <v>1950</v>
      </c>
      <c r="B1885" s="21" t="s">
        <v>22</v>
      </c>
      <c r="C1885" s="21">
        <v>500</v>
      </c>
      <c r="D1885" s="21">
        <v>40500</v>
      </c>
      <c r="E1885" s="21">
        <v>81</v>
      </c>
      <c r="F1885" s="21"/>
    </row>
    <row r="1886" spans="1:6" x14ac:dyDescent="0.25">
      <c r="A1886" s="21" t="s">
        <v>1951</v>
      </c>
      <c r="B1886" s="21" t="s">
        <v>22</v>
      </c>
      <c r="C1886" s="21">
        <v>500</v>
      </c>
      <c r="D1886" s="21">
        <v>40500</v>
      </c>
      <c r="E1886" s="21">
        <v>81</v>
      </c>
      <c r="F1886" s="21"/>
    </row>
    <row r="1887" spans="1:6" x14ac:dyDescent="0.25">
      <c r="A1887" s="21" t="s">
        <v>1952</v>
      </c>
      <c r="B1887" s="21" t="s">
        <v>22</v>
      </c>
      <c r="C1887" s="21">
        <v>64</v>
      </c>
      <c r="D1887" s="21">
        <v>2560</v>
      </c>
      <c r="E1887" s="21">
        <v>40</v>
      </c>
      <c r="F1887" s="21"/>
    </row>
    <row r="1888" spans="1:6" x14ac:dyDescent="0.25">
      <c r="A1888" s="21" t="s">
        <v>1953</v>
      </c>
      <c r="B1888" s="21" t="s">
        <v>22</v>
      </c>
      <c r="C1888" s="21">
        <v>64</v>
      </c>
      <c r="D1888" s="21">
        <v>2560</v>
      </c>
      <c r="E1888" s="21">
        <v>40</v>
      </c>
      <c r="F1888" s="21"/>
    </row>
    <row r="1889" spans="1:6" x14ac:dyDescent="0.25">
      <c r="A1889" s="21" t="s">
        <v>1954</v>
      </c>
      <c r="B1889" s="21" t="s">
        <v>22</v>
      </c>
      <c r="C1889" s="21">
        <v>64</v>
      </c>
      <c r="D1889" s="21">
        <v>2560</v>
      </c>
      <c r="E1889" s="21">
        <v>40</v>
      </c>
      <c r="F1889" s="21"/>
    </row>
    <row r="1890" spans="1:6" x14ac:dyDescent="0.25">
      <c r="A1890" s="21" t="s">
        <v>1955</v>
      </c>
      <c r="B1890" s="21" t="s">
        <v>22</v>
      </c>
      <c r="C1890" s="21">
        <v>32</v>
      </c>
      <c r="D1890" s="21">
        <v>1280</v>
      </c>
      <c r="E1890" s="21">
        <v>40</v>
      </c>
      <c r="F1890" s="21"/>
    </row>
    <row r="1891" spans="1:6" x14ac:dyDescent="0.25">
      <c r="A1891" s="21" t="s">
        <v>1956</v>
      </c>
      <c r="B1891" s="21" t="s">
        <v>22</v>
      </c>
      <c r="C1891" s="21">
        <v>32</v>
      </c>
      <c r="D1891" s="21">
        <v>1280</v>
      </c>
      <c r="E1891" s="21">
        <v>40</v>
      </c>
      <c r="F1891" s="21"/>
    </row>
    <row r="1892" spans="1:6" x14ac:dyDescent="0.25">
      <c r="A1892" s="21" t="s">
        <v>1957</v>
      </c>
      <c r="B1892" s="21" t="s">
        <v>22</v>
      </c>
      <c r="C1892" s="21">
        <v>32</v>
      </c>
      <c r="D1892" s="21">
        <v>1280</v>
      </c>
      <c r="E1892" s="21">
        <v>40</v>
      </c>
      <c r="F1892" s="21"/>
    </row>
    <row r="1893" spans="1:6" x14ac:dyDescent="0.25">
      <c r="A1893" s="21" t="s">
        <v>1958</v>
      </c>
      <c r="B1893" s="21" t="s">
        <v>22</v>
      </c>
      <c r="C1893" s="21">
        <v>24</v>
      </c>
      <c r="D1893" s="21">
        <v>960</v>
      </c>
      <c r="E1893" s="21">
        <v>40</v>
      </c>
      <c r="F1893" s="21"/>
    </row>
    <row r="1894" spans="1:6" x14ac:dyDescent="0.25">
      <c r="A1894" s="21" t="s">
        <v>1959</v>
      </c>
      <c r="B1894" s="21" t="s">
        <v>22</v>
      </c>
      <c r="C1894" s="21">
        <v>24</v>
      </c>
      <c r="D1894" s="21">
        <v>960</v>
      </c>
      <c r="E1894" s="21">
        <v>40</v>
      </c>
      <c r="F1894" s="21"/>
    </row>
    <row r="1895" spans="1:6" x14ac:dyDescent="0.25">
      <c r="A1895" s="21" t="s">
        <v>1960</v>
      </c>
      <c r="B1895" s="21" t="s">
        <v>22</v>
      </c>
      <c r="C1895" s="21">
        <v>24</v>
      </c>
      <c r="D1895" s="21">
        <v>960</v>
      </c>
      <c r="E1895" s="21">
        <v>40</v>
      </c>
      <c r="F1895" s="21"/>
    </row>
    <row r="1896" spans="1:6" x14ac:dyDescent="0.25">
      <c r="A1896" s="21" t="s">
        <v>1961</v>
      </c>
      <c r="B1896" s="21" t="s">
        <v>22</v>
      </c>
      <c r="C1896" s="21">
        <v>16</v>
      </c>
      <c r="D1896" s="21">
        <v>640</v>
      </c>
      <c r="E1896" s="21">
        <v>40</v>
      </c>
      <c r="F1896" s="21"/>
    </row>
    <row r="1897" spans="1:6" x14ac:dyDescent="0.25">
      <c r="A1897" s="21" t="s">
        <v>1962</v>
      </c>
      <c r="B1897" s="21" t="s">
        <v>22</v>
      </c>
      <c r="C1897" s="21">
        <v>16</v>
      </c>
      <c r="D1897" s="21">
        <v>640</v>
      </c>
      <c r="E1897" s="21">
        <v>40</v>
      </c>
      <c r="F1897" s="21"/>
    </row>
    <row r="1898" spans="1:6" x14ac:dyDescent="0.25">
      <c r="A1898" s="21" t="s">
        <v>1963</v>
      </c>
      <c r="B1898" s="21" t="s">
        <v>22</v>
      </c>
      <c r="C1898" s="21">
        <v>16</v>
      </c>
      <c r="D1898" s="21">
        <v>640</v>
      </c>
      <c r="E1898" s="21">
        <v>40</v>
      </c>
      <c r="F1898" s="21"/>
    </row>
    <row r="1899" spans="1:6" x14ac:dyDescent="0.25">
      <c r="A1899" s="21" t="s">
        <v>1964</v>
      </c>
      <c r="B1899" s="21" t="s">
        <v>22</v>
      </c>
      <c r="C1899" s="21">
        <v>20</v>
      </c>
      <c r="D1899" s="52">
        <v>0</v>
      </c>
      <c r="E1899" s="21"/>
      <c r="F1899" s="21"/>
    </row>
    <row r="1900" spans="1:6" x14ac:dyDescent="0.25">
      <c r="A1900" s="21" t="s">
        <v>1965</v>
      </c>
      <c r="B1900" s="21" t="s">
        <v>22</v>
      </c>
      <c r="C1900" s="21">
        <v>0</v>
      </c>
      <c r="D1900" s="52">
        <v>0</v>
      </c>
      <c r="E1900" s="21"/>
      <c r="F1900" s="21"/>
    </row>
    <row r="1901" spans="1:6" x14ac:dyDescent="0.25">
      <c r="A1901" s="21" t="s">
        <v>1966</v>
      </c>
      <c r="B1901" s="21" t="s">
        <v>22</v>
      </c>
      <c r="C1901" s="21">
        <v>10</v>
      </c>
      <c r="D1901" s="21">
        <v>120</v>
      </c>
      <c r="E1901" s="21">
        <v>12</v>
      </c>
      <c r="F1901" s="21"/>
    </row>
    <row r="1902" spans="1:6" x14ac:dyDescent="0.25">
      <c r="A1902" s="21" t="s">
        <v>1968</v>
      </c>
      <c r="B1902" s="21" t="s">
        <v>22</v>
      </c>
      <c r="C1902" s="21">
        <v>0</v>
      </c>
      <c r="D1902" s="52">
        <v>0</v>
      </c>
      <c r="E1902" s="21"/>
      <c r="F1902" s="21"/>
    </row>
    <row r="1903" spans="1:6" x14ac:dyDescent="0.25">
      <c r="A1903" s="21" t="s">
        <v>1969</v>
      </c>
      <c r="B1903" s="21" t="s">
        <v>22</v>
      </c>
      <c r="C1903" s="21">
        <v>1000</v>
      </c>
      <c r="D1903" s="21">
        <v>40000</v>
      </c>
      <c r="E1903" s="21">
        <v>40</v>
      </c>
      <c r="F1903" s="21"/>
    </row>
    <row r="1904" spans="1:6" x14ac:dyDescent="0.25">
      <c r="A1904" s="21" t="s">
        <v>1971</v>
      </c>
      <c r="B1904" s="21" t="s">
        <v>22</v>
      </c>
      <c r="C1904" s="21">
        <v>50</v>
      </c>
      <c r="D1904" s="21">
        <v>1500</v>
      </c>
      <c r="E1904" s="21">
        <v>30</v>
      </c>
      <c r="F1904" s="21"/>
    </row>
    <row r="1905" spans="1:6" x14ac:dyDescent="0.25">
      <c r="A1905" s="21" t="s">
        <v>1972</v>
      </c>
      <c r="B1905" s="21" t="s">
        <v>22</v>
      </c>
      <c r="C1905" s="21">
        <v>50</v>
      </c>
      <c r="D1905" s="21">
        <v>1500</v>
      </c>
      <c r="E1905" s="21">
        <v>30</v>
      </c>
      <c r="F1905" s="21"/>
    </row>
    <row r="1906" spans="1:6" x14ac:dyDescent="0.25">
      <c r="A1906" s="21" t="s">
        <v>1973</v>
      </c>
      <c r="B1906" s="21" t="s">
        <v>22</v>
      </c>
      <c r="C1906" s="21">
        <v>50</v>
      </c>
      <c r="D1906" s="21">
        <v>1200</v>
      </c>
      <c r="E1906" s="21">
        <v>24</v>
      </c>
      <c r="F1906" s="21"/>
    </row>
    <row r="1907" spans="1:6" x14ac:dyDescent="0.25">
      <c r="A1907" s="21" t="s">
        <v>1974</v>
      </c>
      <c r="B1907" s="21" t="s">
        <v>22</v>
      </c>
      <c r="C1907" s="21">
        <v>50</v>
      </c>
      <c r="D1907" s="21">
        <v>1500</v>
      </c>
      <c r="E1907" s="21">
        <v>30</v>
      </c>
      <c r="F1907" s="21"/>
    </row>
    <row r="1908" spans="1:6" x14ac:dyDescent="0.25">
      <c r="A1908" s="21" t="s">
        <v>1975</v>
      </c>
      <c r="B1908" s="21" t="s">
        <v>22</v>
      </c>
      <c r="C1908" s="21">
        <v>20</v>
      </c>
      <c r="D1908" s="21">
        <v>400</v>
      </c>
      <c r="E1908" s="21">
        <v>20</v>
      </c>
      <c r="F1908" s="21"/>
    </row>
    <row r="1909" spans="1:6" x14ac:dyDescent="0.25">
      <c r="A1909" s="21" t="s">
        <v>1976</v>
      </c>
      <c r="B1909" s="21" t="s">
        <v>22</v>
      </c>
      <c r="C1909" s="21">
        <v>20</v>
      </c>
      <c r="D1909" s="21">
        <v>400</v>
      </c>
      <c r="E1909" s="21">
        <v>20</v>
      </c>
      <c r="F1909" s="21"/>
    </row>
    <row r="1910" spans="1:6" x14ac:dyDescent="0.25">
      <c r="A1910" s="21" t="s">
        <v>1977</v>
      </c>
      <c r="B1910" s="21" t="s">
        <v>22</v>
      </c>
      <c r="C1910" s="21">
        <v>20</v>
      </c>
      <c r="D1910" s="21">
        <v>400</v>
      </c>
      <c r="E1910" s="21">
        <v>20</v>
      </c>
      <c r="F1910" s="21"/>
    </row>
    <row r="1911" spans="1:6" x14ac:dyDescent="0.25">
      <c r="A1911" s="21" t="s">
        <v>1978</v>
      </c>
      <c r="B1911" s="21" t="s">
        <v>22</v>
      </c>
      <c r="C1911" s="21">
        <v>20</v>
      </c>
      <c r="D1911" s="21">
        <v>400</v>
      </c>
      <c r="E1911" s="21">
        <v>20</v>
      </c>
      <c r="F1911" s="21"/>
    </row>
    <row r="1912" spans="1:6" x14ac:dyDescent="0.25">
      <c r="A1912" s="21" t="s">
        <v>1979</v>
      </c>
      <c r="B1912" s="21" t="s">
        <v>22</v>
      </c>
      <c r="C1912" s="21">
        <v>20</v>
      </c>
      <c r="D1912" s="21">
        <v>400</v>
      </c>
      <c r="E1912" s="21">
        <v>20</v>
      </c>
      <c r="F1912" s="21"/>
    </row>
    <row r="1913" spans="1:6" x14ac:dyDescent="0.25">
      <c r="A1913" s="21" t="s">
        <v>1980</v>
      </c>
      <c r="B1913" s="21" t="s">
        <v>22</v>
      </c>
      <c r="C1913" s="21">
        <v>20</v>
      </c>
      <c r="D1913" s="21">
        <v>400</v>
      </c>
      <c r="E1913" s="21">
        <v>20</v>
      </c>
      <c r="F1913" s="21"/>
    </row>
    <row r="1914" spans="1:6" x14ac:dyDescent="0.25">
      <c r="A1914" s="21" t="s">
        <v>1981</v>
      </c>
      <c r="B1914" s="21" t="s">
        <v>22</v>
      </c>
      <c r="C1914" s="21">
        <v>20</v>
      </c>
      <c r="D1914" s="21">
        <v>400</v>
      </c>
      <c r="E1914" s="21">
        <v>20</v>
      </c>
      <c r="F1914" s="21"/>
    </row>
    <row r="1915" spans="1:6" x14ac:dyDescent="0.25">
      <c r="A1915" s="21" t="s">
        <v>1982</v>
      </c>
      <c r="B1915" s="21" t="s">
        <v>22</v>
      </c>
      <c r="C1915" s="21">
        <v>20</v>
      </c>
      <c r="D1915" s="21">
        <v>400</v>
      </c>
      <c r="E1915" s="21">
        <v>20</v>
      </c>
      <c r="F1915" s="21"/>
    </row>
    <row r="1916" spans="1:6" x14ac:dyDescent="0.25">
      <c r="A1916" s="21" t="s">
        <v>1983</v>
      </c>
      <c r="B1916" s="21" t="s">
        <v>22</v>
      </c>
      <c r="C1916" s="21">
        <v>20</v>
      </c>
      <c r="D1916" s="21">
        <v>400</v>
      </c>
      <c r="E1916" s="21">
        <v>20</v>
      </c>
      <c r="F1916" s="21"/>
    </row>
    <row r="1917" spans="1:6" x14ac:dyDescent="0.25">
      <c r="A1917" s="21" t="s">
        <v>1984</v>
      </c>
      <c r="B1917" s="21" t="s">
        <v>22</v>
      </c>
      <c r="C1917" s="21">
        <v>20</v>
      </c>
      <c r="D1917" s="21">
        <v>400</v>
      </c>
      <c r="E1917" s="21">
        <v>20</v>
      </c>
      <c r="F1917" s="21"/>
    </row>
    <row r="1918" spans="1:6" x14ac:dyDescent="0.25">
      <c r="A1918" s="21" t="s">
        <v>1985</v>
      </c>
      <c r="B1918" s="21" t="s">
        <v>22</v>
      </c>
      <c r="C1918" s="21">
        <v>20</v>
      </c>
      <c r="D1918" s="21">
        <v>400</v>
      </c>
      <c r="E1918" s="21">
        <v>20</v>
      </c>
      <c r="F1918" s="21"/>
    </row>
    <row r="1919" spans="1:6" x14ac:dyDescent="0.25">
      <c r="A1919" s="21" t="s">
        <v>1986</v>
      </c>
      <c r="B1919" s="21" t="s">
        <v>22</v>
      </c>
      <c r="C1919" s="21">
        <v>20</v>
      </c>
      <c r="D1919" s="21">
        <v>400</v>
      </c>
      <c r="E1919" s="21">
        <v>20</v>
      </c>
      <c r="F1919" s="21"/>
    </row>
    <row r="1920" spans="1:6" x14ac:dyDescent="0.25">
      <c r="A1920" s="21" t="s">
        <v>1987</v>
      </c>
      <c r="B1920" s="21" t="s">
        <v>22</v>
      </c>
      <c r="C1920" s="21">
        <v>50</v>
      </c>
      <c r="D1920" s="21">
        <v>1500</v>
      </c>
      <c r="E1920" s="21">
        <v>30</v>
      </c>
      <c r="F1920" s="21"/>
    </row>
    <row r="1921" spans="1:6" x14ac:dyDescent="0.25">
      <c r="A1921" s="21" t="s">
        <v>1988</v>
      </c>
      <c r="B1921" s="21" t="s">
        <v>22</v>
      </c>
      <c r="C1921" s="21">
        <v>28</v>
      </c>
      <c r="D1921" s="21">
        <v>840</v>
      </c>
      <c r="E1921" s="21">
        <v>30</v>
      </c>
      <c r="F1921" s="21"/>
    </row>
    <row r="1922" spans="1:6" x14ac:dyDescent="0.25">
      <c r="A1922" s="21" t="s">
        <v>1989</v>
      </c>
      <c r="B1922" s="21" t="s">
        <v>22</v>
      </c>
      <c r="C1922" s="21">
        <v>90</v>
      </c>
      <c r="D1922" s="21">
        <v>1620</v>
      </c>
      <c r="E1922" s="21">
        <v>18</v>
      </c>
      <c r="F1922" s="21"/>
    </row>
    <row r="1923" spans="1:6" x14ac:dyDescent="0.25">
      <c r="A1923" s="21" t="s">
        <v>1990</v>
      </c>
      <c r="B1923" s="21" t="s">
        <v>22</v>
      </c>
      <c r="C1923" s="21">
        <v>90</v>
      </c>
      <c r="D1923" s="21">
        <v>1620</v>
      </c>
      <c r="E1923" s="21">
        <v>18</v>
      </c>
      <c r="F1923" s="21"/>
    </row>
    <row r="1924" spans="1:6" x14ac:dyDescent="0.25">
      <c r="A1924" s="21" t="s">
        <v>1991</v>
      </c>
      <c r="B1924" s="21" t="s">
        <v>22</v>
      </c>
      <c r="C1924" s="21">
        <v>50</v>
      </c>
      <c r="D1924" s="21">
        <v>1500</v>
      </c>
      <c r="E1924" s="21">
        <v>30</v>
      </c>
      <c r="F1924" s="21"/>
    </row>
    <row r="1925" spans="1:6" x14ac:dyDescent="0.25">
      <c r="A1925" s="21" t="s">
        <v>1992</v>
      </c>
      <c r="B1925" s="21" t="s">
        <v>22</v>
      </c>
      <c r="C1925" s="21">
        <v>50</v>
      </c>
      <c r="D1925" s="21">
        <v>2400</v>
      </c>
      <c r="E1925" s="21">
        <v>48</v>
      </c>
      <c r="F1925" s="21"/>
    </row>
    <row r="1926" spans="1:6" x14ac:dyDescent="0.25">
      <c r="A1926" s="21" t="s">
        <v>1993</v>
      </c>
      <c r="B1926" s="21" t="s">
        <v>22</v>
      </c>
      <c r="C1926" s="21">
        <v>80</v>
      </c>
      <c r="D1926" s="21">
        <v>3200</v>
      </c>
      <c r="E1926" s="21">
        <v>40</v>
      </c>
      <c r="F1926" s="21"/>
    </row>
    <row r="1927" spans="1:6" x14ac:dyDescent="0.25">
      <c r="A1927" s="21" t="s">
        <v>1994</v>
      </c>
      <c r="B1927" s="21" t="s">
        <v>22</v>
      </c>
      <c r="C1927" s="21">
        <v>80</v>
      </c>
      <c r="D1927" s="21">
        <v>3200</v>
      </c>
      <c r="E1927" s="21">
        <v>40</v>
      </c>
      <c r="F1927" s="21"/>
    </row>
    <row r="1928" spans="1:6" x14ac:dyDescent="0.25">
      <c r="A1928" s="21" t="s">
        <v>1995</v>
      </c>
      <c r="B1928" s="21" t="s">
        <v>22</v>
      </c>
      <c r="C1928" s="21">
        <v>0</v>
      </c>
      <c r="D1928" s="52">
        <v>0</v>
      </c>
      <c r="E1928" s="21"/>
      <c r="F1928" s="21"/>
    </row>
    <row r="1929" spans="1:6" x14ac:dyDescent="0.25">
      <c r="A1929" s="21" t="s">
        <v>1996</v>
      </c>
      <c r="B1929" s="21" t="s">
        <v>22</v>
      </c>
      <c r="C1929" s="21">
        <v>24</v>
      </c>
      <c r="D1929" s="21">
        <v>1440</v>
      </c>
      <c r="E1929" s="21">
        <v>60</v>
      </c>
      <c r="F1929" s="21"/>
    </row>
    <row r="1930" spans="1:6" x14ac:dyDescent="0.25">
      <c r="A1930" s="21" t="s">
        <v>1997</v>
      </c>
      <c r="B1930" s="21" t="s">
        <v>22</v>
      </c>
      <c r="C1930" s="21">
        <v>24</v>
      </c>
      <c r="D1930" s="21">
        <v>1440</v>
      </c>
      <c r="E1930" s="21">
        <v>60</v>
      </c>
      <c r="F1930" s="21"/>
    </row>
    <row r="1931" spans="1:6" x14ac:dyDescent="0.25">
      <c r="A1931" s="21" t="s">
        <v>1998</v>
      </c>
      <c r="B1931" s="21" t="s">
        <v>22</v>
      </c>
      <c r="C1931" s="21">
        <v>24</v>
      </c>
      <c r="D1931" s="21">
        <v>1440</v>
      </c>
      <c r="E1931" s="21">
        <v>60</v>
      </c>
      <c r="F1931" s="21"/>
    </row>
    <row r="1932" spans="1:6" x14ac:dyDescent="0.25">
      <c r="A1932" s="21" t="s">
        <v>1999</v>
      </c>
      <c r="B1932" s="21" t="s">
        <v>22</v>
      </c>
      <c r="C1932" s="21">
        <v>50</v>
      </c>
      <c r="D1932" s="21">
        <v>1500</v>
      </c>
      <c r="E1932" s="21">
        <v>30</v>
      </c>
      <c r="F1932" s="21"/>
    </row>
    <row r="1933" spans="1:6" x14ac:dyDescent="0.25">
      <c r="A1933" s="21" t="s">
        <v>2000</v>
      </c>
      <c r="B1933" s="21" t="s">
        <v>22</v>
      </c>
      <c r="C1933" s="21">
        <v>50</v>
      </c>
      <c r="D1933" s="21">
        <v>1500</v>
      </c>
      <c r="E1933" s="21">
        <v>30</v>
      </c>
      <c r="F1933" s="21"/>
    </row>
    <row r="1934" spans="1:6" x14ac:dyDescent="0.25">
      <c r="A1934" s="21" t="s">
        <v>2001</v>
      </c>
      <c r="B1934" s="21" t="s">
        <v>22</v>
      </c>
      <c r="C1934" s="21">
        <v>50</v>
      </c>
      <c r="D1934" s="21">
        <v>1200</v>
      </c>
      <c r="E1934" s="21">
        <v>24</v>
      </c>
      <c r="F1934" s="21"/>
    </row>
    <row r="1935" spans="1:6" x14ac:dyDescent="0.25">
      <c r="A1935" s="21" t="s">
        <v>2002</v>
      </c>
      <c r="B1935" s="21" t="s">
        <v>22</v>
      </c>
      <c r="C1935" s="21">
        <v>50</v>
      </c>
      <c r="D1935" s="21">
        <v>1200</v>
      </c>
      <c r="E1935" s="21">
        <v>24</v>
      </c>
      <c r="F1935" s="21"/>
    </row>
    <row r="1936" spans="1:6" x14ac:dyDescent="0.25">
      <c r="A1936" s="21" t="s">
        <v>2003</v>
      </c>
      <c r="B1936" s="21" t="s">
        <v>22</v>
      </c>
      <c r="C1936" s="21">
        <v>60</v>
      </c>
      <c r="D1936" s="21">
        <v>1800</v>
      </c>
      <c r="E1936" s="21">
        <f>+D1936/C1936</f>
        <v>30</v>
      </c>
      <c r="F1936" s="21" t="s">
        <v>3649</v>
      </c>
    </row>
    <row r="1937" spans="1:6" x14ac:dyDescent="0.25">
      <c r="A1937" s="21" t="s">
        <v>2004</v>
      </c>
      <c r="B1937" s="21" t="s">
        <v>22</v>
      </c>
      <c r="C1937" s="21">
        <v>60</v>
      </c>
      <c r="D1937" s="21">
        <v>1440</v>
      </c>
      <c r="E1937" s="21">
        <v>24</v>
      </c>
      <c r="F1937" s="21"/>
    </row>
    <row r="1938" spans="1:6" x14ac:dyDescent="0.25">
      <c r="A1938" s="21" t="s">
        <v>2005</v>
      </c>
      <c r="B1938" s="21" t="s">
        <v>22</v>
      </c>
      <c r="C1938" s="21">
        <v>60</v>
      </c>
      <c r="D1938" s="21">
        <v>2400</v>
      </c>
      <c r="E1938" s="21">
        <v>40</v>
      </c>
      <c r="F1938" s="21"/>
    </row>
    <row r="1939" spans="1:6" x14ac:dyDescent="0.25">
      <c r="A1939" s="21" t="s">
        <v>2006</v>
      </c>
      <c r="B1939" s="21" t="s">
        <v>22</v>
      </c>
      <c r="C1939" s="21">
        <v>60</v>
      </c>
      <c r="D1939" s="21">
        <v>2400</v>
      </c>
      <c r="E1939" s="21">
        <v>40</v>
      </c>
      <c r="F1939" s="21"/>
    </row>
    <row r="1940" spans="1:6" x14ac:dyDescent="0.25">
      <c r="A1940" s="21" t="s">
        <v>2007</v>
      </c>
      <c r="B1940" s="21" t="s">
        <v>22</v>
      </c>
      <c r="C1940" s="21">
        <v>40</v>
      </c>
      <c r="D1940" s="21">
        <v>1200</v>
      </c>
      <c r="E1940" s="21">
        <v>30</v>
      </c>
      <c r="F1940" s="21" t="s">
        <v>3649</v>
      </c>
    </row>
    <row r="1941" spans="1:6" x14ac:dyDescent="0.25">
      <c r="A1941" s="21" t="s">
        <v>2008</v>
      </c>
      <c r="B1941" s="21" t="s">
        <v>22</v>
      </c>
      <c r="C1941" s="21">
        <v>40</v>
      </c>
      <c r="D1941" s="21">
        <v>1600</v>
      </c>
      <c r="E1941" s="21">
        <v>40</v>
      </c>
      <c r="F1941" s="21"/>
    </row>
    <row r="1942" spans="1:6" x14ac:dyDescent="0.25">
      <c r="A1942" s="21" t="s">
        <v>2009</v>
      </c>
      <c r="B1942" s="21" t="s">
        <v>22</v>
      </c>
      <c r="C1942" s="21">
        <v>120</v>
      </c>
      <c r="D1942" s="21">
        <v>4800</v>
      </c>
      <c r="E1942" s="21">
        <v>40</v>
      </c>
      <c r="F1942" s="21"/>
    </row>
    <row r="1943" spans="1:6" x14ac:dyDescent="0.25">
      <c r="A1943" s="21" t="s">
        <v>2010</v>
      </c>
      <c r="B1943" s="21" t="s">
        <v>22</v>
      </c>
      <c r="C1943" s="21">
        <v>120</v>
      </c>
      <c r="D1943" s="21">
        <v>4800</v>
      </c>
      <c r="E1943" s="21">
        <v>40</v>
      </c>
      <c r="F1943" s="21"/>
    </row>
    <row r="1944" spans="1:6" x14ac:dyDescent="0.25">
      <c r="A1944" s="21" t="s">
        <v>2011</v>
      </c>
      <c r="B1944" s="21" t="s">
        <v>22</v>
      </c>
      <c r="C1944" s="21">
        <v>60</v>
      </c>
      <c r="D1944" s="21">
        <v>2400</v>
      </c>
      <c r="E1944" s="21">
        <v>40</v>
      </c>
      <c r="F1944" s="21"/>
    </row>
    <row r="1945" spans="1:6" x14ac:dyDescent="0.25">
      <c r="A1945" s="21" t="s">
        <v>2012</v>
      </c>
      <c r="B1945" s="21" t="s">
        <v>22</v>
      </c>
      <c r="C1945" s="21">
        <v>60</v>
      </c>
      <c r="D1945" s="21">
        <v>2400</v>
      </c>
      <c r="E1945" s="21">
        <v>40</v>
      </c>
      <c r="F1945" s="21"/>
    </row>
    <row r="1946" spans="1:6" x14ac:dyDescent="0.25">
      <c r="A1946" s="21" t="s">
        <v>2013</v>
      </c>
      <c r="B1946" s="21" t="s">
        <v>22</v>
      </c>
      <c r="C1946" s="21">
        <v>40</v>
      </c>
      <c r="D1946" s="21">
        <v>1600</v>
      </c>
      <c r="E1946" s="21">
        <v>40</v>
      </c>
      <c r="F1946" s="21"/>
    </row>
    <row r="1947" spans="1:6" x14ac:dyDescent="0.25">
      <c r="A1947" s="21" t="s">
        <v>2014</v>
      </c>
      <c r="B1947" s="21" t="s">
        <v>22</v>
      </c>
      <c r="C1947" s="21">
        <v>40</v>
      </c>
      <c r="D1947" s="21">
        <v>1600</v>
      </c>
      <c r="E1947" s="21">
        <v>40</v>
      </c>
      <c r="F1947" s="21"/>
    </row>
    <row r="1948" spans="1:6" x14ac:dyDescent="0.25">
      <c r="A1948" s="21" t="s">
        <v>2015</v>
      </c>
      <c r="B1948" s="21" t="s">
        <v>22</v>
      </c>
      <c r="C1948" s="21">
        <v>120</v>
      </c>
      <c r="D1948" s="21">
        <v>4800</v>
      </c>
      <c r="E1948" s="21">
        <v>40</v>
      </c>
      <c r="F1948" s="21"/>
    </row>
    <row r="1949" spans="1:6" x14ac:dyDescent="0.25">
      <c r="A1949" s="21" t="s">
        <v>2016</v>
      </c>
      <c r="B1949" s="21" t="s">
        <v>22</v>
      </c>
      <c r="C1949" s="21">
        <v>120</v>
      </c>
      <c r="D1949" s="21">
        <v>4800</v>
      </c>
      <c r="E1949" s="21">
        <v>40</v>
      </c>
      <c r="F1949" s="21"/>
    </row>
    <row r="1950" spans="1:6" x14ac:dyDescent="0.25">
      <c r="A1950" s="21" t="s">
        <v>2017</v>
      </c>
      <c r="B1950" s="21" t="s">
        <v>22</v>
      </c>
      <c r="C1950" s="21">
        <v>120</v>
      </c>
      <c r="D1950" s="21">
        <v>4800</v>
      </c>
      <c r="E1950" s="21">
        <v>40</v>
      </c>
      <c r="F1950" s="21"/>
    </row>
    <row r="1951" spans="1:6" x14ac:dyDescent="0.25">
      <c r="A1951" s="21" t="s">
        <v>2018</v>
      </c>
      <c r="B1951" s="21" t="s">
        <v>22</v>
      </c>
      <c r="C1951" s="21">
        <v>120</v>
      </c>
      <c r="D1951" s="21">
        <v>4800</v>
      </c>
      <c r="E1951" s="21">
        <v>40</v>
      </c>
      <c r="F1951" s="21"/>
    </row>
    <row r="1952" spans="1:6" x14ac:dyDescent="0.25">
      <c r="A1952" s="21" t="s">
        <v>2019</v>
      </c>
      <c r="B1952" s="21" t="s">
        <v>22</v>
      </c>
      <c r="C1952" s="21">
        <v>120</v>
      </c>
      <c r="D1952" s="21">
        <v>4800</v>
      </c>
      <c r="E1952" s="21">
        <v>40</v>
      </c>
      <c r="F1952" s="21"/>
    </row>
    <row r="1953" spans="1:6" x14ac:dyDescent="0.25">
      <c r="A1953" s="21" t="s">
        <v>2020</v>
      </c>
      <c r="B1953" s="21" t="s">
        <v>22</v>
      </c>
      <c r="C1953" s="21">
        <v>120</v>
      </c>
      <c r="D1953" s="21">
        <v>4800</v>
      </c>
      <c r="E1953" s="21">
        <v>40</v>
      </c>
      <c r="F1953" s="21"/>
    </row>
    <row r="1954" spans="1:6" x14ac:dyDescent="0.25">
      <c r="A1954" s="21" t="s">
        <v>2021</v>
      </c>
      <c r="B1954" s="21" t="s">
        <v>22</v>
      </c>
      <c r="C1954" s="21">
        <v>120</v>
      </c>
      <c r="D1954" s="21">
        <v>4800</v>
      </c>
      <c r="E1954" s="21">
        <v>40</v>
      </c>
      <c r="F1954" s="21"/>
    </row>
    <row r="1955" spans="1:6" x14ac:dyDescent="0.25">
      <c r="A1955" s="21" t="s">
        <v>2022</v>
      </c>
      <c r="B1955" s="21" t="s">
        <v>22</v>
      </c>
      <c r="C1955" s="21">
        <v>120</v>
      </c>
      <c r="D1955" s="21">
        <v>4800</v>
      </c>
      <c r="E1955" s="21">
        <v>40</v>
      </c>
      <c r="F1955" s="21"/>
    </row>
    <row r="1956" spans="1:6" x14ac:dyDescent="0.25">
      <c r="A1956" s="21" t="s">
        <v>2023</v>
      </c>
      <c r="B1956" s="21" t="s">
        <v>22</v>
      </c>
      <c r="C1956" s="21">
        <v>120</v>
      </c>
      <c r="D1956" s="21">
        <v>4800</v>
      </c>
      <c r="E1956" s="21">
        <v>40</v>
      </c>
      <c r="F1956" s="21"/>
    </row>
    <row r="1957" spans="1:6" x14ac:dyDescent="0.25">
      <c r="A1957" s="21" t="s">
        <v>2024</v>
      </c>
      <c r="B1957" s="21" t="s">
        <v>22</v>
      </c>
      <c r="C1957" s="21">
        <v>60</v>
      </c>
      <c r="D1957" s="21">
        <v>2400</v>
      </c>
      <c r="E1957" s="21">
        <v>40</v>
      </c>
      <c r="F1957" s="21"/>
    </row>
    <row r="1958" spans="1:6" x14ac:dyDescent="0.25">
      <c r="A1958" s="21" t="s">
        <v>2025</v>
      </c>
      <c r="B1958" s="21" t="s">
        <v>22</v>
      </c>
      <c r="C1958" s="21">
        <v>60</v>
      </c>
      <c r="D1958" s="21">
        <v>2400</v>
      </c>
      <c r="E1958" s="21">
        <v>40</v>
      </c>
      <c r="F1958" s="21"/>
    </row>
    <row r="1959" spans="1:6" x14ac:dyDescent="0.25">
      <c r="A1959" s="21" t="s">
        <v>2026</v>
      </c>
      <c r="B1959" s="21" t="s">
        <v>22</v>
      </c>
      <c r="C1959" s="21">
        <v>60</v>
      </c>
      <c r="D1959" s="21">
        <v>2400</v>
      </c>
      <c r="E1959" s="21">
        <v>40</v>
      </c>
      <c r="F1959" s="21"/>
    </row>
    <row r="1960" spans="1:6" x14ac:dyDescent="0.25">
      <c r="A1960" s="21" t="s">
        <v>2027</v>
      </c>
      <c r="B1960" s="21" t="s">
        <v>22</v>
      </c>
      <c r="C1960" s="21">
        <v>60</v>
      </c>
      <c r="D1960" s="21">
        <v>2400</v>
      </c>
      <c r="E1960" s="21">
        <v>40</v>
      </c>
      <c r="F1960" s="21"/>
    </row>
    <row r="1961" spans="1:6" x14ac:dyDescent="0.25">
      <c r="A1961" s="21" t="s">
        <v>2028</v>
      </c>
      <c r="B1961" s="21" t="s">
        <v>22</v>
      </c>
      <c r="C1961" s="21">
        <v>60</v>
      </c>
      <c r="D1961" s="21">
        <v>2400</v>
      </c>
      <c r="E1961" s="21">
        <v>40</v>
      </c>
      <c r="F1961" s="21"/>
    </row>
    <row r="1962" spans="1:6" x14ac:dyDescent="0.25">
      <c r="A1962" s="21" t="s">
        <v>2029</v>
      </c>
      <c r="B1962" s="21" t="s">
        <v>22</v>
      </c>
      <c r="C1962" s="21">
        <v>60</v>
      </c>
      <c r="D1962" s="21">
        <v>2400</v>
      </c>
      <c r="E1962" s="21">
        <v>40</v>
      </c>
      <c r="F1962" s="21"/>
    </row>
    <row r="1963" spans="1:6" x14ac:dyDescent="0.25">
      <c r="A1963" s="21" t="s">
        <v>2030</v>
      </c>
      <c r="B1963" s="21" t="s">
        <v>22</v>
      </c>
      <c r="C1963" s="21">
        <v>60</v>
      </c>
      <c r="D1963" s="21">
        <v>2400</v>
      </c>
      <c r="E1963" s="21">
        <v>40</v>
      </c>
      <c r="F1963" s="21"/>
    </row>
    <row r="1964" spans="1:6" x14ac:dyDescent="0.25">
      <c r="A1964" s="21" t="s">
        <v>2031</v>
      </c>
      <c r="B1964" s="21" t="s">
        <v>22</v>
      </c>
      <c r="C1964" s="21">
        <v>60</v>
      </c>
      <c r="D1964" s="21">
        <v>2400</v>
      </c>
      <c r="E1964" s="21">
        <v>40</v>
      </c>
      <c r="F1964" s="21"/>
    </row>
    <row r="1965" spans="1:6" x14ac:dyDescent="0.25">
      <c r="A1965" s="21" t="s">
        <v>2032</v>
      </c>
      <c r="B1965" s="21" t="s">
        <v>22</v>
      </c>
      <c r="C1965" s="21">
        <v>60</v>
      </c>
      <c r="D1965" s="21">
        <v>2400</v>
      </c>
      <c r="E1965" s="21">
        <v>40</v>
      </c>
      <c r="F1965" s="21"/>
    </row>
    <row r="1966" spans="1:6" x14ac:dyDescent="0.25">
      <c r="A1966" s="21" t="s">
        <v>2033</v>
      </c>
      <c r="B1966" s="21" t="s">
        <v>22</v>
      </c>
      <c r="C1966" s="21">
        <v>40</v>
      </c>
      <c r="D1966" s="21">
        <v>1600</v>
      </c>
      <c r="E1966" s="21">
        <v>40</v>
      </c>
      <c r="F1966" s="21"/>
    </row>
    <row r="1967" spans="1:6" x14ac:dyDescent="0.25">
      <c r="A1967" s="21" t="s">
        <v>2034</v>
      </c>
      <c r="B1967" s="21" t="s">
        <v>22</v>
      </c>
      <c r="C1967" s="21">
        <v>40</v>
      </c>
      <c r="D1967" s="21">
        <v>1600</v>
      </c>
      <c r="E1967" s="21">
        <v>40</v>
      </c>
      <c r="F1967" s="21"/>
    </row>
    <row r="1968" spans="1:6" x14ac:dyDescent="0.25">
      <c r="A1968" s="21" t="s">
        <v>2035</v>
      </c>
      <c r="B1968" s="21" t="s">
        <v>22</v>
      </c>
      <c r="C1968" s="21">
        <v>40</v>
      </c>
      <c r="D1968" s="21">
        <v>1600</v>
      </c>
      <c r="E1968" s="21">
        <v>40</v>
      </c>
      <c r="F1968" s="21"/>
    </row>
    <row r="1969" spans="1:6" x14ac:dyDescent="0.25">
      <c r="A1969" s="21" t="s">
        <v>2036</v>
      </c>
      <c r="B1969" s="21" t="s">
        <v>22</v>
      </c>
      <c r="C1969" s="21">
        <v>40</v>
      </c>
      <c r="D1969" s="21">
        <v>1600</v>
      </c>
      <c r="E1969" s="21">
        <v>40</v>
      </c>
      <c r="F1969" s="21"/>
    </row>
    <row r="1970" spans="1:6" x14ac:dyDescent="0.25">
      <c r="A1970" s="21" t="s">
        <v>2037</v>
      </c>
      <c r="B1970" s="21" t="s">
        <v>22</v>
      </c>
      <c r="C1970" s="21">
        <v>40</v>
      </c>
      <c r="D1970" s="21">
        <v>1600</v>
      </c>
      <c r="E1970" s="21">
        <v>40</v>
      </c>
      <c r="F1970" s="21"/>
    </row>
    <row r="1971" spans="1:6" x14ac:dyDescent="0.25">
      <c r="A1971" s="21" t="s">
        <v>2038</v>
      </c>
      <c r="B1971" s="21" t="s">
        <v>22</v>
      </c>
      <c r="C1971" s="21">
        <v>40</v>
      </c>
      <c r="D1971" s="21">
        <v>1600</v>
      </c>
      <c r="E1971" s="21">
        <v>40</v>
      </c>
      <c r="F1971" s="21"/>
    </row>
    <row r="1972" spans="1:6" x14ac:dyDescent="0.25">
      <c r="A1972" s="21" t="s">
        <v>2039</v>
      </c>
      <c r="B1972" s="21" t="s">
        <v>22</v>
      </c>
      <c r="C1972" s="21">
        <v>40</v>
      </c>
      <c r="D1972" s="21">
        <v>1600</v>
      </c>
      <c r="E1972" s="21">
        <v>40</v>
      </c>
      <c r="F1972" s="21"/>
    </row>
    <row r="1973" spans="1:6" x14ac:dyDescent="0.25">
      <c r="A1973" s="21" t="s">
        <v>2040</v>
      </c>
      <c r="B1973" s="21" t="s">
        <v>22</v>
      </c>
      <c r="C1973" s="21">
        <v>40</v>
      </c>
      <c r="D1973" s="21">
        <v>1600</v>
      </c>
      <c r="E1973" s="21">
        <v>40</v>
      </c>
      <c r="F1973" s="21"/>
    </row>
    <row r="1974" spans="1:6" x14ac:dyDescent="0.25">
      <c r="A1974" s="21" t="s">
        <v>2041</v>
      </c>
      <c r="B1974" s="21" t="s">
        <v>22</v>
      </c>
      <c r="C1974" s="21">
        <v>30</v>
      </c>
      <c r="D1974" s="21">
        <v>1200</v>
      </c>
      <c r="E1974" s="21">
        <v>40</v>
      </c>
      <c r="F1974" s="21"/>
    </row>
    <row r="1975" spans="1:6" x14ac:dyDescent="0.25">
      <c r="A1975" s="21" t="s">
        <v>2042</v>
      </c>
      <c r="B1975" s="21" t="s">
        <v>22</v>
      </c>
      <c r="C1975" s="21">
        <v>30</v>
      </c>
      <c r="D1975" s="21">
        <v>1200</v>
      </c>
      <c r="E1975" s="21">
        <v>40</v>
      </c>
      <c r="F1975" s="21"/>
    </row>
    <row r="1976" spans="1:6" x14ac:dyDescent="0.25">
      <c r="A1976" s="21" t="s">
        <v>2043</v>
      </c>
      <c r="B1976" s="21" t="s">
        <v>22</v>
      </c>
      <c r="C1976" s="21">
        <v>30</v>
      </c>
      <c r="D1976" s="21">
        <v>1200</v>
      </c>
      <c r="E1976" s="21">
        <v>40</v>
      </c>
      <c r="F1976" s="21"/>
    </row>
    <row r="1977" spans="1:6" x14ac:dyDescent="0.25">
      <c r="A1977" s="21" t="s">
        <v>2044</v>
      </c>
      <c r="B1977" s="21" t="s">
        <v>22</v>
      </c>
      <c r="C1977" s="21">
        <v>30</v>
      </c>
      <c r="D1977" s="21">
        <v>1200</v>
      </c>
      <c r="E1977" s="21">
        <v>40</v>
      </c>
      <c r="F1977" s="21"/>
    </row>
    <row r="1978" spans="1:6" x14ac:dyDescent="0.25">
      <c r="A1978" s="21" t="s">
        <v>2045</v>
      </c>
      <c r="B1978" s="21" t="s">
        <v>22</v>
      </c>
      <c r="C1978" s="21">
        <v>30</v>
      </c>
      <c r="D1978" s="21">
        <v>1200</v>
      </c>
      <c r="E1978" s="21">
        <v>40</v>
      </c>
      <c r="F1978" s="21"/>
    </row>
    <row r="1979" spans="1:6" x14ac:dyDescent="0.25">
      <c r="A1979" s="21" t="s">
        <v>2046</v>
      </c>
      <c r="B1979" s="21" t="s">
        <v>22</v>
      </c>
      <c r="C1979" s="21">
        <v>30</v>
      </c>
      <c r="D1979" s="21">
        <v>1200</v>
      </c>
      <c r="E1979" s="21">
        <v>40</v>
      </c>
      <c r="F1979" s="21"/>
    </row>
    <row r="1980" spans="1:6" x14ac:dyDescent="0.25">
      <c r="A1980" s="21" t="s">
        <v>2047</v>
      </c>
      <c r="B1980" s="21" t="s">
        <v>22</v>
      </c>
      <c r="C1980" s="21">
        <v>30</v>
      </c>
      <c r="D1980" s="21">
        <v>1200</v>
      </c>
      <c r="E1980" s="21">
        <v>40</v>
      </c>
      <c r="F1980" s="21"/>
    </row>
    <row r="1981" spans="1:6" x14ac:dyDescent="0.25">
      <c r="A1981" s="21" t="s">
        <v>2048</v>
      </c>
      <c r="B1981" s="21" t="s">
        <v>22</v>
      </c>
      <c r="C1981" s="21">
        <v>30</v>
      </c>
      <c r="D1981" s="21">
        <v>1200</v>
      </c>
      <c r="E1981" s="21">
        <v>40</v>
      </c>
      <c r="F1981" s="21"/>
    </row>
    <row r="1982" spans="1:6" x14ac:dyDescent="0.25">
      <c r="A1982" s="21" t="s">
        <v>2049</v>
      </c>
      <c r="B1982" s="21" t="s">
        <v>22</v>
      </c>
      <c r="C1982" s="21">
        <v>120</v>
      </c>
      <c r="D1982" s="21">
        <v>4200</v>
      </c>
      <c r="E1982" s="21">
        <v>35</v>
      </c>
      <c r="F1982" s="21"/>
    </row>
    <row r="1983" spans="1:6" x14ac:dyDescent="0.25">
      <c r="A1983" s="21" t="s">
        <v>2050</v>
      </c>
      <c r="B1983" s="21" t="s">
        <v>22</v>
      </c>
      <c r="C1983" s="21">
        <v>120</v>
      </c>
      <c r="D1983" s="21">
        <v>2160</v>
      </c>
      <c r="E1983" s="21">
        <v>18</v>
      </c>
      <c r="F1983" s="21"/>
    </row>
    <row r="1984" spans="1:6" x14ac:dyDescent="0.25">
      <c r="A1984" s="21" t="s">
        <v>2051</v>
      </c>
      <c r="B1984" s="21" t="s">
        <v>22</v>
      </c>
      <c r="C1984" s="21">
        <v>120</v>
      </c>
      <c r="D1984" s="21">
        <v>2880</v>
      </c>
      <c r="E1984" s="21">
        <v>24</v>
      </c>
      <c r="F1984" s="21"/>
    </row>
    <row r="1985" spans="1:6" x14ac:dyDescent="0.25">
      <c r="A1985" s="21" t="s">
        <v>2052</v>
      </c>
      <c r="B1985" s="21" t="s">
        <v>22</v>
      </c>
      <c r="C1985" s="21">
        <v>60</v>
      </c>
      <c r="D1985" s="21">
        <v>1920</v>
      </c>
      <c r="E1985" s="21">
        <v>32</v>
      </c>
      <c r="F1985" s="21"/>
    </row>
    <row r="1986" spans="1:6" x14ac:dyDescent="0.25">
      <c r="A1986" s="21" t="s">
        <v>2053</v>
      </c>
      <c r="B1986" s="21" t="s">
        <v>22</v>
      </c>
      <c r="C1986" s="21">
        <v>60</v>
      </c>
      <c r="D1986" s="21">
        <v>1440</v>
      </c>
      <c r="E1986" s="21">
        <v>24</v>
      </c>
      <c r="F1986" s="21"/>
    </row>
    <row r="1987" spans="1:6" x14ac:dyDescent="0.25">
      <c r="A1987" s="21" t="s">
        <v>2054</v>
      </c>
      <c r="B1987" s="21" t="s">
        <v>22</v>
      </c>
      <c r="C1987" s="21">
        <v>60</v>
      </c>
      <c r="D1987" s="21">
        <v>1440</v>
      </c>
      <c r="E1987" s="21">
        <v>24</v>
      </c>
      <c r="F1987" s="21"/>
    </row>
    <row r="1988" spans="1:6" x14ac:dyDescent="0.25">
      <c r="A1988" s="21" t="s">
        <v>2055</v>
      </c>
      <c r="B1988" s="21" t="s">
        <v>22</v>
      </c>
      <c r="C1988" s="21">
        <v>60</v>
      </c>
      <c r="D1988" s="21">
        <v>1920</v>
      </c>
      <c r="E1988" s="21">
        <v>32</v>
      </c>
      <c r="F1988" s="21"/>
    </row>
    <row r="1989" spans="1:6" x14ac:dyDescent="0.25">
      <c r="A1989" s="21" t="s">
        <v>2056</v>
      </c>
      <c r="B1989" s="21" t="s">
        <v>22</v>
      </c>
      <c r="C1989" s="21">
        <v>60</v>
      </c>
      <c r="D1989" s="21">
        <v>960</v>
      </c>
      <c r="E1989" s="21">
        <v>16</v>
      </c>
      <c r="F1989" s="21"/>
    </row>
    <row r="1990" spans="1:6" x14ac:dyDescent="0.25">
      <c r="A1990" s="21" t="s">
        <v>2057</v>
      </c>
      <c r="B1990" s="21" t="s">
        <v>22</v>
      </c>
      <c r="C1990" s="21">
        <v>60</v>
      </c>
      <c r="D1990" s="21">
        <v>1920</v>
      </c>
      <c r="E1990" s="21">
        <v>32</v>
      </c>
      <c r="F1990" s="21"/>
    </row>
    <row r="1991" spans="1:6" x14ac:dyDescent="0.25">
      <c r="A1991" s="21" t="s">
        <v>2058</v>
      </c>
      <c r="B1991" s="21" t="s">
        <v>22</v>
      </c>
      <c r="C1991" s="21">
        <v>60</v>
      </c>
      <c r="D1991" s="21">
        <v>960</v>
      </c>
      <c r="E1991" s="21">
        <v>16</v>
      </c>
      <c r="F1991" s="21"/>
    </row>
    <row r="1992" spans="1:6" x14ac:dyDescent="0.25">
      <c r="A1992" s="21" t="s">
        <v>2059</v>
      </c>
      <c r="B1992" s="21" t="s">
        <v>22</v>
      </c>
      <c r="C1992" s="21">
        <v>60</v>
      </c>
      <c r="D1992" s="21">
        <v>1440</v>
      </c>
      <c r="E1992" s="21">
        <v>24</v>
      </c>
      <c r="F1992" s="21"/>
    </row>
    <row r="1993" spans="1:6" x14ac:dyDescent="0.25">
      <c r="A1993" s="21" t="s">
        <v>2060</v>
      </c>
      <c r="B1993" s="21" t="s">
        <v>22</v>
      </c>
      <c r="C1993" s="21">
        <v>60</v>
      </c>
      <c r="D1993" s="21">
        <v>720</v>
      </c>
      <c r="E1993" s="21">
        <v>12</v>
      </c>
      <c r="F1993" s="21"/>
    </row>
    <row r="1994" spans="1:6" x14ac:dyDescent="0.25">
      <c r="A1994" s="21" t="s">
        <v>2061</v>
      </c>
      <c r="B1994" s="21" t="s">
        <v>22</v>
      </c>
      <c r="C1994" s="21">
        <v>10</v>
      </c>
      <c r="D1994" s="21">
        <v>300</v>
      </c>
      <c r="E1994" s="21">
        <v>30</v>
      </c>
      <c r="F1994" s="21"/>
    </row>
    <row r="1995" spans="1:6" x14ac:dyDescent="0.25">
      <c r="A1995" s="21" t="s">
        <v>2062</v>
      </c>
      <c r="B1995" s="21" t="s">
        <v>22</v>
      </c>
      <c r="C1995" s="21">
        <v>10</v>
      </c>
      <c r="D1995" s="21">
        <v>300</v>
      </c>
      <c r="E1995" s="21">
        <v>30</v>
      </c>
      <c r="F1995" s="21"/>
    </row>
    <row r="1996" spans="1:6" x14ac:dyDescent="0.25">
      <c r="A1996" s="21" t="s">
        <v>2063</v>
      </c>
      <c r="B1996" s="21" t="s">
        <v>22</v>
      </c>
      <c r="C1996" s="21">
        <v>10</v>
      </c>
      <c r="D1996" s="21">
        <v>250</v>
      </c>
      <c r="E1996" s="21">
        <v>25</v>
      </c>
      <c r="F1996" s="21"/>
    </row>
    <row r="1997" spans="1:6" x14ac:dyDescent="0.25">
      <c r="A1997" s="21" t="s">
        <v>2064</v>
      </c>
      <c r="B1997" s="21" t="s">
        <v>22</v>
      </c>
      <c r="C1997" s="21">
        <v>10</v>
      </c>
      <c r="D1997" s="21">
        <v>450</v>
      </c>
      <c r="E1997" s="21">
        <v>45</v>
      </c>
      <c r="F1997" s="21"/>
    </row>
    <row r="1998" spans="1:6" x14ac:dyDescent="0.25">
      <c r="A1998" s="21" t="s">
        <v>2065</v>
      </c>
      <c r="B1998" s="21" t="s">
        <v>22</v>
      </c>
      <c r="C1998" s="21">
        <v>10</v>
      </c>
      <c r="D1998" s="21">
        <v>250</v>
      </c>
      <c r="E1998" s="21">
        <v>25</v>
      </c>
      <c r="F1998" s="21"/>
    </row>
    <row r="1999" spans="1:6" x14ac:dyDescent="0.25">
      <c r="A1999" s="21" t="s">
        <v>2066</v>
      </c>
      <c r="B1999" s="21" t="s">
        <v>22</v>
      </c>
      <c r="C1999" s="21">
        <v>20</v>
      </c>
      <c r="D1999" s="21">
        <v>480</v>
      </c>
      <c r="E1999" s="21">
        <v>24</v>
      </c>
      <c r="F1999" s="21"/>
    </row>
    <row r="2000" spans="1:6" x14ac:dyDescent="0.25">
      <c r="A2000" s="21" t="s">
        <v>2067</v>
      </c>
      <c r="B2000" s="21" t="s">
        <v>22</v>
      </c>
      <c r="C2000" s="21">
        <v>10</v>
      </c>
      <c r="D2000" s="21">
        <v>200</v>
      </c>
      <c r="E2000" s="21">
        <v>20</v>
      </c>
      <c r="F2000" s="21"/>
    </row>
    <row r="2001" spans="1:6" x14ac:dyDescent="0.25">
      <c r="A2001" s="21" t="s">
        <v>2068</v>
      </c>
      <c r="B2001" s="21" t="s">
        <v>22</v>
      </c>
      <c r="C2001" s="21">
        <v>60</v>
      </c>
      <c r="D2001" s="21">
        <v>720</v>
      </c>
      <c r="E2001" s="21">
        <v>12</v>
      </c>
      <c r="F2001" s="21"/>
    </row>
    <row r="2002" spans="1:6" x14ac:dyDescent="0.25">
      <c r="A2002" s="21" t="s">
        <v>2069</v>
      </c>
      <c r="B2002" s="21" t="s">
        <v>22</v>
      </c>
      <c r="C2002" s="21">
        <v>60</v>
      </c>
      <c r="D2002" s="21">
        <v>720</v>
      </c>
      <c r="E2002" s="21">
        <v>12</v>
      </c>
      <c r="F2002" s="21"/>
    </row>
    <row r="2003" spans="1:6" x14ac:dyDescent="0.25">
      <c r="A2003" s="21" t="s">
        <v>2070</v>
      </c>
      <c r="B2003" s="21" t="s">
        <v>22</v>
      </c>
      <c r="C2003" s="21">
        <v>60</v>
      </c>
      <c r="D2003" s="21">
        <v>720</v>
      </c>
      <c r="E2003" s="21">
        <v>12</v>
      </c>
      <c r="F2003" s="21"/>
    </row>
    <row r="2004" spans="1:6" x14ac:dyDescent="0.25">
      <c r="A2004" s="21" t="s">
        <v>2071</v>
      </c>
      <c r="B2004" s="21" t="s">
        <v>22</v>
      </c>
      <c r="C2004" s="21">
        <v>60</v>
      </c>
      <c r="D2004" s="21">
        <v>720</v>
      </c>
      <c r="E2004" s="21">
        <v>12</v>
      </c>
      <c r="F2004" s="21"/>
    </row>
    <row r="2005" spans="1:6" x14ac:dyDescent="0.25">
      <c r="A2005" s="21" t="s">
        <v>2072</v>
      </c>
      <c r="B2005" s="21" t="s">
        <v>22</v>
      </c>
      <c r="C2005" s="21">
        <v>60</v>
      </c>
      <c r="D2005" s="21">
        <v>720</v>
      </c>
      <c r="E2005" s="21">
        <v>12</v>
      </c>
      <c r="F2005" s="21"/>
    </row>
    <row r="2006" spans="1:6" x14ac:dyDescent="0.25">
      <c r="A2006" s="21" t="s">
        <v>2073</v>
      </c>
      <c r="B2006" s="21" t="s">
        <v>22</v>
      </c>
      <c r="C2006" s="21">
        <v>60</v>
      </c>
      <c r="D2006" s="21">
        <v>720</v>
      </c>
      <c r="E2006" s="21">
        <v>12</v>
      </c>
      <c r="F2006" s="21"/>
    </row>
    <row r="2007" spans="1:6" x14ac:dyDescent="0.25">
      <c r="A2007" s="21" t="s">
        <v>2074</v>
      </c>
      <c r="B2007" s="21" t="s">
        <v>22</v>
      </c>
      <c r="C2007" s="21">
        <v>60</v>
      </c>
      <c r="D2007" s="21">
        <v>720</v>
      </c>
      <c r="E2007" s="21">
        <v>12</v>
      </c>
      <c r="F2007" s="21"/>
    </row>
    <row r="2008" spans="1:6" x14ac:dyDescent="0.25">
      <c r="A2008" s="21" t="s">
        <v>2075</v>
      </c>
      <c r="B2008" s="21" t="s">
        <v>22</v>
      </c>
      <c r="C2008" s="21">
        <v>60</v>
      </c>
      <c r="D2008" s="21">
        <v>720</v>
      </c>
      <c r="E2008" s="21">
        <v>12</v>
      </c>
      <c r="F2008" s="21"/>
    </row>
    <row r="2009" spans="1:6" x14ac:dyDescent="0.25">
      <c r="A2009" s="21" t="s">
        <v>2076</v>
      </c>
      <c r="B2009" s="21" t="s">
        <v>22</v>
      </c>
      <c r="C2009" s="21">
        <v>60</v>
      </c>
      <c r="D2009" s="21">
        <v>720</v>
      </c>
      <c r="E2009" s="21">
        <v>12</v>
      </c>
      <c r="F2009" s="21"/>
    </row>
    <row r="2010" spans="1:6" x14ac:dyDescent="0.25">
      <c r="A2010" s="21" t="s">
        <v>2077</v>
      </c>
      <c r="B2010" s="21" t="s">
        <v>22</v>
      </c>
      <c r="C2010" s="21">
        <v>60</v>
      </c>
      <c r="D2010" s="21">
        <v>720</v>
      </c>
      <c r="E2010" s="21">
        <v>12</v>
      </c>
      <c r="F2010" s="21"/>
    </row>
    <row r="2011" spans="1:6" x14ac:dyDescent="0.25">
      <c r="A2011" s="21" t="s">
        <v>2078</v>
      </c>
      <c r="B2011" s="21" t="s">
        <v>22</v>
      </c>
      <c r="C2011" s="21">
        <v>60</v>
      </c>
      <c r="D2011" s="21">
        <v>720</v>
      </c>
      <c r="E2011" s="21">
        <v>12</v>
      </c>
      <c r="F2011" s="21"/>
    </row>
    <row r="2012" spans="1:6" x14ac:dyDescent="0.25">
      <c r="A2012" s="21" t="s">
        <v>2079</v>
      </c>
      <c r="B2012" s="21" t="s">
        <v>22</v>
      </c>
      <c r="C2012" s="21">
        <v>60</v>
      </c>
      <c r="D2012" s="21">
        <v>720</v>
      </c>
      <c r="E2012" s="21">
        <v>12</v>
      </c>
      <c r="F2012" s="21"/>
    </row>
    <row r="2013" spans="1:6" x14ac:dyDescent="0.25">
      <c r="A2013" s="21" t="s">
        <v>2080</v>
      </c>
      <c r="B2013" s="21" t="s">
        <v>22</v>
      </c>
      <c r="C2013" s="21">
        <v>10</v>
      </c>
      <c r="D2013" s="21">
        <v>180</v>
      </c>
      <c r="E2013" s="21">
        <v>18</v>
      </c>
      <c r="F2013" s="21"/>
    </row>
    <row r="2014" spans="1:6" x14ac:dyDescent="0.25">
      <c r="A2014" s="21" t="s">
        <v>2081</v>
      </c>
      <c r="B2014" s="21" t="s">
        <v>22</v>
      </c>
      <c r="C2014" s="21">
        <v>10</v>
      </c>
      <c r="D2014" s="21">
        <v>180</v>
      </c>
      <c r="E2014" s="21">
        <v>18</v>
      </c>
      <c r="F2014" s="21"/>
    </row>
    <row r="2015" spans="1:6" x14ac:dyDescent="0.25">
      <c r="A2015" s="21" t="s">
        <v>2082</v>
      </c>
      <c r="B2015" s="21" t="s">
        <v>22</v>
      </c>
      <c r="C2015" s="21">
        <v>10</v>
      </c>
      <c r="D2015" s="21">
        <v>90</v>
      </c>
      <c r="E2015" s="21">
        <v>9</v>
      </c>
      <c r="F2015" s="21"/>
    </row>
    <row r="2016" spans="1:6" x14ac:dyDescent="0.25">
      <c r="A2016" s="21" t="s">
        <v>2083</v>
      </c>
      <c r="B2016" s="21" t="s">
        <v>22</v>
      </c>
      <c r="C2016" s="21">
        <v>10</v>
      </c>
      <c r="D2016" s="21">
        <v>90</v>
      </c>
      <c r="E2016" s="21">
        <v>9</v>
      </c>
      <c r="F2016" s="21"/>
    </row>
    <row r="2017" spans="1:6" x14ac:dyDescent="0.25">
      <c r="A2017" s="21" t="s">
        <v>2084</v>
      </c>
      <c r="B2017" s="21" t="s">
        <v>22</v>
      </c>
      <c r="C2017" s="21">
        <v>80</v>
      </c>
      <c r="D2017" s="21">
        <v>2560</v>
      </c>
      <c r="E2017" s="21">
        <v>32</v>
      </c>
      <c r="F2017" s="21"/>
    </row>
    <row r="2018" spans="1:6" x14ac:dyDescent="0.25">
      <c r="A2018" s="21" t="s">
        <v>2085</v>
      </c>
      <c r="B2018" s="21" t="s">
        <v>22</v>
      </c>
      <c r="C2018" s="21">
        <v>80</v>
      </c>
      <c r="D2018" s="21">
        <v>1280</v>
      </c>
      <c r="E2018" s="21">
        <v>16</v>
      </c>
      <c r="F2018" s="21"/>
    </row>
    <row r="2019" spans="1:6" x14ac:dyDescent="0.25">
      <c r="A2019" s="21" t="s">
        <v>2086</v>
      </c>
      <c r="B2019" s="21" t="s">
        <v>22</v>
      </c>
      <c r="C2019" s="21">
        <v>80</v>
      </c>
      <c r="D2019" s="21">
        <v>1920</v>
      </c>
      <c r="E2019" s="21">
        <v>24</v>
      </c>
      <c r="F2019" s="21"/>
    </row>
    <row r="2020" spans="1:6" x14ac:dyDescent="0.25">
      <c r="A2020" s="21" t="s">
        <v>2087</v>
      </c>
      <c r="B2020" s="21" t="s">
        <v>22</v>
      </c>
      <c r="C2020" s="21">
        <v>80</v>
      </c>
      <c r="D2020" s="21">
        <v>960</v>
      </c>
      <c r="E2020" s="21">
        <v>12</v>
      </c>
      <c r="F2020" s="21"/>
    </row>
    <row r="2021" spans="1:6" x14ac:dyDescent="0.25">
      <c r="A2021" s="21" t="s">
        <v>2088</v>
      </c>
      <c r="B2021" s="21" t="s">
        <v>22</v>
      </c>
      <c r="C2021" s="21">
        <v>80</v>
      </c>
      <c r="D2021" s="21">
        <v>960</v>
      </c>
      <c r="E2021" s="21">
        <v>12</v>
      </c>
      <c r="F2021" s="21"/>
    </row>
    <row r="2022" spans="1:6" x14ac:dyDescent="0.25">
      <c r="A2022" s="21" t="s">
        <v>2089</v>
      </c>
      <c r="B2022" s="21" t="s">
        <v>22</v>
      </c>
      <c r="C2022" s="21">
        <v>60</v>
      </c>
      <c r="D2022" s="21">
        <v>1200</v>
      </c>
      <c r="E2022" s="21">
        <v>20</v>
      </c>
      <c r="F2022" s="21"/>
    </row>
    <row r="2023" spans="1:6" x14ac:dyDescent="0.25">
      <c r="A2023" s="21" t="s">
        <v>2090</v>
      </c>
      <c r="B2023" s="21" t="s">
        <v>22</v>
      </c>
      <c r="C2023" s="21">
        <v>60</v>
      </c>
      <c r="D2023" s="21">
        <v>1440</v>
      </c>
      <c r="E2023" s="21">
        <v>24</v>
      </c>
      <c r="F2023" s="21"/>
    </row>
    <row r="2024" spans="1:6" x14ac:dyDescent="0.25">
      <c r="A2024" s="21" t="s">
        <v>2091</v>
      </c>
      <c r="B2024" s="21" t="s">
        <v>22</v>
      </c>
      <c r="C2024" s="21">
        <v>60</v>
      </c>
      <c r="D2024" s="21">
        <v>960</v>
      </c>
      <c r="E2024" s="21">
        <v>16</v>
      </c>
      <c r="F2024" s="21"/>
    </row>
    <row r="2025" spans="1:6" x14ac:dyDescent="0.25">
      <c r="A2025" s="21" t="s">
        <v>2092</v>
      </c>
      <c r="B2025" s="21" t="s">
        <v>22</v>
      </c>
      <c r="C2025" s="21">
        <v>60</v>
      </c>
      <c r="D2025" s="21">
        <v>1440</v>
      </c>
      <c r="E2025" s="21">
        <v>24</v>
      </c>
      <c r="F2025" s="21"/>
    </row>
    <row r="2026" spans="1:6" x14ac:dyDescent="0.25">
      <c r="A2026" s="21" t="s">
        <v>2093</v>
      </c>
      <c r="B2026" s="21" t="s">
        <v>22</v>
      </c>
      <c r="C2026" s="21">
        <v>60</v>
      </c>
      <c r="D2026" s="21">
        <v>960</v>
      </c>
      <c r="E2026" s="21">
        <v>16</v>
      </c>
      <c r="F2026" s="21"/>
    </row>
    <row r="2027" spans="1:6" x14ac:dyDescent="0.25">
      <c r="A2027" s="21" t="s">
        <v>2094</v>
      </c>
      <c r="B2027" s="21" t="s">
        <v>22</v>
      </c>
      <c r="C2027" s="21">
        <v>60</v>
      </c>
      <c r="D2027" s="21">
        <v>1200</v>
      </c>
      <c r="E2027" s="21">
        <v>20</v>
      </c>
      <c r="F2027" s="21"/>
    </row>
    <row r="2028" spans="1:6" x14ac:dyDescent="0.25">
      <c r="A2028" s="21" t="s">
        <v>2095</v>
      </c>
      <c r="B2028" s="21" t="s">
        <v>22</v>
      </c>
      <c r="C2028" s="21">
        <v>60</v>
      </c>
      <c r="D2028" s="21">
        <v>960</v>
      </c>
      <c r="E2028" s="21">
        <v>16</v>
      </c>
      <c r="F2028" s="21"/>
    </row>
    <row r="2029" spans="1:6" x14ac:dyDescent="0.25">
      <c r="A2029" s="21" t="s">
        <v>2096</v>
      </c>
      <c r="B2029" s="21" t="s">
        <v>22</v>
      </c>
      <c r="C2029" s="21">
        <v>12</v>
      </c>
      <c r="D2029" s="21">
        <v>360</v>
      </c>
      <c r="E2029" s="21">
        <v>30</v>
      </c>
      <c r="F2029" s="21"/>
    </row>
    <row r="2030" spans="1:6" x14ac:dyDescent="0.25">
      <c r="A2030" s="21" t="s">
        <v>2097</v>
      </c>
      <c r="B2030" s="21" t="s">
        <v>22</v>
      </c>
      <c r="C2030" s="21">
        <v>12</v>
      </c>
      <c r="D2030" s="21">
        <v>360</v>
      </c>
      <c r="E2030" s="21">
        <v>30</v>
      </c>
      <c r="F2030" s="21"/>
    </row>
    <row r="2031" spans="1:6" x14ac:dyDescent="0.25">
      <c r="A2031" s="21" t="s">
        <v>2098</v>
      </c>
      <c r="B2031" s="21" t="s">
        <v>22</v>
      </c>
      <c r="C2031" s="21">
        <v>8</v>
      </c>
      <c r="D2031" s="21">
        <v>192</v>
      </c>
      <c r="E2031" s="21">
        <v>24</v>
      </c>
      <c r="F2031" s="21"/>
    </row>
    <row r="2032" spans="1:6" x14ac:dyDescent="0.25">
      <c r="A2032" s="21" t="s">
        <v>2099</v>
      </c>
      <c r="B2032" s="21" t="s">
        <v>22</v>
      </c>
      <c r="C2032" s="21">
        <v>8</v>
      </c>
      <c r="D2032" s="21">
        <v>192</v>
      </c>
      <c r="E2032" s="21">
        <v>24</v>
      </c>
      <c r="F2032" s="21"/>
    </row>
    <row r="2033" spans="1:6" x14ac:dyDescent="0.25">
      <c r="A2033" s="21" t="s">
        <v>53</v>
      </c>
      <c r="B2033" s="21" t="s">
        <v>22</v>
      </c>
      <c r="C2033" s="21">
        <v>20</v>
      </c>
      <c r="D2033" s="21">
        <v>360</v>
      </c>
      <c r="E2033" s="21">
        <v>18</v>
      </c>
      <c r="F2033" s="21"/>
    </row>
    <row r="2034" spans="1:6" x14ac:dyDescent="0.25">
      <c r="A2034" s="21" t="s">
        <v>21</v>
      </c>
      <c r="B2034" s="21" t="s">
        <v>22</v>
      </c>
      <c r="C2034" s="21">
        <v>40</v>
      </c>
      <c r="D2034" s="21">
        <v>480</v>
      </c>
      <c r="E2034" s="21">
        <v>12</v>
      </c>
      <c r="F2034" s="21"/>
    </row>
    <row r="2035" spans="1:6" x14ac:dyDescent="0.25">
      <c r="A2035" s="21" t="s">
        <v>32</v>
      </c>
      <c r="B2035" s="21" t="s">
        <v>22</v>
      </c>
      <c r="C2035" s="21">
        <v>40</v>
      </c>
      <c r="D2035" s="21">
        <v>480</v>
      </c>
      <c r="E2035" s="21">
        <v>12</v>
      </c>
      <c r="F2035" s="21"/>
    </row>
    <row r="2036" spans="1:6" x14ac:dyDescent="0.25">
      <c r="A2036" s="21" t="s">
        <v>27</v>
      </c>
      <c r="B2036" s="21" t="s">
        <v>22</v>
      </c>
      <c r="C2036" s="21">
        <v>40</v>
      </c>
      <c r="D2036" s="21">
        <v>480</v>
      </c>
      <c r="E2036" s="21">
        <v>12</v>
      </c>
      <c r="F2036" s="21"/>
    </row>
    <row r="2037" spans="1:6" x14ac:dyDescent="0.25">
      <c r="A2037" s="21" t="s">
        <v>33</v>
      </c>
      <c r="B2037" s="21" t="s">
        <v>22</v>
      </c>
      <c r="C2037" s="21">
        <v>40</v>
      </c>
      <c r="D2037" s="21">
        <v>480</v>
      </c>
      <c r="E2037" s="21">
        <v>12</v>
      </c>
      <c r="F2037" s="21"/>
    </row>
    <row r="2038" spans="1:6" x14ac:dyDescent="0.25">
      <c r="A2038" s="21" t="s">
        <v>28</v>
      </c>
      <c r="B2038" s="21" t="s">
        <v>22</v>
      </c>
      <c r="C2038" s="21">
        <v>40</v>
      </c>
      <c r="D2038" s="21">
        <v>480</v>
      </c>
      <c r="E2038" s="21">
        <v>12</v>
      </c>
      <c r="F2038" s="21"/>
    </row>
    <row r="2039" spans="1:6" x14ac:dyDescent="0.25">
      <c r="A2039" s="21" t="s">
        <v>2100</v>
      </c>
      <c r="B2039" s="21" t="s">
        <v>22</v>
      </c>
      <c r="C2039" s="21">
        <v>40</v>
      </c>
      <c r="D2039" s="21">
        <v>800</v>
      </c>
      <c r="E2039" s="21">
        <v>20</v>
      </c>
      <c r="F2039" s="21"/>
    </row>
    <row r="2040" spans="1:6" x14ac:dyDescent="0.25">
      <c r="A2040" s="21" t="s">
        <v>29</v>
      </c>
      <c r="B2040" s="21" t="s">
        <v>22</v>
      </c>
      <c r="C2040" s="21">
        <v>20</v>
      </c>
      <c r="D2040" s="21">
        <v>480</v>
      </c>
      <c r="E2040" s="21">
        <v>24</v>
      </c>
      <c r="F2040" s="21"/>
    </row>
    <row r="2041" spans="1:6" x14ac:dyDescent="0.25">
      <c r="A2041" s="21" t="s">
        <v>34</v>
      </c>
      <c r="B2041" s="21" t="s">
        <v>22</v>
      </c>
      <c r="C2041" s="21">
        <v>20</v>
      </c>
      <c r="D2041" s="21">
        <v>480</v>
      </c>
      <c r="E2041" s="21">
        <v>24</v>
      </c>
      <c r="F2041" s="21"/>
    </row>
    <row r="2042" spans="1:6" x14ac:dyDescent="0.25">
      <c r="A2042" s="21" t="s">
        <v>30</v>
      </c>
      <c r="B2042" s="21" t="s">
        <v>22</v>
      </c>
      <c r="C2042" s="21">
        <v>20</v>
      </c>
      <c r="D2042" s="21">
        <v>480</v>
      </c>
      <c r="E2042" s="21">
        <v>24</v>
      </c>
      <c r="F2042" s="21"/>
    </row>
    <row r="2043" spans="1:6" x14ac:dyDescent="0.25">
      <c r="A2043" s="21" t="s">
        <v>2101</v>
      </c>
      <c r="B2043" s="21" t="s">
        <v>22</v>
      </c>
      <c r="C2043" s="21">
        <v>20</v>
      </c>
      <c r="D2043" s="21">
        <v>600</v>
      </c>
      <c r="E2043" s="21">
        <v>30</v>
      </c>
      <c r="F2043" s="21"/>
    </row>
    <row r="2044" spans="1:6" x14ac:dyDescent="0.25">
      <c r="A2044" s="21" t="s">
        <v>31</v>
      </c>
      <c r="B2044" s="21" t="s">
        <v>22</v>
      </c>
      <c r="C2044" s="21">
        <v>20</v>
      </c>
      <c r="D2044" s="21">
        <v>480</v>
      </c>
      <c r="E2044" s="21">
        <v>24</v>
      </c>
      <c r="F2044" s="21"/>
    </row>
    <row r="2045" spans="1:6" x14ac:dyDescent="0.25">
      <c r="A2045" s="21" t="s">
        <v>2102</v>
      </c>
      <c r="B2045" s="21" t="s">
        <v>22</v>
      </c>
      <c r="C2045" s="21">
        <v>20</v>
      </c>
      <c r="D2045" s="21">
        <v>480</v>
      </c>
      <c r="E2045" s="21">
        <v>24</v>
      </c>
      <c r="F2045" s="21"/>
    </row>
    <row r="2046" spans="1:6" x14ac:dyDescent="0.25">
      <c r="A2046" s="21" t="s">
        <v>2103</v>
      </c>
      <c r="B2046" s="21" t="s">
        <v>22</v>
      </c>
      <c r="C2046" s="21">
        <v>120</v>
      </c>
      <c r="D2046" s="21">
        <v>3000</v>
      </c>
      <c r="E2046" s="21">
        <v>25</v>
      </c>
      <c r="F2046" s="21"/>
    </row>
    <row r="2047" spans="1:6" x14ac:dyDescent="0.25">
      <c r="A2047" s="21" t="s">
        <v>2104</v>
      </c>
      <c r="B2047" s="21" t="s">
        <v>22</v>
      </c>
      <c r="C2047" s="21">
        <v>60</v>
      </c>
      <c r="D2047" s="21">
        <v>1920</v>
      </c>
      <c r="E2047" s="21">
        <v>32</v>
      </c>
      <c r="F2047" s="21"/>
    </row>
    <row r="2048" spans="1:6" x14ac:dyDescent="0.25">
      <c r="A2048" s="21" t="s">
        <v>2105</v>
      </c>
      <c r="B2048" s="21" t="s">
        <v>22</v>
      </c>
      <c r="C2048" s="21">
        <v>12</v>
      </c>
      <c r="D2048" s="21">
        <v>192</v>
      </c>
      <c r="E2048" s="21">
        <v>16</v>
      </c>
      <c r="F2048" s="21"/>
    </row>
    <row r="2049" spans="1:6" x14ac:dyDescent="0.25">
      <c r="A2049" s="21" t="s">
        <v>35</v>
      </c>
      <c r="B2049" s="21" t="s">
        <v>22</v>
      </c>
      <c r="C2049" s="21">
        <v>12</v>
      </c>
      <c r="D2049" s="21">
        <v>240</v>
      </c>
      <c r="E2049" s="21">
        <v>20</v>
      </c>
      <c r="F2049" s="21"/>
    </row>
    <row r="2050" spans="1:6" x14ac:dyDescent="0.25">
      <c r="A2050" s="21" t="s">
        <v>2106</v>
      </c>
      <c r="B2050" s="21" t="s">
        <v>22</v>
      </c>
      <c r="C2050" s="21">
        <v>60</v>
      </c>
      <c r="D2050" s="21">
        <v>1920</v>
      </c>
      <c r="E2050" s="21">
        <v>32</v>
      </c>
      <c r="F2050" s="21"/>
    </row>
    <row r="2051" spans="1:6" x14ac:dyDescent="0.25">
      <c r="A2051" s="21" t="s">
        <v>2107</v>
      </c>
      <c r="B2051" s="21" t="s">
        <v>22</v>
      </c>
      <c r="C2051" s="21">
        <v>60</v>
      </c>
      <c r="D2051" s="21">
        <v>1440</v>
      </c>
      <c r="E2051" s="21">
        <v>24</v>
      </c>
      <c r="F2051" s="21"/>
    </row>
    <row r="2052" spans="1:6" x14ac:dyDescent="0.25">
      <c r="A2052" s="21" t="s">
        <v>2108</v>
      </c>
      <c r="B2052" s="21" t="s">
        <v>22</v>
      </c>
      <c r="C2052" s="21">
        <v>6</v>
      </c>
      <c r="D2052" s="21">
        <v>168</v>
      </c>
      <c r="E2052" s="21">
        <v>28</v>
      </c>
      <c r="F2052" s="21"/>
    </row>
    <row r="2053" spans="1:6" x14ac:dyDescent="0.25">
      <c r="A2053" s="21" t="s">
        <v>2109</v>
      </c>
      <c r="B2053" s="21" t="s">
        <v>22</v>
      </c>
      <c r="C2053" s="21">
        <v>6</v>
      </c>
      <c r="D2053" s="21">
        <v>168</v>
      </c>
      <c r="E2053" s="21">
        <v>28</v>
      </c>
      <c r="F2053" s="21"/>
    </row>
    <row r="2054" spans="1:6" x14ac:dyDescent="0.25">
      <c r="A2054" s="21" t="s">
        <v>2110</v>
      </c>
      <c r="B2054" s="21" t="s">
        <v>22</v>
      </c>
      <c r="C2054" s="21">
        <v>60</v>
      </c>
      <c r="D2054" s="21">
        <v>1920</v>
      </c>
      <c r="E2054" s="21">
        <v>32</v>
      </c>
      <c r="F2054" s="21"/>
    </row>
    <row r="2055" spans="1:6" x14ac:dyDescent="0.25">
      <c r="A2055" s="21" t="s">
        <v>2111</v>
      </c>
      <c r="B2055" s="21" t="s">
        <v>22</v>
      </c>
      <c r="C2055" s="21">
        <v>60</v>
      </c>
      <c r="D2055" s="21">
        <v>1440</v>
      </c>
      <c r="E2055" s="21">
        <v>24</v>
      </c>
      <c r="F2055" s="21"/>
    </row>
    <row r="2056" spans="1:6" x14ac:dyDescent="0.25">
      <c r="A2056" s="21" t="s">
        <v>2112</v>
      </c>
      <c r="B2056" s="21" t="s">
        <v>22</v>
      </c>
      <c r="C2056" s="21">
        <v>80</v>
      </c>
      <c r="D2056" s="21">
        <v>960</v>
      </c>
      <c r="E2056" s="21">
        <v>12</v>
      </c>
      <c r="F2056" s="21"/>
    </row>
    <row r="2057" spans="1:6" x14ac:dyDescent="0.25">
      <c r="A2057" s="21" t="s">
        <v>2113</v>
      </c>
      <c r="B2057" s="21" t="s">
        <v>22</v>
      </c>
      <c r="C2057" s="21">
        <v>80</v>
      </c>
      <c r="D2057" s="21">
        <v>960</v>
      </c>
      <c r="E2057" s="21">
        <v>12</v>
      </c>
      <c r="F2057" s="21"/>
    </row>
    <row r="2058" spans="1:6" x14ac:dyDescent="0.25">
      <c r="A2058" s="21" t="s">
        <v>2114</v>
      </c>
      <c r="B2058" s="21" t="s">
        <v>22</v>
      </c>
      <c r="C2058" s="21">
        <v>80</v>
      </c>
      <c r="D2058" s="21">
        <v>960</v>
      </c>
      <c r="E2058" s="21">
        <v>12</v>
      </c>
      <c r="F2058" s="21"/>
    </row>
    <row r="2059" spans="1:6" x14ac:dyDescent="0.25">
      <c r="A2059" s="21" t="s">
        <v>2115</v>
      </c>
      <c r="B2059" s="21" t="s">
        <v>22</v>
      </c>
      <c r="C2059" s="21">
        <v>60</v>
      </c>
      <c r="D2059" s="21">
        <v>1200</v>
      </c>
      <c r="E2059" s="21">
        <v>20</v>
      </c>
      <c r="F2059" s="21"/>
    </row>
    <row r="2060" spans="1:6" x14ac:dyDescent="0.25">
      <c r="A2060" s="21" t="s">
        <v>2116</v>
      </c>
      <c r="B2060" s="21" t="s">
        <v>22</v>
      </c>
      <c r="C2060" s="21">
        <v>60</v>
      </c>
      <c r="D2060" s="21">
        <v>1440</v>
      </c>
      <c r="E2060" s="21">
        <v>24</v>
      </c>
      <c r="F2060" s="21"/>
    </row>
    <row r="2061" spans="1:6" x14ac:dyDescent="0.25">
      <c r="A2061" s="21" t="s">
        <v>2117</v>
      </c>
      <c r="B2061" s="21" t="s">
        <v>22</v>
      </c>
      <c r="C2061" s="21">
        <v>60</v>
      </c>
      <c r="D2061" s="21">
        <v>1200</v>
      </c>
      <c r="E2061" s="21">
        <v>20</v>
      </c>
      <c r="F2061" s="21"/>
    </row>
    <row r="2062" spans="1:6" x14ac:dyDescent="0.25">
      <c r="A2062" s="21" t="s">
        <v>2118</v>
      </c>
      <c r="B2062" s="21" t="s">
        <v>22</v>
      </c>
      <c r="C2062" s="21">
        <v>60</v>
      </c>
      <c r="D2062" s="21">
        <v>720</v>
      </c>
      <c r="E2062" s="21">
        <v>12</v>
      </c>
      <c r="F2062" s="21"/>
    </row>
    <row r="2063" spans="1:6" x14ac:dyDescent="0.25">
      <c r="A2063" s="21" t="s">
        <v>2119</v>
      </c>
      <c r="B2063" s="21" t="s">
        <v>22</v>
      </c>
      <c r="C2063" s="21">
        <v>60</v>
      </c>
      <c r="D2063" s="21">
        <v>960</v>
      </c>
      <c r="E2063" s="21">
        <v>16</v>
      </c>
      <c r="F2063" s="21"/>
    </row>
    <row r="2064" spans="1:6" x14ac:dyDescent="0.25">
      <c r="A2064" s="21" t="s">
        <v>2120</v>
      </c>
      <c r="B2064" s="21" t="s">
        <v>22</v>
      </c>
      <c r="C2064" s="21">
        <v>60</v>
      </c>
      <c r="D2064" s="21">
        <v>720</v>
      </c>
      <c r="E2064" s="21">
        <v>12</v>
      </c>
      <c r="F2064" s="21"/>
    </row>
    <row r="2065" spans="1:6" x14ac:dyDescent="0.25">
      <c r="A2065" s="21" t="s">
        <v>2121</v>
      </c>
      <c r="B2065" s="21" t="s">
        <v>22</v>
      </c>
      <c r="C2065" s="21">
        <v>60</v>
      </c>
      <c r="D2065" s="21">
        <v>540</v>
      </c>
      <c r="E2065" s="21">
        <v>9</v>
      </c>
      <c r="F2065" s="21"/>
    </row>
    <row r="2066" spans="1:6" x14ac:dyDescent="0.25">
      <c r="A2066" s="21" t="s">
        <v>2122</v>
      </c>
      <c r="B2066" s="21" t="s">
        <v>22</v>
      </c>
      <c r="C2066" s="21">
        <v>60</v>
      </c>
      <c r="D2066" s="21">
        <v>960</v>
      </c>
      <c r="E2066" s="21">
        <v>16</v>
      </c>
      <c r="F2066" s="21"/>
    </row>
    <row r="2067" spans="1:6" x14ac:dyDescent="0.25">
      <c r="A2067" s="21" t="s">
        <v>2123</v>
      </c>
      <c r="B2067" s="21" t="s">
        <v>22</v>
      </c>
      <c r="C2067" s="21">
        <v>60</v>
      </c>
      <c r="D2067" s="21">
        <v>960</v>
      </c>
      <c r="E2067" s="21">
        <v>16</v>
      </c>
      <c r="F2067" s="21"/>
    </row>
    <row r="2068" spans="1:6" x14ac:dyDescent="0.25">
      <c r="A2068" s="21" t="s">
        <v>2124</v>
      </c>
      <c r="B2068" s="21" t="s">
        <v>22</v>
      </c>
      <c r="C2068" s="21">
        <v>60</v>
      </c>
      <c r="D2068" s="21">
        <v>1440</v>
      </c>
      <c r="E2068" s="21">
        <v>24</v>
      </c>
      <c r="F2068" s="21"/>
    </row>
    <row r="2069" spans="1:6" x14ac:dyDescent="0.25">
      <c r="A2069" s="21" t="s">
        <v>2125</v>
      </c>
      <c r="B2069" s="21" t="s">
        <v>22</v>
      </c>
      <c r="C2069" s="21">
        <v>60</v>
      </c>
      <c r="D2069" s="21">
        <v>720</v>
      </c>
      <c r="E2069" s="21">
        <v>12</v>
      </c>
      <c r="F2069" s="21"/>
    </row>
    <row r="2070" spans="1:6" x14ac:dyDescent="0.25">
      <c r="A2070" s="21" t="s">
        <v>2126</v>
      </c>
      <c r="B2070" s="21" t="s">
        <v>22</v>
      </c>
      <c r="C2070" s="21">
        <v>12</v>
      </c>
      <c r="D2070" s="21">
        <v>360</v>
      </c>
      <c r="E2070" s="21">
        <v>30</v>
      </c>
      <c r="F2070" s="21"/>
    </row>
    <row r="2071" spans="1:6" x14ac:dyDescent="0.25">
      <c r="A2071" s="21" t="s">
        <v>2127</v>
      </c>
      <c r="B2071" s="21" t="s">
        <v>22</v>
      </c>
      <c r="C2071" s="21">
        <v>12</v>
      </c>
      <c r="D2071" s="21">
        <v>360</v>
      </c>
      <c r="E2071" s="21">
        <v>30</v>
      </c>
      <c r="F2071" s="21"/>
    </row>
    <row r="2072" spans="1:6" x14ac:dyDescent="0.25">
      <c r="A2072" s="21" t="s">
        <v>2128</v>
      </c>
      <c r="B2072" s="21" t="s">
        <v>22</v>
      </c>
      <c r="C2072" s="21">
        <v>60</v>
      </c>
      <c r="D2072" s="21">
        <v>1440</v>
      </c>
      <c r="E2072" s="21">
        <v>24</v>
      </c>
      <c r="F2072" s="21"/>
    </row>
    <row r="2073" spans="1:6" x14ac:dyDescent="0.25">
      <c r="A2073" s="21" t="s">
        <v>2129</v>
      </c>
      <c r="B2073" s="21" t="s">
        <v>22</v>
      </c>
      <c r="C2073" s="21">
        <v>60</v>
      </c>
      <c r="D2073" s="21">
        <v>720</v>
      </c>
      <c r="E2073" s="21">
        <v>12</v>
      </c>
      <c r="F2073" s="21"/>
    </row>
    <row r="2074" spans="1:6" x14ac:dyDescent="0.25">
      <c r="A2074" s="21" t="s">
        <v>2130</v>
      </c>
      <c r="B2074" s="21" t="s">
        <v>22</v>
      </c>
      <c r="C2074" s="21">
        <v>8</v>
      </c>
      <c r="D2074" s="21">
        <v>144</v>
      </c>
      <c r="E2074" s="21">
        <v>18</v>
      </c>
      <c r="F2074" s="21"/>
    </row>
    <row r="2075" spans="1:6" x14ac:dyDescent="0.25">
      <c r="A2075" s="21" t="s">
        <v>2131</v>
      </c>
      <c r="B2075" s="21" t="s">
        <v>22</v>
      </c>
      <c r="C2075" s="21">
        <v>8</v>
      </c>
      <c r="D2075" s="21">
        <v>192</v>
      </c>
      <c r="E2075" s="21">
        <v>24</v>
      </c>
      <c r="F2075" s="21"/>
    </row>
    <row r="2076" spans="1:6" x14ac:dyDescent="0.25">
      <c r="A2076" s="21" t="s">
        <v>2132</v>
      </c>
      <c r="B2076" s="21" t="s">
        <v>22</v>
      </c>
      <c r="C2076" s="21">
        <v>60</v>
      </c>
      <c r="D2076" s="21">
        <v>1440</v>
      </c>
      <c r="E2076" s="21">
        <v>24</v>
      </c>
      <c r="F2076" s="21"/>
    </row>
    <row r="2077" spans="1:6" x14ac:dyDescent="0.25">
      <c r="A2077" s="21" t="s">
        <v>2133</v>
      </c>
      <c r="B2077" s="21" t="s">
        <v>22</v>
      </c>
      <c r="C2077" s="21">
        <v>60</v>
      </c>
      <c r="D2077" s="21">
        <v>720</v>
      </c>
      <c r="E2077" s="21">
        <v>12</v>
      </c>
      <c r="F2077" s="21"/>
    </row>
    <row r="2078" spans="1:6" x14ac:dyDescent="0.25">
      <c r="A2078" s="21" t="s">
        <v>36</v>
      </c>
      <c r="B2078" s="21" t="s">
        <v>22</v>
      </c>
      <c r="C2078" s="21">
        <v>80</v>
      </c>
      <c r="D2078" s="21">
        <v>1440</v>
      </c>
      <c r="E2078" s="21">
        <v>18</v>
      </c>
      <c r="F2078" s="21"/>
    </row>
    <row r="2079" spans="1:6" x14ac:dyDescent="0.25">
      <c r="A2079" s="21" t="s">
        <v>41</v>
      </c>
      <c r="B2079" s="21" t="s">
        <v>22</v>
      </c>
      <c r="C2079" s="21">
        <v>80</v>
      </c>
      <c r="D2079" s="21">
        <v>1440</v>
      </c>
      <c r="E2079" s="21">
        <v>18</v>
      </c>
      <c r="F2079" s="21"/>
    </row>
    <row r="2080" spans="1:6" x14ac:dyDescent="0.25">
      <c r="A2080" s="21" t="s">
        <v>37</v>
      </c>
      <c r="B2080" s="21" t="s">
        <v>22</v>
      </c>
      <c r="C2080" s="21">
        <v>80</v>
      </c>
      <c r="D2080" s="21">
        <v>1440</v>
      </c>
      <c r="E2080" s="21">
        <v>18</v>
      </c>
      <c r="F2080" s="21"/>
    </row>
    <row r="2081" spans="1:6" x14ac:dyDescent="0.25">
      <c r="A2081" s="21" t="s">
        <v>2134</v>
      </c>
      <c r="B2081" s="21" t="s">
        <v>22</v>
      </c>
      <c r="C2081" s="21">
        <v>80</v>
      </c>
      <c r="D2081" s="21">
        <v>1440</v>
      </c>
      <c r="E2081" s="21">
        <v>18</v>
      </c>
      <c r="F2081" s="21"/>
    </row>
    <row r="2082" spans="1:6" x14ac:dyDescent="0.25">
      <c r="A2082" s="21" t="s">
        <v>38</v>
      </c>
      <c r="B2082" s="21" t="s">
        <v>22</v>
      </c>
      <c r="C2082" s="21">
        <v>60</v>
      </c>
      <c r="D2082" s="21">
        <v>1440</v>
      </c>
      <c r="E2082" s="21">
        <v>24</v>
      </c>
      <c r="F2082" s="21"/>
    </row>
    <row r="2083" spans="1:6" x14ac:dyDescent="0.25">
      <c r="A2083" s="21" t="s">
        <v>42</v>
      </c>
      <c r="B2083" s="21" t="s">
        <v>22</v>
      </c>
      <c r="C2083" s="21">
        <v>60</v>
      </c>
      <c r="D2083" s="21">
        <v>960</v>
      </c>
      <c r="E2083" s="21">
        <v>16</v>
      </c>
      <c r="F2083" s="21"/>
    </row>
    <row r="2084" spans="1:6" x14ac:dyDescent="0.25">
      <c r="A2084" s="21" t="s">
        <v>39</v>
      </c>
      <c r="B2084" s="21" t="s">
        <v>22</v>
      </c>
      <c r="C2084" s="21">
        <v>60</v>
      </c>
      <c r="D2084" s="21">
        <v>960</v>
      </c>
      <c r="E2084" s="21">
        <v>16</v>
      </c>
      <c r="F2084" s="21"/>
    </row>
    <row r="2085" spans="1:6" x14ac:dyDescent="0.25">
      <c r="A2085" s="21" t="s">
        <v>43</v>
      </c>
      <c r="B2085" s="21" t="s">
        <v>22</v>
      </c>
      <c r="C2085" s="21">
        <v>60</v>
      </c>
      <c r="D2085" s="21">
        <v>960</v>
      </c>
      <c r="E2085" s="21">
        <v>16</v>
      </c>
      <c r="F2085" s="21"/>
    </row>
    <row r="2086" spans="1:6" x14ac:dyDescent="0.25">
      <c r="A2086" s="21" t="s">
        <v>2135</v>
      </c>
      <c r="B2086" s="21" t="s">
        <v>22</v>
      </c>
      <c r="C2086" s="21">
        <v>60</v>
      </c>
      <c r="D2086" s="21">
        <v>1440</v>
      </c>
      <c r="E2086" s="21">
        <v>24</v>
      </c>
      <c r="F2086" s="21"/>
    </row>
    <row r="2087" spans="1:6" x14ac:dyDescent="0.25">
      <c r="A2087" s="21" t="s">
        <v>2136</v>
      </c>
      <c r="B2087" s="21" t="s">
        <v>22</v>
      </c>
      <c r="C2087" s="21">
        <v>60</v>
      </c>
      <c r="D2087" s="21">
        <v>960</v>
      </c>
      <c r="E2087" s="21">
        <v>16</v>
      </c>
      <c r="F2087" s="21"/>
    </row>
    <row r="2088" spans="1:6" x14ac:dyDescent="0.25">
      <c r="A2088" s="21" t="s">
        <v>40</v>
      </c>
      <c r="B2088" s="21" t="s">
        <v>22</v>
      </c>
      <c r="C2088" s="21">
        <v>60</v>
      </c>
      <c r="D2088" s="21">
        <v>960</v>
      </c>
      <c r="E2088" s="21">
        <v>16</v>
      </c>
      <c r="F2088" s="21"/>
    </row>
    <row r="2089" spans="1:6" x14ac:dyDescent="0.25">
      <c r="A2089" s="21" t="s">
        <v>44</v>
      </c>
      <c r="B2089" s="21" t="s">
        <v>22</v>
      </c>
      <c r="C2089" s="21">
        <v>60</v>
      </c>
      <c r="D2089" s="21">
        <v>960</v>
      </c>
      <c r="E2089" s="21">
        <v>16</v>
      </c>
      <c r="F2089" s="21"/>
    </row>
    <row r="2090" spans="1:6" x14ac:dyDescent="0.25">
      <c r="A2090" s="21" t="s">
        <v>2137</v>
      </c>
      <c r="B2090" s="21" t="s">
        <v>22</v>
      </c>
      <c r="C2090" s="21">
        <v>30</v>
      </c>
      <c r="D2090" s="21">
        <v>720</v>
      </c>
      <c r="E2090" s="21">
        <v>24</v>
      </c>
      <c r="F2090" s="21"/>
    </row>
    <row r="2091" spans="1:6" x14ac:dyDescent="0.25">
      <c r="A2091" s="21" t="s">
        <v>2138</v>
      </c>
      <c r="B2091" s="21" t="s">
        <v>22</v>
      </c>
      <c r="C2091" s="21">
        <v>30</v>
      </c>
      <c r="D2091" s="21">
        <v>720</v>
      </c>
      <c r="E2091" s="21">
        <v>24</v>
      </c>
      <c r="F2091" s="21"/>
    </row>
    <row r="2092" spans="1:6" x14ac:dyDescent="0.25">
      <c r="A2092" s="21" t="s">
        <v>2139</v>
      </c>
      <c r="B2092" s="21" t="s">
        <v>22</v>
      </c>
      <c r="C2092" s="21">
        <v>10</v>
      </c>
      <c r="D2092" s="21">
        <v>300</v>
      </c>
      <c r="E2092" s="21">
        <v>30</v>
      </c>
      <c r="F2092" s="21"/>
    </row>
    <row r="2093" spans="1:6" x14ac:dyDescent="0.25">
      <c r="A2093" s="21" t="s">
        <v>2140</v>
      </c>
      <c r="B2093" s="21" t="s">
        <v>22</v>
      </c>
      <c r="C2093" s="21">
        <v>18</v>
      </c>
      <c r="D2093" s="21">
        <v>360</v>
      </c>
      <c r="E2093" s="21">
        <v>20</v>
      </c>
      <c r="F2093" s="21"/>
    </row>
    <row r="2094" spans="1:6" x14ac:dyDescent="0.25">
      <c r="A2094" s="21" t="s">
        <v>2141</v>
      </c>
      <c r="B2094" s="21" t="s">
        <v>22</v>
      </c>
      <c r="C2094" s="21">
        <v>18</v>
      </c>
      <c r="D2094" s="21">
        <v>1440</v>
      </c>
      <c r="E2094" s="21">
        <v>80</v>
      </c>
      <c r="F2094" s="21"/>
    </row>
    <row r="2095" spans="1:6" x14ac:dyDescent="0.25">
      <c r="A2095" s="21" t="s">
        <v>2142</v>
      </c>
      <c r="B2095" s="21" t="s">
        <v>22</v>
      </c>
      <c r="C2095" s="21">
        <v>10</v>
      </c>
      <c r="D2095" s="21">
        <v>300</v>
      </c>
      <c r="E2095" s="21">
        <v>30</v>
      </c>
      <c r="F2095" s="21"/>
    </row>
    <row r="2096" spans="1:6" x14ac:dyDescent="0.25">
      <c r="A2096" s="21" t="s">
        <v>45</v>
      </c>
      <c r="B2096" s="21" t="s">
        <v>22</v>
      </c>
      <c r="C2096" s="21">
        <v>80</v>
      </c>
      <c r="D2096" s="21">
        <v>1440</v>
      </c>
      <c r="E2096" s="21">
        <v>18</v>
      </c>
      <c r="F2096" s="21"/>
    </row>
    <row r="2097" spans="1:6" x14ac:dyDescent="0.25">
      <c r="A2097" s="21" t="s">
        <v>49</v>
      </c>
      <c r="B2097" s="21" t="s">
        <v>22</v>
      </c>
      <c r="C2097" s="21">
        <v>80</v>
      </c>
      <c r="D2097" s="21">
        <v>1440</v>
      </c>
      <c r="E2097" s="21">
        <v>18</v>
      </c>
      <c r="F2097" s="21"/>
    </row>
    <row r="2098" spans="1:6" x14ac:dyDescent="0.25">
      <c r="A2098" s="21" t="s">
        <v>2143</v>
      </c>
      <c r="B2098" s="21" t="s">
        <v>22</v>
      </c>
      <c r="C2098" s="21">
        <v>80</v>
      </c>
      <c r="D2098" s="21">
        <v>1440</v>
      </c>
      <c r="E2098" s="21">
        <v>18</v>
      </c>
      <c r="F2098" s="21"/>
    </row>
    <row r="2099" spans="1:6" x14ac:dyDescent="0.25">
      <c r="A2099" s="21" t="s">
        <v>2144</v>
      </c>
      <c r="B2099" s="21" t="s">
        <v>22</v>
      </c>
      <c r="C2099" s="21">
        <v>60</v>
      </c>
      <c r="D2099" s="21">
        <v>1140</v>
      </c>
      <c r="E2099" s="21">
        <v>19</v>
      </c>
      <c r="F2099" s="21"/>
    </row>
    <row r="2100" spans="1:6" x14ac:dyDescent="0.25">
      <c r="A2100" s="21" t="s">
        <v>2145</v>
      </c>
      <c r="B2100" s="21" t="s">
        <v>22</v>
      </c>
      <c r="C2100" s="21">
        <v>60</v>
      </c>
      <c r="D2100" s="21">
        <v>1440</v>
      </c>
      <c r="E2100" s="21">
        <v>24</v>
      </c>
      <c r="F2100" s="21"/>
    </row>
    <row r="2101" spans="1:6" x14ac:dyDescent="0.25">
      <c r="A2101" s="21" t="s">
        <v>2146</v>
      </c>
      <c r="B2101" s="21" t="s">
        <v>22</v>
      </c>
      <c r="C2101" s="21">
        <v>60</v>
      </c>
      <c r="D2101" s="21">
        <v>960</v>
      </c>
      <c r="E2101" s="21">
        <v>16</v>
      </c>
      <c r="F2101" s="21"/>
    </row>
    <row r="2102" spans="1:6" x14ac:dyDescent="0.25">
      <c r="A2102" s="21" t="s">
        <v>46</v>
      </c>
      <c r="B2102" s="21" t="s">
        <v>22</v>
      </c>
      <c r="C2102" s="21">
        <v>60</v>
      </c>
      <c r="D2102" s="21">
        <v>960</v>
      </c>
      <c r="E2102" s="21">
        <v>16</v>
      </c>
      <c r="F2102" s="21"/>
    </row>
    <row r="2103" spans="1:6" x14ac:dyDescent="0.25">
      <c r="A2103" s="21" t="s">
        <v>50</v>
      </c>
      <c r="B2103" s="21" t="s">
        <v>22</v>
      </c>
      <c r="C2103" s="21">
        <v>60</v>
      </c>
      <c r="D2103" s="21">
        <v>960</v>
      </c>
      <c r="E2103" s="21">
        <v>16</v>
      </c>
      <c r="F2103" s="21"/>
    </row>
    <row r="2104" spans="1:6" x14ac:dyDescent="0.25">
      <c r="A2104" s="21" t="s">
        <v>47</v>
      </c>
      <c r="B2104" s="21" t="s">
        <v>22</v>
      </c>
      <c r="C2104" s="21">
        <v>60</v>
      </c>
      <c r="D2104" s="21">
        <v>960</v>
      </c>
      <c r="E2104" s="21">
        <v>16</v>
      </c>
      <c r="F2104" s="21"/>
    </row>
    <row r="2105" spans="1:6" x14ac:dyDescent="0.25">
      <c r="A2105" s="21" t="s">
        <v>2147</v>
      </c>
      <c r="B2105" s="21" t="s">
        <v>22</v>
      </c>
      <c r="C2105" s="21">
        <v>60</v>
      </c>
      <c r="D2105" s="21">
        <v>960</v>
      </c>
      <c r="E2105" s="21">
        <v>16</v>
      </c>
      <c r="F2105" s="21"/>
    </row>
    <row r="2106" spans="1:6" x14ac:dyDescent="0.25">
      <c r="A2106" s="21" t="s">
        <v>48</v>
      </c>
      <c r="B2106" s="21" t="s">
        <v>22</v>
      </c>
      <c r="C2106" s="21">
        <v>60</v>
      </c>
      <c r="D2106" s="21">
        <v>960</v>
      </c>
      <c r="E2106" s="21">
        <v>16</v>
      </c>
      <c r="F2106" s="21"/>
    </row>
    <row r="2107" spans="1:6" x14ac:dyDescent="0.25">
      <c r="A2107" s="21" t="s">
        <v>51</v>
      </c>
      <c r="B2107" s="21" t="s">
        <v>22</v>
      </c>
      <c r="C2107" s="21">
        <v>60</v>
      </c>
      <c r="D2107" s="21">
        <v>720</v>
      </c>
      <c r="E2107" s="21">
        <v>12</v>
      </c>
      <c r="F2107" s="21"/>
    </row>
    <row r="2108" spans="1:6" x14ac:dyDescent="0.25">
      <c r="A2108" s="21" t="s">
        <v>2148</v>
      </c>
      <c r="B2108" s="21" t="s">
        <v>22</v>
      </c>
      <c r="C2108" s="21">
        <v>30</v>
      </c>
      <c r="D2108" s="21">
        <v>450</v>
      </c>
      <c r="E2108" s="21">
        <v>15</v>
      </c>
      <c r="F2108" s="21"/>
    </row>
    <row r="2109" spans="1:6" x14ac:dyDescent="0.25">
      <c r="A2109" s="21" t="s">
        <v>52</v>
      </c>
      <c r="B2109" s="21" t="s">
        <v>22</v>
      </c>
      <c r="C2109" s="21">
        <v>30</v>
      </c>
      <c r="D2109" s="21">
        <v>450</v>
      </c>
      <c r="E2109" s="21">
        <v>15</v>
      </c>
      <c r="F2109" s="21"/>
    </row>
    <row r="2110" spans="1:6" x14ac:dyDescent="0.25">
      <c r="A2110" s="21" t="s">
        <v>2149</v>
      </c>
      <c r="B2110" s="21" t="s">
        <v>22</v>
      </c>
      <c r="C2110" s="21">
        <v>10</v>
      </c>
      <c r="D2110" s="21">
        <v>200</v>
      </c>
      <c r="E2110" s="21">
        <v>20</v>
      </c>
      <c r="F2110" s="21"/>
    </row>
    <row r="2111" spans="1:6" x14ac:dyDescent="0.25">
      <c r="A2111" s="21" t="s">
        <v>2150</v>
      </c>
      <c r="B2111" s="21" t="s">
        <v>22</v>
      </c>
      <c r="C2111" s="21">
        <v>12</v>
      </c>
      <c r="D2111" s="21">
        <v>288</v>
      </c>
      <c r="E2111" s="21">
        <v>24</v>
      </c>
      <c r="F2111" s="21"/>
    </row>
    <row r="2112" spans="1:6" x14ac:dyDescent="0.25">
      <c r="A2112" s="21" t="s">
        <v>2151</v>
      </c>
      <c r="B2112" s="21" t="s">
        <v>22</v>
      </c>
      <c r="C2112" s="21">
        <v>12</v>
      </c>
      <c r="D2112" s="21">
        <v>288</v>
      </c>
      <c r="E2112" s="21">
        <v>24</v>
      </c>
      <c r="F2112" s="21"/>
    </row>
    <row r="2113" spans="1:6" x14ac:dyDescent="0.25">
      <c r="A2113" s="21" t="s">
        <v>2152</v>
      </c>
      <c r="B2113" s="21" t="s">
        <v>22</v>
      </c>
      <c r="C2113" s="21">
        <v>10</v>
      </c>
      <c r="D2113" s="21">
        <v>200</v>
      </c>
      <c r="E2113" s="21">
        <v>20</v>
      </c>
      <c r="F2113" s="21"/>
    </row>
    <row r="2114" spans="1:6" x14ac:dyDescent="0.25">
      <c r="A2114" s="21" t="s">
        <v>2153</v>
      </c>
      <c r="B2114" s="21" t="s">
        <v>22</v>
      </c>
      <c r="C2114" s="21">
        <v>1000</v>
      </c>
      <c r="D2114" s="21">
        <v>10000</v>
      </c>
      <c r="E2114" s="21">
        <v>10</v>
      </c>
      <c r="F2114" s="21"/>
    </row>
    <row r="2115" spans="1:6" x14ac:dyDescent="0.25">
      <c r="A2115" s="21" t="s">
        <v>2154</v>
      </c>
      <c r="B2115" s="21" t="s">
        <v>22</v>
      </c>
      <c r="C2115" s="21">
        <v>1000</v>
      </c>
      <c r="D2115" s="21">
        <v>10000</v>
      </c>
      <c r="E2115" s="21">
        <v>10</v>
      </c>
      <c r="F2115" s="21"/>
    </row>
    <row r="2116" spans="1:6" x14ac:dyDescent="0.25">
      <c r="A2116" s="21" t="s">
        <v>2155</v>
      </c>
      <c r="B2116" s="21" t="s">
        <v>22</v>
      </c>
      <c r="C2116" s="21">
        <v>1000</v>
      </c>
      <c r="D2116" s="21">
        <v>10000</v>
      </c>
      <c r="E2116" s="21">
        <v>10</v>
      </c>
      <c r="F2116" s="21"/>
    </row>
    <row r="2117" spans="1:6" x14ac:dyDescent="0.25">
      <c r="A2117" s="21" t="s">
        <v>2156</v>
      </c>
      <c r="B2117" s="21" t="s">
        <v>22</v>
      </c>
      <c r="C2117" s="21">
        <v>120</v>
      </c>
      <c r="D2117" s="21">
        <v>2880</v>
      </c>
      <c r="E2117" s="21">
        <v>24</v>
      </c>
      <c r="F2117" s="21"/>
    </row>
    <row r="2118" spans="1:6" x14ac:dyDescent="0.25">
      <c r="A2118" s="21" t="s">
        <v>2157</v>
      </c>
      <c r="B2118" s="21" t="s">
        <v>22</v>
      </c>
      <c r="C2118" s="21">
        <v>120</v>
      </c>
      <c r="D2118" s="21">
        <v>1920</v>
      </c>
      <c r="E2118" s="21">
        <v>16</v>
      </c>
      <c r="F2118" s="21"/>
    </row>
    <row r="2119" spans="1:6" x14ac:dyDescent="0.25">
      <c r="A2119" s="21" t="s">
        <v>2158</v>
      </c>
      <c r="B2119" s="21" t="s">
        <v>22</v>
      </c>
      <c r="C2119" s="21">
        <v>120</v>
      </c>
      <c r="D2119" s="21">
        <v>2880</v>
      </c>
      <c r="E2119" s="21">
        <v>24</v>
      </c>
      <c r="F2119" s="21"/>
    </row>
    <row r="2120" spans="1:6" x14ac:dyDescent="0.25">
      <c r="A2120" s="21" t="s">
        <v>2159</v>
      </c>
      <c r="B2120" s="21" t="s">
        <v>22</v>
      </c>
      <c r="C2120" s="21">
        <v>60</v>
      </c>
      <c r="D2120" s="21">
        <v>1440</v>
      </c>
      <c r="E2120" s="21">
        <v>24</v>
      </c>
      <c r="F2120" s="21"/>
    </row>
    <row r="2121" spans="1:6" x14ac:dyDescent="0.25">
      <c r="A2121" s="21" t="s">
        <v>2160</v>
      </c>
      <c r="B2121" s="21" t="s">
        <v>22</v>
      </c>
      <c r="C2121" s="21">
        <v>60</v>
      </c>
      <c r="D2121" s="21">
        <v>1440</v>
      </c>
      <c r="E2121" s="21">
        <v>24</v>
      </c>
      <c r="F2121" s="21"/>
    </row>
    <row r="2122" spans="1:6" x14ac:dyDescent="0.25">
      <c r="A2122" s="21" t="s">
        <v>2161</v>
      </c>
      <c r="B2122" s="21" t="s">
        <v>22</v>
      </c>
      <c r="C2122" s="21">
        <v>60</v>
      </c>
      <c r="D2122" s="21">
        <v>1440</v>
      </c>
      <c r="E2122" s="21">
        <v>24</v>
      </c>
      <c r="F2122" s="21"/>
    </row>
    <row r="2123" spans="1:6" x14ac:dyDescent="0.25">
      <c r="A2123" s="21" t="s">
        <v>2162</v>
      </c>
      <c r="B2123" s="21" t="s">
        <v>22</v>
      </c>
      <c r="C2123" s="21">
        <v>60</v>
      </c>
      <c r="D2123" s="21">
        <v>1440</v>
      </c>
      <c r="E2123" s="21">
        <v>24</v>
      </c>
      <c r="F2123" s="21"/>
    </row>
    <row r="2124" spans="1:6" x14ac:dyDescent="0.25">
      <c r="A2124" s="21" t="s">
        <v>2163</v>
      </c>
      <c r="B2124" s="21" t="s">
        <v>22</v>
      </c>
      <c r="C2124" s="21">
        <v>60</v>
      </c>
      <c r="D2124" s="21">
        <v>1440</v>
      </c>
      <c r="E2124" s="21">
        <v>24</v>
      </c>
      <c r="F2124" s="21"/>
    </row>
    <row r="2125" spans="1:6" x14ac:dyDescent="0.25">
      <c r="A2125" s="21" t="s">
        <v>2164</v>
      </c>
      <c r="B2125" s="21" t="s">
        <v>22</v>
      </c>
      <c r="C2125" s="21">
        <v>60</v>
      </c>
      <c r="D2125" s="21">
        <v>1440</v>
      </c>
      <c r="E2125" s="21">
        <v>24</v>
      </c>
      <c r="F2125" s="21"/>
    </row>
    <row r="2126" spans="1:6" x14ac:dyDescent="0.25">
      <c r="A2126" s="21" t="s">
        <v>2165</v>
      </c>
      <c r="B2126" s="21" t="s">
        <v>22</v>
      </c>
      <c r="C2126" s="21">
        <v>60</v>
      </c>
      <c r="D2126" s="21">
        <v>1440</v>
      </c>
      <c r="E2126" s="21">
        <v>24</v>
      </c>
      <c r="F2126" s="21"/>
    </row>
    <row r="2127" spans="1:6" x14ac:dyDescent="0.25">
      <c r="A2127" s="21" t="s">
        <v>2166</v>
      </c>
      <c r="B2127" s="21" t="s">
        <v>22</v>
      </c>
      <c r="C2127" s="21">
        <v>60</v>
      </c>
      <c r="D2127" s="21">
        <v>1440</v>
      </c>
      <c r="E2127" s="21">
        <v>24</v>
      </c>
      <c r="F2127" s="21"/>
    </row>
    <row r="2128" spans="1:6" x14ac:dyDescent="0.25">
      <c r="A2128" s="21" t="s">
        <v>2167</v>
      </c>
      <c r="B2128" s="21" t="s">
        <v>22</v>
      </c>
      <c r="C2128" s="21">
        <v>60</v>
      </c>
      <c r="D2128" s="21">
        <v>960</v>
      </c>
      <c r="E2128" s="21">
        <v>16</v>
      </c>
      <c r="F2128" s="21"/>
    </row>
    <row r="2129" spans="1:6" x14ac:dyDescent="0.25">
      <c r="A2129" s="21" t="s">
        <v>2168</v>
      </c>
      <c r="B2129" s="21" t="s">
        <v>22</v>
      </c>
      <c r="C2129" s="21">
        <v>20</v>
      </c>
      <c r="D2129" s="21">
        <v>600</v>
      </c>
      <c r="E2129" s="21">
        <v>30</v>
      </c>
      <c r="F2129" s="21"/>
    </row>
    <row r="2130" spans="1:6" x14ac:dyDescent="0.25">
      <c r="A2130" s="21" t="s">
        <v>2169</v>
      </c>
      <c r="B2130" s="21" t="s">
        <v>22</v>
      </c>
      <c r="C2130" s="21">
        <v>20</v>
      </c>
      <c r="D2130" s="21">
        <v>600</v>
      </c>
      <c r="E2130" s="21">
        <v>30</v>
      </c>
      <c r="F2130" s="21"/>
    </row>
    <row r="2131" spans="1:6" x14ac:dyDescent="0.25">
      <c r="A2131" s="21" t="s">
        <v>2170</v>
      </c>
      <c r="B2131" s="21" t="s">
        <v>22</v>
      </c>
      <c r="C2131" s="21">
        <v>20</v>
      </c>
      <c r="D2131" s="21">
        <v>400</v>
      </c>
      <c r="E2131" s="21">
        <v>20</v>
      </c>
      <c r="F2131" s="21"/>
    </row>
    <row r="2132" spans="1:6" x14ac:dyDescent="0.25">
      <c r="A2132" s="21" t="s">
        <v>2171</v>
      </c>
      <c r="B2132" s="21" t="s">
        <v>22</v>
      </c>
      <c r="C2132" s="21">
        <v>20</v>
      </c>
      <c r="D2132" s="21">
        <v>600</v>
      </c>
      <c r="E2132" s="21">
        <v>30</v>
      </c>
      <c r="F2132" s="21"/>
    </row>
    <row r="2133" spans="1:6" x14ac:dyDescent="0.25">
      <c r="A2133" s="21" t="s">
        <v>2172</v>
      </c>
      <c r="B2133" s="21" t="s">
        <v>22</v>
      </c>
      <c r="C2133" s="21">
        <v>60</v>
      </c>
      <c r="D2133" s="21">
        <v>1440</v>
      </c>
      <c r="E2133" s="21">
        <v>24</v>
      </c>
      <c r="F2133" s="21"/>
    </row>
    <row r="2134" spans="1:6" x14ac:dyDescent="0.25">
      <c r="A2134" s="21" t="s">
        <v>2173</v>
      </c>
      <c r="B2134" s="21" t="s">
        <v>22</v>
      </c>
      <c r="C2134" s="21">
        <v>60</v>
      </c>
      <c r="D2134" s="21">
        <v>1440</v>
      </c>
      <c r="E2134" s="21">
        <v>24</v>
      </c>
      <c r="F2134" s="21"/>
    </row>
    <row r="2135" spans="1:6" x14ac:dyDescent="0.25">
      <c r="A2135" s="21" t="s">
        <v>2174</v>
      </c>
      <c r="B2135" s="21" t="s">
        <v>22</v>
      </c>
      <c r="C2135" s="21">
        <v>60</v>
      </c>
      <c r="D2135" s="21">
        <v>1440</v>
      </c>
      <c r="E2135" s="21">
        <v>24</v>
      </c>
      <c r="F2135" s="21"/>
    </row>
    <row r="2136" spans="1:6" x14ac:dyDescent="0.25">
      <c r="A2136" s="21" t="s">
        <v>2175</v>
      </c>
      <c r="B2136" s="21" t="s">
        <v>22</v>
      </c>
      <c r="C2136" s="21">
        <v>60</v>
      </c>
      <c r="D2136" s="21">
        <v>1440</v>
      </c>
      <c r="E2136" s="21">
        <v>24</v>
      </c>
      <c r="F2136" s="21"/>
    </row>
    <row r="2137" spans="1:6" x14ac:dyDescent="0.25">
      <c r="A2137" s="21" t="s">
        <v>2176</v>
      </c>
      <c r="B2137" s="21" t="s">
        <v>22</v>
      </c>
      <c r="C2137" s="21">
        <v>60</v>
      </c>
      <c r="D2137" s="21">
        <v>1440</v>
      </c>
      <c r="E2137" s="21">
        <v>24</v>
      </c>
      <c r="F2137" s="21"/>
    </row>
    <row r="2138" spans="1:6" x14ac:dyDescent="0.25">
      <c r="A2138" s="21" t="s">
        <v>2177</v>
      </c>
      <c r="B2138" s="21" t="s">
        <v>22</v>
      </c>
      <c r="C2138" s="21">
        <v>60</v>
      </c>
      <c r="D2138" s="21">
        <v>1440</v>
      </c>
      <c r="E2138" s="21">
        <v>24</v>
      </c>
      <c r="F2138" s="21"/>
    </row>
    <row r="2139" spans="1:6" x14ac:dyDescent="0.25">
      <c r="A2139" s="21" t="s">
        <v>2178</v>
      </c>
      <c r="B2139" s="21" t="s">
        <v>22</v>
      </c>
      <c r="C2139" s="21">
        <v>60</v>
      </c>
      <c r="D2139" s="21">
        <v>1440</v>
      </c>
      <c r="E2139" s="21">
        <v>24</v>
      </c>
      <c r="F2139" s="21"/>
    </row>
    <row r="2140" spans="1:6" x14ac:dyDescent="0.25">
      <c r="A2140" s="21" t="s">
        <v>2179</v>
      </c>
      <c r="B2140" s="21" t="s">
        <v>22</v>
      </c>
      <c r="C2140" s="21">
        <v>60</v>
      </c>
      <c r="D2140" s="21">
        <v>1440</v>
      </c>
      <c r="E2140" s="21">
        <v>24</v>
      </c>
      <c r="F2140" s="21"/>
    </row>
    <row r="2141" spans="1:6" x14ac:dyDescent="0.25">
      <c r="A2141" s="21" t="s">
        <v>2180</v>
      </c>
      <c r="B2141" s="21" t="s">
        <v>22</v>
      </c>
      <c r="C2141" s="21">
        <v>60</v>
      </c>
      <c r="D2141" s="21">
        <v>960</v>
      </c>
      <c r="E2141" s="21">
        <v>16</v>
      </c>
      <c r="F2141" s="21"/>
    </row>
    <row r="2142" spans="1:6" x14ac:dyDescent="0.25">
      <c r="A2142" s="21" t="s">
        <v>2181</v>
      </c>
      <c r="B2142" s="21" t="s">
        <v>22</v>
      </c>
      <c r="C2142" s="21">
        <v>60</v>
      </c>
      <c r="D2142" s="21">
        <v>960</v>
      </c>
      <c r="E2142" s="21">
        <v>16</v>
      </c>
      <c r="F2142" s="21"/>
    </row>
    <row r="2143" spans="1:6" x14ac:dyDescent="0.25">
      <c r="A2143" s="21" t="s">
        <v>2182</v>
      </c>
      <c r="B2143" s="21" t="s">
        <v>22</v>
      </c>
      <c r="C2143" s="21">
        <v>60</v>
      </c>
      <c r="D2143" s="21">
        <v>960</v>
      </c>
      <c r="E2143" s="21">
        <v>16</v>
      </c>
      <c r="F2143" s="21"/>
    </row>
    <row r="2144" spans="1:6" x14ac:dyDescent="0.25">
      <c r="A2144" s="21" t="s">
        <v>2183</v>
      </c>
      <c r="B2144" s="21" t="s">
        <v>22</v>
      </c>
      <c r="C2144" s="21">
        <v>60</v>
      </c>
      <c r="D2144" s="21">
        <v>960</v>
      </c>
      <c r="E2144" s="21">
        <v>16</v>
      </c>
      <c r="F2144" s="21"/>
    </row>
    <row r="2145" spans="1:6" x14ac:dyDescent="0.25">
      <c r="A2145" s="21" t="s">
        <v>2184</v>
      </c>
      <c r="B2145" s="21" t="s">
        <v>22</v>
      </c>
      <c r="C2145" s="21">
        <v>20</v>
      </c>
      <c r="D2145" s="21">
        <v>600</v>
      </c>
      <c r="E2145" s="21">
        <v>30</v>
      </c>
      <c r="F2145" s="21"/>
    </row>
    <row r="2146" spans="1:6" x14ac:dyDescent="0.25">
      <c r="A2146" s="21" t="s">
        <v>2185</v>
      </c>
      <c r="B2146" s="21" t="s">
        <v>22</v>
      </c>
      <c r="C2146" s="21">
        <v>20</v>
      </c>
      <c r="D2146" s="21">
        <v>600</v>
      </c>
      <c r="E2146" s="21">
        <v>30</v>
      </c>
      <c r="F2146" s="21"/>
    </row>
    <row r="2147" spans="1:6" x14ac:dyDescent="0.25">
      <c r="A2147" s="21" t="s">
        <v>2186</v>
      </c>
      <c r="B2147" s="21" t="s">
        <v>22</v>
      </c>
      <c r="C2147" s="21">
        <v>20</v>
      </c>
      <c r="D2147" s="21">
        <v>400</v>
      </c>
      <c r="E2147" s="21">
        <v>20</v>
      </c>
      <c r="F2147" s="21"/>
    </row>
    <row r="2148" spans="1:6" x14ac:dyDescent="0.25">
      <c r="A2148" s="21" t="s">
        <v>2187</v>
      </c>
      <c r="B2148" s="21" t="s">
        <v>22</v>
      </c>
      <c r="C2148" s="21">
        <v>20</v>
      </c>
      <c r="D2148" s="21">
        <v>400</v>
      </c>
      <c r="E2148" s="21">
        <v>20</v>
      </c>
      <c r="F2148" s="21"/>
    </row>
    <row r="2149" spans="1:6" x14ac:dyDescent="0.25">
      <c r="A2149" s="21" t="s">
        <v>2188</v>
      </c>
      <c r="B2149" s="21" t="s">
        <v>22</v>
      </c>
      <c r="C2149" s="21">
        <v>120</v>
      </c>
      <c r="D2149" s="21">
        <v>1920</v>
      </c>
      <c r="E2149" s="21">
        <v>16</v>
      </c>
      <c r="F2149" s="21"/>
    </row>
    <row r="2150" spans="1:6" x14ac:dyDescent="0.25">
      <c r="A2150" s="21" t="s">
        <v>2189</v>
      </c>
      <c r="B2150" s="21" t="s">
        <v>22</v>
      </c>
      <c r="C2150" s="21">
        <v>2500</v>
      </c>
      <c r="D2150" s="21">
        <v>5000</v>
      </c>
      <c r="E2150" s="21">
        <v>2</v>
      </c>
      <c r="F2150" s="21"/>
    </row>
    <row r="2151" spans="1:6" x14ac:dyDescent="0.25">
      <c r="A2151" s="21" t="s">
        <v>2190</v>
      </c>
      <c r="B2151" s="21" t="s">
        <v>22</v>
      </c>
      <c r="C2151" s="21">
        <v>40</v>
      </c>
      <c r="D2151" s="21">
        <v>960</v>
      </c>
      <c r="E2151" s="21">
        <v>24</v>
      </c>
      <c r="F2151" s="21"/>
    </row>
    <row r="2152" spans="1:6" x14ac:dyDescent="0.25">
      <c r="A2152" s="21" t="s">
        <v>2191</v>
      </c>
      <c r="B2152" s="21" t="s">
        <v>22</v>
      </c>
      <c r="C2152" s="21">
        <v>20</v>
      </c>
      <c r="D2152" s="21">
        <v>600</v>
      </c>
      <c r="E2152" s="21">
        <v>30</v>
      </c>
      <c r="F2152" s="21"/>
    </row>
    <row r="2153" spans="1:6" x14ac:dyDescent="0.25">
      <c r="A2153" s="21" t="s">
        <v>2192</v>
      </c>
      <c r="B2153" s="21" t="s">
        <v>22</v>
      </c>
      <c r="C2153" s="21">
        <v>10</v>
      </c>
      <c r="D2153" s="21">
        <v>280</v>
      </c>
      <c r="E2153" s="21">
        <v>28</v>
      </c>
      <c r="F2153" s="21"/>
    </row>
    <row r="2154" spans="1:6" x14ac:dyDescent="0.25">
      <c r="A2154" s="21" t="s">
        <v>2193</v>
      </c>
      <c r="B2154" s="21" t="s">
        <v>22</v>
      </c>
      <c r="C2154" s="21">
        <v>60</v>
      </c>
      <c r="D2154" s="21">
        <v>1260</v>
      </c>
      <c r="E2154" s="21">
        <v>21</v>
      </c>
      <c r="F2154" s="21"/>
    </row>
    <row r="2155" spans="1:6" x14ac:dyDescent="0.25">
      <c r="A2155" s="21" t="s">
        <v>2194</v>
      </c>
      <c r="B2155" s="21" t="s">
        <v>22</v>
      </c>
      <c r="C2155" s="21">
        <v>1000</v>
      </c>
      <c r="D2155" s="21">
        <v>60000</v>
      </c>
      <c r="E2155" s="21">
        <v>60</v>
      </c>
      <c r="F2155" s="21"/>
    </row>
    <row r="2156" spans="1:6" x14ac:dyDescent="0.25">
      <c r="A2156" s="21" t="s">
        <v>2195</v>
      </c>
      <c r="B2156" s="21" t="s">
        <v>22</v>
      </c>
      <c r="C2156" s="21">
        <v>50</v>
      </c>
      <c r="D2156" s="21">
        <v>2400</v>
      </c>
      <c r="E2156" s="21">
        <v>48</v>
      </c>
      <c r="F2156" s="21"/>
    </row>
    <row r="2157" spans="1:6" x14ac:dyDescent="0.25">
      <c r="A2157" s="21" t="s">
        <v>2196</v>
      </c>
      <c r="B2157" s="21" t="s">
        <v>22</v>
      </c>
      <c r="C2157" s="21">
        <v>10</v>
      </c>
      <c r="D2157" s="21">
        <v>200</v>
      </c>
      <c r="E2157" s="21">
        <v>20</v>
      </c>
      <c r="F2157" s="21"/>
    </row>
    <row r="2158" spans="1:6" x14ac:dyDescent="0.25">
      <c r="A2158" s="21" t="s">
        <v>2197</v>
      </c>
      <c r="B2158" s="21" t="s">
        <v>22</v>
      </c>
      <c r="C2158" s="21">
        <v>60</v>
      </c>
      <c r="D2158" s="21">
        <v>5400</v>
      </c>
      <c r="E2158" s="21">
        <v>90</v>
      </c>
      <c r="F2158" s="21"/>
    </row>
    <row r="2159" spans="1:6" x14ac:dyDescent="0.25">
      <c r="A2159" s="21" t="s">
        <v>2198</v>
      </c>
      <c r="B2159" s="21" t="s">
        <v>22</v>
      </c>
      <c r="C2159" s="21">
        <v>20</v>
      </c>
      <c r="D2159" s="21">
        <v>400</v>
      </c>
      <c r="E2159" s="21">
        <v>20</v>
      </c>
      <c r="F2159" s="21"/>
    </row>
    <row r="2160" spans="1:6" x14ac:dyDescent="0.25">
      <c r="A2160" s="21" t="s">
        <v>2199</v>
      </c>
      <c r="B2160" s="21" t="s">
        <v>22</v>
      </c>
      <c r="C2160" s="21">
        <v>20</v>
      </c>
      <c r="D2160" s="21">
        <v>400</v>
      </c>
      <c r="E2160" s="21">
        <v>20</v>
      </c>
      <c r="F2160" s="21"/>
    </row>
    <row r="2161" spans="1:6" x14ac:dyDescent="0.25">
      <c r="A2161" s="21" t="s">
        <v>2200</v>
      </c>
      <c r="B2161" s="21" t="s">
        <v>22</v>
      </c>
      <c r="C2161" s="21">
        <v>20</v>
      </c>
      <c r="D2161" s="21">
        <v>400</v>
      </c>
      <c r="E2161" s="21">
        <v>20</v>
      </c>
      <c r="F2161" s="21"/>
    </row>
    <row r="2162" spans="1:6" x14ac:dyDescent="0.25">
      <c r="A2162" s="21" t="s">
        <v>2201</v>
      </c>
      <c r="B2162" s="21" t="s">
        <v>22</v>
      </c>
      <c r="C2162" s="21">
        <v>20</v>
      </c>
      <c r="D2162" s="21">
        <v>400</v>
      </c>
      <c r="E2162" s="21">
        <v>20</v>
      </c>
      <c r="F2162" s="21"/>
    </row>
    <row r="2163" spans="1:6" x14ac:dyDescent="0.25">
      <c r="A2163" s="21" t="s">
        <v>2202</v>
      </c>
      <c r="B2163" s="21" t="s">
        <v>22</v>
      </c>
      <c r="C2163" s="21">
        <v>20</v>
      </c>
      <c r="D2163" s="21">
        <v>400</v>
      </c>
      <c r="E2163" s="21">
        <v>20</v>
      </c>
      <c r="F2163" s="21"/>
    </row>
    <row r="2164" spans="1:6" x14ac:dyDescent="0.25">
      <c r="A2164" s="21" t="s">
        <v>2203</v>
      </c>
      <c r="B2164" s="21" t="s">
        <v>22</v>
      </c>
      <c r="C2164" s="21">
        <v>20</v>
      </c>
      <c r="D2164" s="21">
        <v>400</v>
      </c>
      <c r="E2164" s="21">
        <v>20</v>
      </c>
      <c r="F2164" s="21"/>
    </row>
    <row r="2165" spans="1:6" x14ac:dyDescent="0.25">
      <c r="A2165" s="21" t="s">
        <v>2204</v>
      </c>
      <c r="B2165" s="21" t="s">
        <v>22</v>
      </c>
      <c r="C2165" s="21">
        <v>20</v>
      </c>
      <c r="D2165" s="21">
        <v>400</v>
      </c>
      <c r="E2165" s="21">
        <v>20</v>
      </c>
      <c r="F2165" s="21"/>
    </row>
    <row r="2166" spans="1:6" x14ac:dyDescent="0.25">
      <c r="A2166" s="21" t="s">
        <v>2205</v>
      </c>
      <c r="B2166" s="21" t="s">
        <v>22</v>
      </c>
      <c r="C2166" s="21">
        <v>20</v>
      </c>
      <c r="D2166" s="21">
        <v>400</v>
      </c>
      <c r="E2166" s="21">
        <v>20</v>
      </c>
      <c r="F2166" s="21"/>
    </row>
    <row r="2167" spans="1:6" x14ac:dyDescent="0.25">
      <c r="A2167" s="21" t="s">
        <v>2206</v>
      </c>
      <c r="B2167" s="21" t="s">
        <v>22</v>
      </c>
      <c r="C2167" s="21">
        <v>20</v>
      </c>
      <c r="D2167" s="21">
        <v>400</v>
      </c>
      <c r="E2167" s="21">
        <v>20</v>
      </c>
      <c r="F2167" s="21"/>
    </row>
    <row r="2168" spans="1:6" x14ac:dyDescent="0.25">
      <c r="A2168" s="21" t="s">
        <v>2207</v>
      </c>
      <c r="B2168" s="21" t="s">
        <v>22</v>
      </c>
      <c r="C2168" s="21">
        <v>20</v>
      </c>
      <c r="D2168" s="21">
        <v>400</v>
      </c>
      <c r="E2168" s="21">
        <v>20</v>
      </c>
      <c r="F2168" s="21"/>
    </row>
    <row r="2169" spans="1:6" x14ac:dyDescent="0.25">
      <c r="A2169" s="21" t="s">
        <v>2208</v>
      </c>
      <c r="B2169" s="21" t="s">
        <v>22</v>
      </c>
      <c r="C2169" s="21">
        <v>20</v>
      </c>
      <c r="D2169" s="21">
        <v>400</v>
      </c>
      <c r="E2169" s="21">
        <v>20</v>
      </c>
      <c r="F2169" s="21"/>
    </row>
    <row r="2170" spans="1:6" x14ac:dyDescent="0.25">
      <c r="A2170" s="21" t="s">
        <v>2209</v>
      </c>
      <c r="B2170" s="21" t="s">
        <v>22</v>
      </c>
      <c r="C2170" s="21">
        <v>20</v>
      </c>
      <c r="D2170" s="21">
        <v>400</v>
      </c>
      <c r="E2170" s="21">
        <v>20</v>
      </c>
      <c r="F2170" s="21"/>
    </row>
    <row r="2171" spans="1:6" x14ac:dyDescent="0.25">
      <c r="A2171" s="21" t="s">
        <v>2210</v>
      </c>
      <c r="B2171" s="21" t="s">
        <v>22</v>
      </c>
      <c r="C2171" s="21">
        <v>20</v>
      </c>
      <c r="D2171" s="21">
        <v>400</v>
      </c>
      <c r="E2171" s="21">
        <v>20</v>
      </c>
      <c r="F2171" s="21"/>
    </row>
    <row r="2172" spans="1:6" x14ac:dyDescent="0.25">
      <c r="A2172" s="21" t="s">
        <v>2211</v>
      </c>
      <c r="B2172" s="21" t="s">
        <v>22</v>
      </c>
      <c r="C2172" s="21">
        <v>20</v>
      </c>
      <c r="D2172" s="21">
        <v>400</v>
      </c>
      <c r="E2172" s="21">
        <v>20</v>
      </c>
      <c r="F2172" s="21"/>
    </row>
    <row r="2173" spans="1:6" x14ac:dyDescent="0.25">
      <c r="A2173" s="21" t="s">
        <v>2212</v>
      </c>
      <c r="B2173" s="21" t="s">
        <v>22</v>
      </c>
      <c r="C2173" s="21">
        <v>20</v>
      </c>
      <c r="D2173" s="21">
        <v>400</v>
      </c>
      <c r="E2173" s="21">
        <v>20</v>
      </c>
      <c r="F2173" s="21"/>
    </row>
    <row r="2174" spans="1:6" x14ac:dyDescent="0.25">
      <c r="A2174" s="21" t="s">
        <v>2213</v>
      </c>
      <c r="B2174" s="21" t="s">
        <v>22</v>
      </c>
      <c r="C2174" s="21">
        <v>20</v>
      </c>
      <c r="D2174" s="21">
        <v>400</v>
      </c>
      <c r="E2174" s="21">
        <v>20</v>
      </c>
      <c r="F2174" s="21"/>
    </row>
    <row r="2175" spans="1:6" x14ac:dyDescent="0.25">
      <c r="A2175" s="21" t="s">
        <v>2214</v>
      </c>
      <c r="B2175" s="21" t="s">
        <v>22</v>
      </c>
      <c r="C2175" s="21">
        <v>20</v>
      </c>
      <c r="D2175" s="21">
        <v>400</v>
      </c>
      <c r="E2175" s="21">
        <v>20</v>
      </c>
      <c r="F2175" s="21"/>
    </row>
    <row r="2176" spans="1:6" x14ac:dyDescent="0.25">
      <c r="A2176" s="21" t="s">
        <v>2215</v>
      </c>
      <c r="B2176" s="21" t="s">
        <v>22</v>
      </c>
      <c r="C2176" s="21">
        <v>20</v>
      </c>
      <c r="D2176" s="21">
        <v>400</v>
      </c>
      <c r="E2176" s="21">
        <v>20</v>
      </c>
      <c r="F2176" s="21"/>
    </row>
    <row r="2177" spans="1:6" x14ac:dyDescent="0.25">
      <c r="A2177" s="21" t="s">
        <v>2216</v>
      </c>
      <c r="B2177" s="21" t="s">
        <v>22</v>
      </c>
      <c r="C2177" s="21">
        <v>50</v>
      </c>
      <c r="D2177" s="21">
        <v>2400</v>
      </c>
      <c r="E2177" s="21">
        <v>48</v>
      </c>
      <c r="F2177" s="21"/>
    </row>
    <row r="2178" spans="1:6" x14ac:dyDescent="0.25">
      <c r="A2178" s="21" t="s">
        <v>2217</v>
      </c>
      <c r="B2178" s="21" t="s">
        <v>22</v>
      </c>
      <c r="C2178" s="21">
        <v>0</v>
      </c>
      <c r="D2178" s="52">
        <v>0</v>
      </c>
      <c r="E2178" s="21"/>
      <c r="F2178" s="21"/>
    </row>
    <row r="2179" spans="1:6" x14ac:dyDescent="0.25">
      <c r="A2179" s="21" t="s">
        <v>2218</v>
      </c>
      <c r="B2179" s="21" t="s">
        <v>22</v>
      </c>
      <c r="C2179" s="21">
        <v>0</v>
      </c>
      <c r="D2179" s="52">
        <v>0</v>
      </c>
      <c r="E2179" s="21"/>
      <c r="F2179" s="21"/>
    </row>
    <row r="2180" spans="1:6" x14ac:dyDescent="0.25">
      <c r="A2180" s="21" t="s">
        <v>2219</v>
      </c>
      <c r="B2180" s="21" t="s">
        <v>22</v>
      </c>
      <c r="C2180" s="21">
        <v>0</v>
      </c>
      <c r="D2180" s="52">
        <v>0</v>
      </c>
      <c r="E2180" s="21"/>
      <c r="F2180" s="21"/>
    </row>
    <row r="2181" spans="1:6" x14ac:dyDescent="0.25">
      <c r="A2181" s="21" t="s">
        <v>2220</v>
      </c>
      <c r="B2181" s="21" t="s">
        <v>22</v>
      </c>
      <c r="C2181" s="21">
        <v>0</v>
      </c>
      <c r="D2181" s="52">
        <v>0</v>
      </c>
      <c r="E2181" s="21"/>
      <c r="F2181" s="21"/>
    </row>
    <row r="2182" spans="1:6" x14ac:dyDescent="0.25">
      <c r="A2182" s="21" t="s">
        <v>2221</v>
      </c>
      <c r="B2182" s="21" t="s">
        <v>22</v>
      </c>
      <c r="C2182" s="21">
        <v>20</v>
      </c>
      <c r="D2182" s="21">
        <v>400</v>
      </c>
      <c r="E2182" s="21">
        <v>20</v>
      </c>
      <c r="F2182" s="21"/>
    </row>
    <row r="2183" spans="1:6" x14ac:dyDescent="0.25">
      <c r="A2183" s="21" t="s">
        <v>2222</v>
      </c>
      <c r="B2183" s="21" t="s">
        <v>22</v>
      </c>
      <c r="C2183" s="21">
        <v>0</v>
      </c>
      <c r="D2183" s="52">
        <v>0</v>
      </c>
      <c r="E2183" s="21"/>
      <c r="F2183" s="21"/>
    </row>
    <row r="2184" spans="1:6" x14ac:dyDescent="0.25">
      <c r="A2184" s="21" t="s">
        <v>2223</v>
      </c>
      <c r="B2184" s="21" t="s">
        <v>22</v>
      </c>
      <c r="C2184" s="21">
        <v>15</v>
      </c>
      <c r="D2184" s="21">
        <v>300</v>
      </c>
      <c r="E2184" s="21">
        <v>20</v>
      </c>
      <c r="F2184" s="21"/>
    </row>
    <row r="2185" spans="1:6" x14ac:dyDescent="0.25">
      <c r="A2185" s="21" t="s">
        <v>2224</v>
      </c>
      <c r="B2185" s="21" t="s">
        <v>22</v>
      </c>
      <c r="C2185" s="21">
        <v>15</v>
      </c>
      <c r="D2185" s="21">
        <v>300</v>
      </c>
      <c r="E2185" s="21">
        <v>20</v>
      </c>
      <c r="F2185" s="21"/>
    </row>
    <row r="2186" spans="1:6" x14ac:dyDescent="0.25">
      <c r="A2186" s="21" t="s">
        <v>2225</v>
      </c>
      <c r="B2186" s="21" t="s">
        <v>22</v>
      </c>
      <c r="C2186" s="21">
        <v>9</v>
      </c>
      <c r="D2186" s="21">
        <v>162</v>
      </c>
      <c r="E2186" s="21">
        <v>18</v>
      </c>
      <c r="F2186" s="21"/>
    </row>
    <row r="2187" spans="1:6" x14ac:dyDescent="0.25">
      <c r="A2187" s="21" t="s">
        <v>2226</v>
      </c>
      <c r="B2187" s="21" t="s">
        <v>22</v>
      </c>
      <c r="C2187" s="21">
        <v>10</v>
      </c>
      <c r="D2187" s="21">
        <v>160</v>
      </c>
      <c r="E2187" s="21">
        <v>16</v>
      </c>
      <c r="F2187" s="21"/>
    </row>
    <row r="2188" spans="1:6" x14ac:dyDescent="0.25">
      <c r="A2188" s="21" t="s">
        <v>2227</v>
      </c>
      <c r="B2188" s="21" t="s">
        <v>22</v>
      </c>
      <c r="C2188" s="21">
        <v>6</v>
      </c>
      <c r="D2188" s="21">
        <v>108</v>
      </c>
      <c r="E2188" s="21">
        <v>18</v>
      </c>
      <c r="F2188" s="21"/>
    </row>
    <row r="2189" spans="1:6" x14ac:dyDescent="0.25">
      <c r="A2189" s="21" t="s">
        <v>2228</v>
      </c>
      <c r="B2189" s="21" t="s">
        <v>22</v>
      </c>
      <c r="C2189" s="21">
        <v>50</v>
      </c>
      <c r="D2189" s="21">
        <v>1200</v>
      </c>
      <c r="E2189" s="21">
        <v>24</v>
      </c>
      <c r="F2189" s="21"/>
    </row>
    <row r="2190" spans="1:6" x14ac:dyDescent="0.25">
      <c r="A2190" s="21" t="s">
        <v>2229</v>
      </c>
      <c r="B2190" s="21" t="s">
        <v>22</v>
      </c>
      <c r="C2190" s="21">
        <v>50</v>
      </c>
      <c r="D2190" s="21">
        <v>2400</v>
      </c>
      <c r="E2190" s="21">
        <v>48</v>
      </c>
      <c r="F2190" s="21"/>
    </row>
    <row r="2191" spans="1:6" x14ac:dyDescent="0.25">
      <c r="A2191" s="21" t="s">
        <v>2230</v>
      </c>
      <c r="B2191" s="21" t="s">
        <v>22</v>
      </c>
      <c r="C2191" s="21">
        <v>100</v>
      </c>
      <c r="D2191" s="21">
        <v>4500</v>
      </c>
      <c r="E2191" s="21">
        <v>45</v>
      </c>
      <c r="F2191" s="21"/>
    </row>
    <row r="2192" spans="1:6" x14ac:dyDescent="0.25">
      <c r="A2192" s="21" t="s">
        <v>2231</v>
      </c>
      <c r="B2192" s="21" t="s">
        <v>2232</v>
      </c>
      <c r="C2192" s="21">
        <v>0</v>
      </c>
      <c r="D2192" s="52">
        <v>0</v>
      </c>
      <c r="E2192" s="21"/>
      <c r="F2192" s="21"/>
    </row>
    <row r="2193" spans="1:6" x14ac:dyDescent="0.25">
      <c r="A2193" s="21" t="s">
        <v>2233</v>
      </c>
      <c r="B2193" s="21" t="s">
        <v>2232</v>
      </c>
      <c r="C2193" s="21">
        <v>0</v>
      </c>
      <c r="D2193" s="52">
        <v>0</v>
      </c>
      <c r="E2193" s="21"/>
      <c r="F2193" s="21"/>
    </row>
    <row r="2194" spans="1:6" x14ac:dyDescent="0.25">
      <c r="A2194" s="21" t="s">
        <v>2234</v>
      </c>
      <c r="B2194" s="21" t="s">
        <v>2232</v>
      </c>
      <c r="C2194" s="21">
        <v>0</v>
      </c>
      <c r="D2194" s="52">
        <v>0</v>
      </c>
      <c r="E2194" s="21"/>
      <c r="F2194" s="21"/>
    </row>
    <row r="2195" spans="1:6" x14ac:dyDescent="0.25">
      <c r="A2195" s="21" t="s">
        <v>2235</v>
      </c>
      <c r="B2195" s="21" t="s">
        <v>2232</v>
      </c>
      <c r="C2195" s="21">
        <v>0</v>
      </c>
      <c r="D2195" s="52">
        <v>0</v>
      </c>
      <c r="E2195" s="21"/>
      <c r="F2195" s="21"/>
    </row>
    <row r="2196" spans="1:6" x14ac:dyDescent="0.25">
      <c r="A2196" s="21" t="s">
        <v>2236</v>
      </c>
      <c r="B2196" s="21" t="s">
        <v>2232</v>
      </c>
      <c r="C2196" s="21">
        <v>0</v>
      </c>
      <c r="D2196" s="52">
        <v>0</v>
      </c>
      <c r="E2196" s="21"/>
      <c r="F2196" s="21"/>
    </row>
    <row r="2197" spans="1:6" x14ac:dyDescent="0.25">
      <c r="A2197" s="21" t="s">
        <v>2237</v>
      </c>
      <c r="B2197" s="21" t="s">
        <v>2232</v>
      </c>
      <c r="C2197" s="21">
        <v>0</v>
      </c>
      <c r="D2197" s="52">
        <v>0</v>
      </c>
      <c r="E2197" s="21"/>
      <c r="F2197" s="21"/>
    </row>
    <row r="2198" spans="1:6" x14ac:dyDescent="0.25">
      <c r="A2198" s="21" t="s">
        <v>2238</v>
      </c>
      <c r="B2198" s="21" t="s">
        <v>2232</v>
      </c>
      <c r="C2198" s="21">
        <v>0</v>
      </c>
      <c r="D2198" s="52">
        <v>0</v>
      </c>
      <c r="E2198" s="21"/>
      <c r="F2198" s="21"/>
    </row>
    <row r="2199" spans="1:6" x14ac:dyDescent="0.25">
      <c r="A2199" s="21" t="s">
        <v>2239</v>
      </c>
      <c r="B2199" s="21" t="s">
        <v>2232</v>
      </c>
      <c r="C2199" s="21">
        <v>0</v>
      </c>
      <c r="D2199" s="52">
        <v>0</v>
      </c>
      <c r="E2199" s="21"/>
      <c r="F2199" s="21"/>
    </row>
    <row r="2200" spans="1:6" x14ac:dyDescent="0.25">
      <c r="A2200" s="21" t="s">
        <v>2240</v>
      </c>
      <c r="B2200" s="21" t="s">
        <v>2232</v>
      </c>
      <c r="C2200" s="21">
        <v>0</v>
      </c>
      <c r="D2200" s="52">
        <v>0</v>
      </c>
      <c r="E2200" s="21"/>
      <c r="F2200" s="21"/>
    </row>
    <row r="2201" spans="1:6" x14ac:dyDescent="0.25">
      <c r="A2201" s="21" t="s">
        <v>2241</v>
      </c>
      <c r="B2201" s="21" t="s">
        <v>22</v>
      </c>
      <c r="C2201" s="21">
        <v>50</v>
      </c>
      <c r="D2201" s="21">
        <v>1600</v>
      </c>
      <c r="E2201" s="21">
        <v>32</v>
      </c>
      <c r="F2201" s="21"/>
    </row>
    <row r="2202" spans="1:6" x14ac:dyDescent="0.25">
      <c r="A2202" s="21" t="s">
        <v>2242</v>
      </c>
      <c r="B2202" s="21" t="s">
        <v>22</v>
      </c>
      <c r="C2202" s="21">
        <v>25</v>
      </c>
      <c r="D2202" s="21">
        <v>875</v>
      </c>
      <c r="E2202" s="21">
        <v>35</v>
      </c>
      <c r="F2202" s="21"/>
    </row>
    <row r="2203" spans="1:6" x14ac:dyDescent="0.25">
      <c r="A2203" s="21" t="s">
        <v>2243</v>
      </c>
      <c r="B2203" s="21" t="s">
        <v>22</v>
      </c>
      <c r="C2203" s="21">
        <v>25</v>
      </c>
      <c r="D2203" s="21">
        <v>875</v>
      </c>
      <c r="E2203" s="21">
        <v>35</v>
      </c>
      <c r="F2203" s="21"/>
    </row>
    <row r="2204" spans="1:6" x14ac:dyDescent="0.25">
      <c r="A2204" s="21" t="s">
        <v>2244</v>
      </c>
      <c r="B2204" s="21" t="s">
        <v>22</v>
      </c>
      <c r="C2204" s="21">
        <v>25</v>
      </c>
      <c r="D2204" s="21">
        <v>1200</v>
      </c>
      <c r="E2204" s="21">
        <v>48</v>
      </c>
      <c r="F2204" s="21"/>
    </row>
    <row r="2205" spans="1:6" x14ac:dyDescent="0.25">
      <c r="A2205" s="21" t="s">
        <v>2245</v>
      </c>
      <c r="B2205" s="21" t="s">
        <v>22</v>
      </c>
      <c r="C2205" s="21">
        <v>25</v>
      </c>
      <c r="D2205" s="21">
        <v>1200</v>
      </c>
      <c r="E2205" s="21">
        <v>48</v>
      </c>
      <c r="F2205" s="21"/>
    </row>
    <row r="2206" spans="1:6" x14ac:dyDescent="0.25">
      <c r="A2206" s="21" t="s">
        <v>2246</v>
      </c>
      <c r="B2206" s="21" t="s">
        <v>22</v>
      </c>
      <c r="C2206" s="21">
        <v>0</v>
      </c>
      <c r="D2206" s="52">
        <v>0</v>
      </c>
      <c r="E2206" s="21"/>
      <c r="F2206" s="21"/>
    </row>
    <row r="2207" spans="1:6" x14ac:dyDescent="0.25">
      <c r="A2207" s="21" t="s">
        <v>2247</v>
      </c>
      <c r="B2207" s="21" t="s">
        <v>22</v>
      </c>
      <c r="C2207" s="21">
        <v>0</v>
      </c>
      <c r="D2207" s="52">
        <v>0</v>
      </c>
      <c r="E2207" s="21"/>
      <c r="F2207" s="21"/>
    </row>
    <row r="2208" spans="1:6" x14ac:dyDescent="0.25">
      <c r="A2208" s="21" t="s">
        <v>2248</v>
      </c>
      <c r="B2208" s="21" t="s">
        <v>22</v>
      </c>
      <c r="C2208" s="21">
        <v>1000</v>
      </c>
      <c r="D2208" s="21">
        <v>18000</v>
      </c>
      <c r="E2208" s="21">
        <v>18</v>
      </c>
      <c r="F2208" s="21"/>
    </row>
    <row r="2209" spans="1:6" x14ac:dyDescent="0.25">
      <c r="A2209" s="21" t="s">
        <v>2249</v>
      </c>
      <c r="B2209" s="21" t="s">
        <v>22</v>
      </c>
      <c r="C2209" s="21">
        <v>0</v>
      </c>
      <c r="D2209" s="52">
        <v>0</v>
      </c>
      <c r="E2209" s="21"/>
      <c r="F2209" s="21"/>
    </row>
    <row r="2210" spans="1:6" x14ac:dyDescent="0.25">
      <c r="A2210" s="21" t="s">
        <v>2250</v>
      </c>
      <c r="B2210" s="21" t="s">
        <v>22</v>
      </c>
      <c r="C2210" s="21">
        <v>60</v>
      </c>
      <c r="D2210" s="21">
        <v>1440</v>
      </c>
      <c r="E2210" s="21">
        <v>24</v>
      </c>
      <c r="F2210" s="21"/>
    </row>
    <row r="2211" spans="1:6" x14ac:dyDescent="0.25">
      <c r="A2211" s="21" t="s">
        <v>2251</v>
      </c>
      <c r="B2211" s="21" t="s">
        <v>22</v>
      </c>
      <c r="C2211" s="21">
        <v>60</v>
      </c>
      <c r="D2211" s="21">
        <v>1080</v>
      </c>
      <c r="E2211" s="21">
        <v>18</v>
      </c>
      <c r="F2211" s="21"/>
    </row>
    <row r="2212" spans="1:6" x14ac:dyDescent="0.25">
      <c r="A2212" s="21" t="s">
        <v>2252</v>
      </c>
      <c r="B2212" s="21" t="s">
        <v>22</v>
      </c>
      <c r="C2212" s="21">
        <v>30</v>
      </c>
      <c r="D2212" s="52">
        <v>0</v>
      </c>
      <c r="E2212" s="21"/>
      <c r="F2212" s="21"/>
    </row>
    <row r="2213" spans="1:6" x14ac:dyDescent="0.25">
      <c r="A2213" s="21" t="s">
        <v>2253</v>
      </c>
      <c r="B2213" s="21" t="s">
        <v>22</v>
      </c>
      <c r="C2213" s="21">
        <v>30</v>
      </c>
      <c r="D2213" s="52">
        <v>0</v>
      </c>
      <c r="E2213" s="21"/>
      <c r="F2213" s="21"/>
    </row>
    <row r="2214" spans="1:6" x14ac:dyDescent="0.25">
      <c r="A2214" s="21" t="s">
        <v>2254</v>
      </c>
      <c r="B2214" s="21" t="s">
        <v>22</v>
      </c>
      <c r="C2214" s="21">
        <v>30</v>
      </c>
      <c r="D2214" s="52">
        <v>0</v>
      </c>
      <c r="E2214" s="21"/>
      <c r="F2214" s="21"/>
    </row>
    <row r="2215" spans="1:6" x14ac:dyDescent="0.25">
      <c r="A2215" s="21" t="s">
        <v>2255</v>
      </c>
      <c r="B2215" s="21" t="s">
        <v>22</v>
      </c>
      <c r="C2215" s="21">
        <v>600</v>
      </c>
      <c r="D2215" s="21">
        <v>18000</v>
      </c>
      <c r="E2215" s="21">
        <v>30</v>
      </c>
      <c r="F2215" s="21"/>
    </row>
    <row r="2216" spans="1:6" x14ac:dyDescent="0.25">
      <c r="A2216" s="21" t="s">
        <v>2256</v>
      </c>
      <c r="B2216" s="21" t="s">
        <v>22</v>
      </c>
      <c r="C2216" s="21">
        <v>600</v>
      </c>
      <c r="D2216" s="21">
        <v>18000</v>
      </c>
      <c r="E2216" s="21">
        <v>30</v>
      </c>
      <c r="F2216" s="21"/>
    </row>
    <row r="2217" spans="1:6" x14ac:dyDescent="0.25">
      <c r="A2217" s="21" t="s">
        <v>2257</v>
      </c>
      <c r="B2217" s="21" t="s">
        <v>22</v>
      </c>
      <c r="C2217" s="21">
        <v>600</v>
      </c>
      <c r="D2217" s="21">
        <v>18000</v>
      </c>
      <c r="E2217" s="21">
        <v>30</v>
      </c>
      <c r="F2217" s="21"/>
    </row>
    <row r="2218" spans="1:6" x14ac:dyDescent="0.25">
      <c r="A2218" s="21" t="s">
        <v>2258</v>
      </c>
      <c r="B2218" s="21" t="s">
        <v>22</v>
      </c>
      <c r="C2218" s="21">
        <v>600</v>
      </c>
      <c r="D2218" s="21">
        <v>18000</v>
      </c>
      <c r="E2218" s="21">
        <v>30</v>
      </c>
      <c r="F2218" s="21"/>
    </row>
    <row r="2219" spans="1:6" x14ac:dyDescent="0.25">
      <c r="A2219" s="21" t="s">
        <v>2259</v>
      </c>
      <c r="B2219" s="21" t="s">
        <v>454</v>
      </c>
      <c r="C2219" s="21">
        <v>0</v>
      </c>
      <c r="D2219" s="52">
        <v>0</v>
      </c>
      <c r="E2219" s="21"/>
      <c r="F2219" s="21"/>
    </row>
    <row r="2220" spans="1:6" x14ac:dyDescent="0.25">
      <c r="A2220" s="21" t="s">
        <v>2260</v>
      </c>
      <c r="B2220" s="21" t="s">
        <v>454</v>
      </c>
      <c r="C2220" s="21">
        <v>0</v>
      </c>
      <c r="D2220" s="52">
        <v>0</v>
      </c>
      <c r="E2220" s="21"/>
      <c r="F2220" s="21"/>
    </row>
    <row r="2221" spans="1:6" x14ac:dyDescent="0.25">
      <c r="A2221" s="21" t="s">
        <v>2261</v>
      </c>
      <c r="B2221" s="21" t="s">
        <v>454</v>
      </c>
      <c r="C2221" s="21">
        <v>0</v>
      </c>
      <c r="D2221" s="52">
        <v>0</v>
      </c>
      <c r="E2221" s="21"/>
      <c r="F2221" s="21"/>
    </row>
    <row r="2222" spans="1:6" x14ac:dyDescent="0.25">
      <c r="A2222" s="21" t="s">
        <v>2262</v>
      </c>
      <c r="B2222" s="21" t="s">
        <v>454</v>
      </c>
      <c r="C2222" s="21">
        <v>0</v>
      </c>
      <c r="D2222" s="52">
        <v>0</v>
      </c>
      <c r="E2222" s="21"/>
      <c r="F2222" s="21"/>
    </row>
    <row r="2223" spans="1:6" x14ac:dyDescent="0.25">
      <c r="A2223" s="21" t="s">
        <v>2263</v>
      </c>
      <c r="B2223" s="21" t="s">
        <v>454</v>
      </c>
      <c r="C2223" s="21">
        <v>0</v>
      </c>
      <c r="D2223" s="52">
        <v>0</v>
      </c>
      <c r="E2223" s="21"/>
      <c r="F2223" s="21"/>
    </row>
    <row r="2224" spans="1:6" x14ac:dyDescent="0.25">
      <c r="A2224" s="21" t="s">
        <v>2264</v>
      </c>
      <c r="B2224" s="21" t="s">
        <v>454</v>
      </c>
      <c r="C2224" s="21">
        <v>0</v>
      </c>
      <c r="D2224" s="52">
        <v>0</v>
      </c>
      <c r="E2224" s="21"/>
      <c r="F2224" s="21"/>
    </row>
    <row r="2225" spans="1:6" x14ac:dyDescent="0.25">
      <c r="A2225" s="21" t="s">
        <v>2265</v>
      </c>
      <c r="B2225" s="21" t="s">
        <v>454</v>
      </c>
      <c r="C2225" s="21">
        <v>0</v>
      </c>
      <c r="D2225" s="52">
        <v>0</v>
      </c>
      <c r="E2225" s="21"/>
      <c r="F2225" s="21"/>
    </row>
    <row r="2226" spans="1:6" x14ac:dyDescent="0.25">
      <c r="A2226" s="21" t="s">
        <v>2266</v>
      </c>
      <c r="B2226" s="21" t="s">
        <v>454</v>
      </c>
      <c r="C2226" s="21">
        <v>0</v>
      </c>
      <c r="D2226" s="52">
        <v>0</v>
      </c>
      <c r="E2226" s="21"/>
      <c r="F2226" s="21"/>
    </row>
    <row r="2227" spans="1:6" x14ac:dyDescent="0.25">
      <c r="A2227" s="21" t="s">
        <v>2267</v>
      </c>
      <c r="B2227" s="21" t="s">
        <v>454</v>
      </c>
      <c r="C2227" s="21">
        <v>0</v>
      </c>
      <c r="D2227" s="52">
        <v>0</v>
      </c>
      <c r="E2227" s="21"/>
      <c r="F2227" s="21"/>
    </row>
    <row r="2228" spans="1:6" x14ac:dyDescent="0.25">
      <c r="A2228" s="21" t="s">
        <v>2268</v>
      </c>
      <c r="B2228" s="21" t="s">
        <v>454</v>
      </c>
      <c r="C2228" s="21">
        <v>0</v>
      </c>
      <c r="D2228" s="52">
        <v>0</v>
      </c>
      <c r="E2228" s="21"/>
      <c r="F2228" s="21"/>
    </row>
    <row r="2229" spans="1:6" x14ac:dyDescent="0.25">
      <c r="A2229" s="21" t="s">
        <v>2269</v>
      </c>
      <c r="B2229" s="21" t="s">
        <v>454</v>
      </c>
      <c r="C2229" s="21">
        <v>0</v>
      </c>
      <c r="D2229" s="52">
        <v>0</v>
      </c>
      <c r="E2229" s="21"/>
      <c r="F2229" s="21"/>
    </row>
    <row r="2230" spans="1:6" x14ac:dyDescent="0.25">
      <c r="A2230" s="21" t="s">
        <v>2270</v>
      </c>
      <c r="B2230" s="21" t="s">
        <v>454</v>
      </c>
      <c r="C2230" s="21">
        <v>0</v>
      </c>
      <c r="D2230" s="52">
        <v>0</v>
      </c>
      <c r="E2230" s="21"/>
      <c r="F2230" s="21"/>
    </row>
    <row r="2231" spans="1:6" x14ac:dyDescent="0.25">
      <c r="A2231" s="21" t="s">
        <v>2271</v>
      </c>
      <c r="B2231" s="21" t="s">
        <v>454</v>
      </c>
      <c r="C2231" s="21">
        <v>0</v>
      </c>
      <c r="D2231" s="52">
        <v>0</v>
      </c>
      <c r="E2231" s="21"/>
      <c r="F2231" s="21"/>
    </row>
    <row r="2232" spans="1:6" x14ac:dyDescent="0.25">
      <c r="A2232" s="21" t="s">
        <v>2272</v>
      </c>
      <c r="B2232" s="21" t="s">
        <v>454</v>
      </c>
      <c r="C2232" s="21">
        <v>0</v>
      </c>
      <c r="D2232" s="52">
        <v>0</v>
      </c>
      <c r="E2232" s="21"/>
      <c r="F2232" s="21"/>
    </row>
    <row r="2233" spans="1:6" x14ac:dyDescent="0.25">
      <c r="A2233" s="21" t="s">
        <v>2273</v>
      </c>
      <c r="B2233" s="21" t="s">
        <v>22</v>
      </c>
      <c r="C2233" s="21">
        <v>0</v>
      </c>
      <c r="D2233" s="52">
        <v>0</v>
      </c>
      <c r="E2233" s="21"/>
      <c r="F2233" s="21"/>
    </row>
    <row r="2234" spans="1:6" x14ac:dyDescent="0.25">
      <c r="A2234" s="21" t="s">
        <v>2274</v>
      </c>
      <c r="B2234" s="21" t="s">
        <v>22</v>
      </c>
      <c r="C2234" s="21">
        <v>0</v>
      </c>
      <c r="D2234" s="52">
        <v>0</v>
      </c>
      <c r="E2234" s="21"/>
      <c r="F2234" s="21"/>
    </row>
    <row r="2235" spans="1:6" x14ac:dyDescent="0.25">
      <c r="A2235" s="21" t="s">
        <v>2275</v>
      </c>
      <c r="B2235" s="21" t="s">
        <v>22</v>
      </c>
      <c r="C2235" s="21">
        <v>0</v>
      </c>
      <c r="D2235" s="52">
        <v>0</v>
      </c>
      <c r="E2235" s="21"/>
      <c r="F2235" s="21"/>
    </row>
    <row r="2236" spans="1:6" x14ac:dyDescent="0.25">
      <c r="A2236" s="21" t="s">
        <v>2276</v>
      </c>
      <c r="B2236" s="21" t="s">
        <v>595</v>
      </c>
      <c r="C2236" s="21">
        <v>100</v>
      </c>
      <c r="D2236" s="21">
        <v>2000</v>
      </c>
      <c r="E2236" s="21">
        <v>20</v>
      </c>
      <c r="F2236" s="21"/>
    </row>
    <row r="2237" spans="1:6" x14ac:dyDescent="0.25">
      <c r="A2237" s="21" t="s">
        <v>2277</v>
      </c>
      <c r="B2237" s="21" t="s">
        <v>595</v>
      </c>
      <c r="C2237" s="21">
        <v>66</v>
      </c>
      <c r="D2237" s="21">
        <v>3960</v>
      </c>
      <c r="E2237" s="21">
        <v>60</v>
      </c>
      <c r="F2237" s="21"/>
    </row>
    <row r="2238" spans="1:6" x14ac:dyDescent="0.25">
      <c r="A2238" s="21" t="s">
        <v>2278</v>
      </c>
      <c r="B2238" s="21" t="s">
        <v>595</v>
      </c>
      <c r="C2238" s="21">
        <v>100</v>
      </c>
      <c r="D2238" s="21">
        <v>6000</v>
      </c>
      <c r="E2238" s="21">
        <v>60</v>
      </c>
      <c r="F2238" s="21"/>
    </row>
    <row r="2239" spans="1:6" x14ac:dyDescent="0.25">
      <c r="A2239" s="21" t="s">
        <v>2279</v>
      </c>
      <c r="B2239" s="21" t="s">
        <v>595</v>
      </c>
      <c r="C2239" s="21">
        <v>600</v>
      </c>
      <c r="D2239" s="21">
        <v>18000</v>
      </c>
      <c r="E2239" s="21">
        <v>30</v>
      </c>
      <c r="F2239" s="21"/>
    </row>
    <row r="2240" spans="1:6" x14ac:dyDescent="0.25">
      <c r="A2240" s="21" t="s">
        <v>2280</v>
      </c>
      <c r="B2240" s="21" t="s">
        <v>22</v>
      </c>
      <c r="C2240" s="21">
        <v>600</v>
      </c>
      <c r="D2240" s="21">
        <v>14400</v>
      </c>
      <c r="E2240" s="21">
        <v>24</v>
      </c>
      <c r="F2240" s="21"/>
    </row>
    <row r="2241" spans="1:6" x14ac:dyDescent="0.25">
      <c r="A2241" s="21" t="s">
        <v>2281</v>
      </c>
      <c r="B2241" s="21" t="s">
        <v>22</v>
      </c>
      <c r="C2241" s="21">
        <v>600</v>
      </c>
      <c r="D2241" s="21">
        <v>14400</v>
      </c>
      <c r="E2241" s="21">
        <v>24</v>
      </c>
      <c r="F2241" s="21"/>
    </row>
    <row r="2242" spans="1:6" x14ac:dyDescent="0.25">
      <c r="A2242" s="21" t="s">
        <v>2282</v>
      </c>
      <c r="B2242" s="21" t="s">
        <v>22</v>
      </c>
      <c r="C2242" s="21">
        <v>600</v>
      </c>
      <c r="D2242" s="21">
        <v>14400</v>
      </c>
      <c r="E2242" s="21">
        <v>24</v>
      </c>
      <c r="F2242" s="21"/>
    </row>
    <row r="2243" spans="1:6" x14ac:dyDescent="0.25">
      <c r="A2243" s="21" t="s">
        <v>2283</v>
      </c>
      <c r="B2243" s="21" t="s">
        <v>595</v>
      </c>
      <c r="C2243" s="21">
        <v>66</v>
      </c>
      <c r="D2243" s="21">
        <v>1782</v>
      </c>
      <c r="E2243" s="21">
        <v>27</v>
      </c>
      <c r="F2243" s="21"/>
    </row>
    <row r="2244" spans="1:6" x14ac:dyDescent="0.25">
      <c r="A2244" s="21" t="s">
        <v>2284</v>
      </c>
      <c r="B2244" s="21" t="s">
        <v>595</v>
      </c>
      <c r="C2244" s="21">
        <v>100</v>
      </c>
      <c r="D2244" s="21">
        <v>1800</v>
      </c>
      <c r="E2244" s="21">
        <v>18</v>
      </c>
      <c r="F2244" s="21"/>
    </row>
    <row r="2245" spans="1:6" x14ac:dyDescent="0.25">
      <c r="A2245" s="21" t="s">
        <v>2285</v>
      </c>
      <c r="B2245" s="21" t="s">
        <v>22</v>
      </c>
      <c r="C2245" s="21">
        <v>0</v>
      </c>
      <c r="D2245" s="52">
        <v>0</v>
      </c>
      <c r="E2245" s="21"/>
      <c r="F2245" s="21"/>
    </row>
    <row r="2246" spans="1:6" x14ac:dyDescent="0.25">
      <c r="A2246" s="21" t="s">
        <v>2286</v>
      </c>
      <c r="B2246" s="21" t="s">
        <v>22</v>
      </c>
      <c r="C2246" s="21">
        <v>80</v>
      </c>
      <c r="D2246" s="21">
        <v>3200</v>
      </c>
      <c r="E2246" s="21">
        <v>40</v>
      </c>
      <c r="F2246" s="21"/>
    </row>
    <row r="2247" spans="1:6" x14ac:dyDescent="0.25">
      <c r="A2247" s="21" t="s">
        <v>2287</v>
      </c>
      <c r="B2247" s="21" t="s">
        <v>595</v>
      </c>
      <c r="C2247" s="21">
        <v>200</v>
      </c>
      <c r="D2247" s="21">
        <v>2000</v>
      </c>
      <c r="E2247" s="21">
        <v>10</v>
      </c>
      <c r="F2247" s="21"/>
    </row>
    <row r="2248" spans="1:6" x14ac:dyDescent="0.25">
      <c r="A2248" s="21" t="s">
        <v>2288</v>
      </c>
      <c r="B2248" s="21" t="s">
        <v>595</v>
      </c>
      <c r="C2248" s="21">
        <v>20</v>
      </c>
      <c r="D2248" s="21">
        <v>360</v>
      </c>
      <c r="E2248" s="21">
        <v>18</v>
      </c>
      <c r="F2248" s="21"/>
    </row>
    <row r="2249" spans="1:6" x14ac:dyDescent="0.25">
      <c r="A2249" s="21" t="s">
        <v>2289</v>
      </c>
      <c r="B2249" s="21" t="s">
        <v>595</v>
      </c>
      <c r="C2249" s="21">
        <v>20</v>
      </c>
      <c r="D2249" s="21">
        <v>360</v>
      </c>
      <c r="E2249" s="21">
        <v>18</v>
      </c>
      <c r="F2249" s="21"/>
    </row>
    <row r="2250" spans="1:6" x14ac:dyDescent="0.25">
      <c r="A2250" s="21" t="s">
        <v>2290</v>
      </c>
      <c r="B2250" s="21" t="s">
        <v>595</v>
      </c>
      <c r="C2250" s="21">
        <v>10</v>
      </c>
      <c r="D2250" s="21">
        <v>120</v>
      </c>
      <c r="E2250" s="21">
        <v>12</v>
      </c>
      <c r="F2250" s="21"/>
    </row>
    <row r="2251" spans="1:6" x14ac:dyDescent="0.25">
      <c r="A2251" s="21" t="s">
        <v>2291</v>
      </c>
      <c r="B2251" s="21" t="s">
        <v>22</v>
      </c>
      <c r="C2251" s="21">
        <v>600</v>
      </c>
      <c r="D2251" s="52">
        <v>0</v>
      </c>
      <c r="E2251" s="21"/>
      <c r="F2251" s="21"/>
    </row>
    <row r="2252" spans="1:6" x14ac:dyDescent="0.25">
      <c r="A2252" s="21" t="s">
        <v>2292</v>
      </c>
      <c r="B2252" s="21" t="s">
        <v>22</v>
      </c>
      <c r="C2252" s="21">
        <v>200</v>
      </c>
      <c r="D2252" s="21">
        <v>11200</v>
      </c>
      <c r="E2252" s="21">
        <v>56</v>
      </c>
      <c r="F2252" s="21"/>
    </row>
    <row r="2253" spans="1:6" x14ac:dyDescent="0.25">
      <c r="A2253" s="21" t="s">
        <v>2293</v>
      </c>
      <c r="B2253" s="21" t="s">
        <v>22</v>
      </c>
      <c r="C2253" s="21">
        <v>200</v>
      </c>
      <c r="D2253" s="21">
        <v>19200</v>
      </c>
      <c r="E2253" s="21">
        <v>96</v>
      </c>
      <c r="F2253" s="21"/>
    </row>
    <row r="2254" spans="1:6" x14ac:dyDescent="0.25">
      <c r="A2254" s="21" t="s">
        <v>2294</v>
      </c>
      <c r="B2254" s="21" t="s">
        <v>22</v>
      </c>
      <c r="C2254" s="21">
        <v>200</v>
      </c>
      <c r="D2254" s="21">
        <v>11200</v>
      </c>
      <c r="E2254" s="21">
        <v>56</v>
      </c>
      <c r="F2254" s="21"/>
    </row>
    <row r="2255" spans="1:6" x14ac:dyDescent="0.25">
      <c r="A2255" s="21" t="s">
        <v>2295</v>
      </c>
      <c r="B2255" s="21" t="s">
        <v>22</v>
      </c>
      <c r="C2255" s="21">
        <v>200</v>
      </c>
      <c r="D2255" s="21">
        <v>19200</v>
      </c>
      <c r="E2255" s="21">
        <v>96</v>
      </c>
      <c r="F2255" s="21"/>
    </row>
    <row r="2256" spans="1:6" x14ac:dyDescent="0.25">
      <c r="A2256" s="21" t="s">
        <v>2296</v>
      </c>
      <c r="B2256" s="21" t="s">
        <v>22</v>
      </c>
      <c r="C2256" s="21">
        <v>200</v>
      </c>
      <c r="D2256" s="21">
        <v>11200</v>
      </c>
      <c r="E2256" s="21">
        <v>56</v>
      </c>
      <c r="F2256" s="21"/>
    </row>
    <row r="2257" spans="1:6" x14ac:dyDescent="0.25">
      <c r="A2257" s="21" t="s">
        <v>2297</v>
      </c>
      <c r="B2257" s="21" t="s">
        <v>22</v>
      </c>
      <c r="C2257" s="21">
        <v>0</v>
      </c>
      <c r="D2257" s="52">
        <v>0</v>
      </c>
      <c r="E2257" s="21"/>
      <c r="F2257" s="21"/>
    </row>
    <row r="2258" spans="1:6" x14ac:dyDescent="0.25">
      <c r="A2258" s="21" t="s">
        <v>2298</v>
      </c>
      <c r="B2258" s="21" t="s">
        <v>22</v>
      </c>
      <c r="C2258" s="21">
        <v>40</v>
      </c>
      <c r="D2258" s="21">
        <v>1600</v>
      </c>
      <c r="E2258" s="21">
        <v>40</v>
      </c>
      <c r="F2258" s="21"/>
    </row>
    <row r="2259" spans="1:6" x14ac:dyDescent="0.25">
      <c r="A2259" s="21" t="s">
        <v>2299</v>
      </c>
      <c r="B2259" s="21" t="s">
        <v>22</v>
      </c>
      <c r="C2259" s="21">
        <v>40</v>
      </c>
      <c r="D2259" s="21">
        <v>1600</v>
      </c>
      <c r="E2259" s="21">
        <v>40</v>
      </c>
      <c r="F2259" s="21"/>
    </row>
    <row r="2260" spans="1:6" x14ac:dyDescent="0.25">
      <c r="A2260" s="21" t="s">
        <v>2300</v>
      </c>
      <c r="B2260" s="21" t="s">
        <v>22</v>
      </c>
      <c r="C2260" s="21">
        <v>0</v>
      </c>
      <c r="D2260" s="52">
        <v>0</v>
      </c>
      <c r="E2260" s="21"/>
      <c r="F2260" s="21"/>
    </row>
    <row r="2261" spans="1:6" x14ac:dyDescent="0.25">
      <c r="A2261" s="21" t="s">
        <v>2301</v>
      </c>
      <c r="B2261" s="21" t="s">
        <v>22</v>
      </c>
      <c r="C2261" s="21">
        <v>100</v>
      </c>
      <c r="D2261" s="21">
        <v>3000</v>
      </c>
      <c r="E2261" s="21">
        <v>30</v>
      </c>
      <c r="F2261" s="21"/>
    </row>
    <row r="2262" spans="1:6" x14ac:dyDescent="0.25">
      <c r="A2262" s="21" t="s">
        <v>2302</v>
      </c>
      <c r="B2262" s="21" t="s">
        <v>22</v>
      </c>
      <c r="C2262" s="21">
        <v>100</v>
      </c>
      <c r="D2262" s="21">
        <v>2400</v>
      </c>
      <c r="E2262" s="21">
        <v>24</v>
      </c>
      <c r="F2262" s="21"/>
    </row>
    <row r="2263" spans="1:6" x14ac:dyDescent="0.25">
      <c r="A2263" s="21" t="s">
        <v>54</v>
      </c>
      <c r="B2263" s="21" t="s">
        <v>22</v>
      </c>
      <c r="C2263" s="21">
        <v>60</v>
      </c>
      <c r="D2263" s="21">
        <v>2880</v>
      </c>
      <c r="E2263" s="21">
        <v>48</v>
      </c>
      <c r="F2263" s="21"/>
    </row>
    <row r="2264" spans="1:6" x14ac:dyDescent="0.25">
      <c r="A2264" s="21" t="s">
        <v>55</v>
      </c>
      <c r="B2264" s="21" t="s">
        <v>22</v>
      </c>
      <c r="C2264" s="21">
        <v>60</v>
      </c>
      <c r="D2264" s="21">
        <v>2880</v>
      </c>
      <c r="E2264" s="21">
        <v>48</v>
      </c>
      <c r="F2264" s="21"/>
    </row>
    <row r="2265" spans="1:6" x14ac:dyDescent="0.25">
      <c r="A2265" s="21" t="s">
        <v>2303</v>
      </c>
      <c r="B2265" s="21" t="s">
        <v>22</v>
      </c>
      <c r="C2265" s="21">
        <v>60</v>
      </c>
      <c r="D2265" s="21">
        <v>2880</v>
      </c>
      <c r="E2265" s="21">
        <v>48</v>
      </c>
      <c r="F2265" s="21"/>
    </row>
    <row r="2266" spans="1:6" x14ac:dyDescent="0.25">
      <c r="A2266" s="21" t="s">
        <v>56</v>
      </c>
      <c r="B2266" s="21" t="s">
        <v>22</v>
      </c>
      <c r="C2266" s="21">
        <v>60</v>
      </c>
      <c r="D2266" s="21">
        <v>2880</v>
      </c>
      <c r="E2266" s="21">
        <v>48</v>
      </c>
      <c r="F2266" s="21"/>
    </row>
    <row r="2267" spans="1:6" x14ac:dyDescent="0.25">
      <c r="A2267" s="21" t="s">
        <v>57</v>
      </c>
      <c r="B2267" s="21" t="s">
        <v>22</v>
      </c>
      <c r="C2267" s="21">
        <v>60</v>
      </c>
      <c r="D2267" s="21">
        <v>2880</v>
      </c>
      <c r="E2267" s="21">
        <v>48</v>
      </c>
      <c r="F2267" s="21"/>
    </row>
    <row r="2268" spans="1:6" x14ac:dyDescent="0.25">
      <c r="A2268" s="21" t="s">
        <v>2304</v>
      </c>
      <c r="B2268" s="21" t="s">
        <v>22</v>
      </c>
      <c r="C2268" s="21">
        <v>60</v>
      </c>
      <c r="D2268" s="21">
        <v>2880</v>
      </c>
      <c r="E2268" s="21">
        <v>48</v>
      </c>
      <c r="F2268" s="21"/>
    </row>
    <row r="2269" spans="1:6" x14ac:dyDescent="0.25">
      <c r="A2269" s="21" t="s">
        <v>2305</v>
      </c>
      <c r="B2269" s="21" t="s">
        <v>22</v>
      </c>
      <c r="C2269" s="21">
        <v>100</v>
      </c>
      <c r="D2269" s="21">
        <v>2400</v>
      </c>
      <c r="E2269" s="21">
        <v>24</v>
      </c>
      <c r="F2269" s="21"/>
    </row>
    <row r="2270" spans="1:6" x14ac:dyDescent="0.25">
      <c r="A2270" s="21" t="s">
        <v>2306</v>
      </c>
      <c r="B2270" s="21" t="s">
        <v>22</v>
      </c>
      <c r="C2270" s="21">
        <v>100</v>
      </c>
      <c r="D2270" s="21">
        <v>2400</v>
      </c>
      <c r="E2270" s="21">
        <v>24</v>
      </c>
      <c r="F2270" s="21"/>
    </row>
    <row r="2271" spans="1:6" x14ac:dyDescent="0.25">
      <c r="A2271" s="21" t="s">
        <v>2307</v>
      </c>
      <c r="B2271" s="21" t="s">
        <v>22</v>
      </c>
      <c r="C2271" s="21">
        <v>100</v>
      </c>
      <c r="D2271" s="21">
        <v>2400</v>
      </c>
      <c r="E2271" s="21">
        <v>24</v>
      </c>
      <c r="F2271" s="21"/>
    </row>
    <row r="2272" spans="1:6" x14ac:dyDescent="0.25">
      <c r="A2272" s="21" t="s">
        <v>2308</v>
      </c>
      <c r="B2272" s="21" t="s">
        <v>22</v>
      </c>
      <c r="C2272" s="21">
        <v>100</v>
      </c>
      <c r="D2272" s="21">
        <v>2400</v>
      </c>
      <c r="E2272" s="21">
        <v>24</v>
      </c>
      <c r="F2272" s="21"/>
    </row>
    <row r="2273" spans="1:6" x14ac:dyDescent="0.25">
      <c r="A2273" s="21" t="s">
        <v>2309</v>
      </c>
      <c r="B2273" s="21" t="s">
        <v>22</v>
      </c>
      <c r="C2273" s="21">
        <v>100</v>
      </c>
      <c r="D2273" s="21">
        <v>2400</v>
      </c>
      <c r="E2273" s="21">
        <v>24</v>
      </c>
      <c r="F2273" s="21"/>
    </row>
    <row r="2274" spans="1:6" x14ac:dyDescent="0.25">
      <c r="A2274" s="21" t="s">
        <v>2310</v>
      </c>
      <c r="B2274" s="21" t="s">
        <v>22</v>
      </c>
      <c r="C2274" s="21">
        <v>100</v>
      </c>
      <c r="D2274" s="21">
        <v>2400</v>
      </c>
      <c r="E2274" s="21">
        <v>24</v>
      </c>
      <c r="F2274" s="21"/>
    </row>
    <row r="2275" spans="1:6" x14ac:dyDescent="0.25">
      <c r="A2275" s="21" t="s">
        <v>2311</v>
      </c>
      <c r="B2275" s="21" t="s">
        <v>22</v>
      </c>
      <c r="C2275" s="21">
        <v>32</v>
      </c>
      <c r="D2275" s="21">
        <v>1280</v>
      </c>
      <c r="E2275" s="21">
        <v>40</v>
      </c>
      <c r="F2275" s="21"/>
    </row>
    <row r="2276" spans="1:6" x14ac:dyDescent="0.25">
      <c r="A2276" s="21" t="s">
        <v>2312</v>
      </c>
      <c r="B2276" s="21" t="s">
        <v>22</v>
      </c>
      <c r="C2276" s="21">
        <v>32</v>
      </c>
      <c r="D2276" s="21">
        <v>1280</v>
      </c>
      <c r="E2276" s="21">
        <v>40</v>
      </c>
      <c r="F2276" s="21"/>
    </row>
    <row r="2277" spans="1:6" x14ac:dyDescent="0.25">
      <c r="A2277" s="21" t="s">
        <v>2313</v>
      </c>
      <c r="B2277" s="21" t="s">
        <v>22</v>
      </c>
      <c r="C2277" s="21">
        <v>32</v>
      </c>
      <c r="D2277" s="21">
        <v>1280</v>
      </c>
      <c r="E2277" s="21">
        <v>40</v>
      </c>
      <c r="F2277" s="21"/>
    </row>
    <row r="2278" spans="1:6" x14ac:dyDescent="0.25">
      <c r="A2278" s="21" t="s">
        <v>2314</v>
      </c>
      <c r="B2278" s="21" t="s">
        <v>22</v>
      </c>
      <c r="C2278" s="21">
        <v>16</v>
      </c>
      <c r="D2278" s="21">
        <v>640</v>
      </c>
      <c r="E2278" s="21">
        <v>40</v>
      </c>
      <c r="F2278" s="21"/>
    </row>
    <row r="2279" spans="1:6" x14ac:dyDescent="0.25">
      <c r="A2279" s="21" t="s">
        <v>2315</v>
      </c>
      <c r="B2279" s="21" t="s">
        <v>22</v>
      </c>
      <c r="C2279" s="21">
        <v>16</v>
      </c>
      <c r="D2279" s="21">
        <v>640</v>
      </c>
      <c r="E2279" s="21">
        <v>40</v>
      </c>
      <c r="F2279" s="21"/>
    </row>
    <row r="2280" spans="1:6" x14ac:dyDescent="0.25">
      <c r="A2280" s="21" t="s">
        <v>2316</v>
      </c>
      <c r="B2280" s="21" t="s">
        <v>22</v>
      </c>
      <c r="C2280" s="21">
        <v>16</v>
      </c>
      <c r="D2280" s="21">
        <v>640</v>
      </c>
      <c r="E2280" s="21">
        <v>40</v>
      </c>
      <c r="F2280" s="21"/>
    </row>
    <row r="2281" spans="1:6" x14ac:dyDescent="0.25">
      <c r="A2281" s="21" t="s">
        <v>2317</v>
      </c>
      <c r="B2281" s="21" t="s">
        <v>22</v>
      </c>
      <c r="C2281" s="21">
        <v>100</v>
      </c>
      <c r="D2281" s="21">
        <v>3600</v>
      </c>
      <c r="E2281" s="21">
        <v>36</v>
      </c>
      <c r="F2281" s="21"/>
    </row>
    <row r="2282" spans="1:6" x14ac:dyDescent="0.25">
      <c r="A2282" s="21" t="s">
        <v>2318</v>
      </c>
      <c r="B2282" s="21" t="s">
        <v>22</v>
      </c>
      <c r="C2282" s="21">
        <v>10</v>
      </c>
      <c r="D2282" s="21">
        <v>90</v>
      </c>
      <c r="E2282" s="21">
        <v>9</v>
      </c>
      <c r="F2282" s="21"/>
    </row>
    <row r="2283" spans="1:6" x14ac:dyDescent="0.25">
      <c r="A2283" s="21" t="s">
        <v>2319</v>
      </c>
      <c r="B2283" s="21" t="s">
        <v>22</v>
      </c>
      <c r="C2283" s="21">
        <v>5</v>
      </c>
      <c r="D2283" s="21">
        <v>50</v>
      </c>
      <c r="E2283" s="21">
        <v>10</v>
      </c>
      <c r="F2283" s="21"/>
    </row>
    <row r="2284" spans="1:6" x14ac:dyDescent="0.25">
      <c r="A2284" s="21" t="s">
        <v>2320</v>
      </c>
      <c r="B2284" s="21" t="s">
        <v>22</v>
      </c>
      <c r="C2284" s="21">
        <v>5</v>
      </c>
      <c r="D2284" s="21">
        <v>40</v>
      </c>
      <c r="E2284" s="21">
        <v>8</v>
      </c>
      <c r="F2284" s="21"/>
    </row>
    <row r="2285" spans="1:6" x14ac:dyDescent="0.25">
      <c r="A2285" s="21" t="s">
        <v>2321</v>
      </c>
      <c r="B2285" s="21" t="s">
        <v>22</v>
      </c>
      <c r="C2285" s="21">
        <v>50</v>
      </c>
      <c r="D2285" s="21">
        <v>1600</v>
      </c>
      <c r="E2285" s="21">
        <v>32</v>
      </c>
      <c r="F2285" s="21"/>
    </row>
    <row r="2286" spans="1:6" x14ac:dyDescent="0.25">
      <c r="A2286" s="21" t="s">
        <v>2322</v>
      </c>
      <c r="B2286" s="21" t="s">
        <v>22</v>
      </c>
      <c r="C2286" s="21">
        <v>40</v>
      </c>
      <c r="D2286" s="21">
        <v>2400</v>
      </c>
      <c r="E2286" s="21">
        <v>60</v>
      </c>
      <c r="F2286" s="21"/>
    </row>
    <row r="2287" spans="1:6" x14ac:dyDescent="0.25">
      <c r="A2287" s="21" t="s">
        <v>2323</v>
      </c>
      <c r="B2287" s="21" t="s">
        <v>22</v>
      </c>
      <c r="C2287" s="21">
        <v>100</v>
      </c>
      <c r="D2287" s="21">
        <v>3000</v>
      </c>
      <c r="E2287" s="21">
        <v>30</v>
      </c>
      <c r="F2287" s="21"/>
    </row>
    <row r="2288" spans="1:6" x14ac:dyDescent="0.25">
      <c r="A2288" s="21" t="s">
        <v>2324</v>
      </c>
      <c r="B2288" s="21" t="s">
        <v>22</v>
      </c>
      <c r="C2288" s="21">
        <v>100</v>
      </c>
      <c r="D2288" s="21">
        <v>3000</v>
      </c>
      <c r="E2288" s="21">
        <v>30</v>
      </c>
      <c r="F2288" s="21"/>
    </row>
    <row r="2289" spans="1:6" x14ac:dyDescent="0.25">
      <c r="A2289" s="21" t="s">
        <v>2325</v>
      </c>
      <c r="B2289" s="21" t="s">
        <v>22</v>
      </c>
      <c r="C2289" s="21">
        <v>100</v>
      </c>
      <c r="D2289" s="21">
        <v>3000</v>
      </c>
      <c r="E2289" s="21">
        <v>30</v>
      </c>
      <c r="F2289" s="21"/>
    </row>
    <row r="2290" spans="1:6" x14ac:dyDescent="0.25">
      <c r="A2290" s="21" t="s">
        <v>2326</v>
      </c>
      <c r="B2290" s="21" t="s">
        <v>22</v>
      </c>
      <c r="C2290" s="21">
        <v>100</v>
      </c>
      <c r="D2290" s="21">
        <v>3000</v>
      </c>
      <c r="E2290" s="21">
        <v>30</v>
      </c>
      <c r="F2290" s="21"/>
    </row>
    <row r="2291" spans="1:6" x14ac:dyDescent="0.25">
      <c r="A2291" s="21" t="s">
        <v>2327</v>
      </c>
      <c r="B2291" s="21" t="s">
        <v>22</v>
      </c>
      <c r="C2291" s="21">
        <v>100</v>
      </c>
      <c r="D2291" s="21">
        <v>3000</v>
      </c>
      <c r="E2291" s="21">
        <v>30</v>
      </c>
      <c r="F2291" s="21"/>
    </row>
    <row r="2292" spans="1:6" x14ac:dyDescent="0.25">
      <c r="A2292" s="21" t="s">
        <v>2328</v>
      </c>
      <c r="B2292" s="21" t="s">
        <v>22</v>
      </c>
      <c r="C2292" s="21">
        <v>100</v>
      </c>
      <c r="D2292" s="21">
        <v>3000</v>
      </c>
      <c r="E2292" s="21">
        <v>30</v>
      </c>
      <c r="F2292" s="21"/>
    </row>
    <row r="2293" spans="1:6" x14ac:dyDescent="0.25">
      <c r="A2293" s="21" t="s">
        <v>2329</v>
      </c>
      <c r="B2293" s="21" t="s">
        <v>22</v>
      </c>
      <c r="C2293" s="21">
        <v>14</v>
      </c>
      <c r="D2293" s="21">
        <v>504</v>
      </c>
      <c r="E2293" s="21">
        <v>36</v>
      </c>
      <c r="F2293" s="21"/>
    </row>
    <row r="2294" spans="1:6" x14ac:dyDescent="0.25">
      <c r="A2294" s="21" t="s">
        <v>2330</v>
      </c>
      <c r="B2294" s="21" t="s">
        <v>22</v>
      </c>
      <c r="C2294" s="21">
        <v>18</v>
      </c>
      <c r="D2294" s="21">
        <v>648</v>
      </c>
      <c r="E2294" s="21">
        <v>36</v>
      </c>
      <c r="F2294" s="21"/>
    </row>
    <row r="2295" spans="1:6" x14ac:dyDescent="0.25">
      <c r="A2295" s="21" t="s">
        <v>2331</v>
      </c>
      <c r="B2295" s="21" t="s">
        <v>22</v>
      </c>
      <c r="C2295" s="21">
        <v>20</v>
      </c>
      <c r="D2295" s="21">
        <v>720</v>
      </c>
      <c r="E2295" s="21">
        <v>36</v>
      </c>
      <c r="F2295" s="21"/>
    </row>
    <row r="2296" spans="1:6" x14ac:dyDescent="0.25">
      <c r="A2296" s="21" t="s">
        <v>2332</v>
      </c>
      <c r="B2296" s="21" t="s">
        <v>22</v>
      </c>
      <c r="C2296" s="21">
        <v>10</v>
      </c>
      <c r="D2296" s="21">
        <v>260</v>
      </c>
      <c r="E2296" s="21">
        <v>26</v>
      </c>
      <c r="F2296" s="21"/>
    </row>
    <row r="2297" spans="1:6" x14ac:dyDescent="0.25">
      <c r="A2297" s="21" t="s">
        <v>2333</v>
      </c>
      <c r="B2297" s="21" t="s">
        <v>22</v>
      </c>
      <c r="C2297" s="21">
        <v>8</v>
      </c>
      <c r="D2297" s="21">
        <v>128</v>
      </c>
      <c r="E2297" s="21">
        <v>16</v>
      </c>
      <c r="F2297" s="21"/>
    </row>
    <row r="2298" spans="1:6" x14ac:dyDescent="0.25">
      <c r="A2298" s="21" t="s">
        <v>2334</v>
      </c>
      <c r="B2298" s="21" t="s">
        <v>22</v>
      </c>
      <c r="C2298" s="21">
        <v>20</v>
      </c>
      <c r="D2298" s="21">
        <v>1600</v>
      </c>
      <c r="E2298" s="21">
        <v>80</v>
      </c>
      <c r="F2298" s="21"/>
    </row>
    <row r="2299" spans="1:6" x14ac:dyDescent="0.25">
      <c r="A2299" s="21" t="s">
        <v>2335</v>
      </c>
      <c r="B2299" s="21" t="s">
        <v>22</v>
      </c>
      <c r="C2299" s="21">
        <v>20</v>
      </c>
      <c r="D2299" s="21">
        <v>960</v>
      </c>
      <c r="E2299" s="21">
        <v>48</v>
      </c>
      <c r="F2299" s="21"/>
    </row>
    <row r="2300" spans="1:6" x14ac:dyDescent="0.25">
      <c r="A2300" s="21" t="s">
        <v>2336</v>
      </c>
      <c r="B2300" s="21" t="s">
        <v>22</v>
      </c>
      <c r="C2300" s="21">
        <v>20</v>
      </c>
      <c r="D2300" s="52">
        <v>0</v>
      </c>
      <c r="E2300" s="21"/>
      <c r="F2300" s="21"/>
    </row>
    <row r="2301" spans="1:6" x14ac:dyDescent="0.25">
      <c r="A2301" s="21" t="s">
        <v>2337</v>
      </c>
      <c r="B2301" s="21" t="s">
        <v>22</v>
      </c>
      <c r="C2301" s="21">
        <v>20</v>
      </c>
      <c r="D2301" s="52">
        <v>0</v>
      </c>
      <c r="E2301" s="21"/>
      <c r="F2301" s="21"/>
    </row>
    <row r="2302" spans="1:6" x14ac:dyDescent="0.25">
      <c r="A2302" s="21" t="s">
        <v>2338</v>
      </c>
      <c r="B2302" s="21" t="s">
        <v>22</v>
      </c>
      <c r="C2302" s="21">
        <v>10</v>
      </c>
      <c r="D2302" s="21">
        <v>360</v>
      </c>
      <c r="E2302" s="21">
        <v>36</v>
      </c>
      <c r="F2302" s="21"/>
    </row>
    <row r="2303" spans="1:6" x14ac:dyDescent="0.25">
      <c r="A2303" s="21" t="s">
        <v>2339</v>
      </c>
      <c r="B2303" s="21" t="s">
        <v>22</v>
      </c>
      <c r="C2303" s="21">
        <v>10</v>
      </c>
      <c r="D2303" s="21">
        <v>300</v>
      </c>
      <c r="E2303" s="21">
        <v>30</v>
      </c>
      <c r="F2303" s="21"/>
    </row>
    <row r="2304" spans="1:6" x14ac:dyDescent="0.25">
      <c r="A2304" s="21" t="s">
        <v>2340</v>
      </c>
      <c r="B2304" s="21" t="s">
        <v>22</v>
      </c>
      <c r="C2304" s="21">
        <v>18</v>
      </c>
      <c r="D2304" s="21">
        <v>288</v>
      </c>
      <c r="E2304" s="21">
        <v>16</v>
      </c>
      <c r="F2304" s="21"/>
    </row>
    <row r="2305" spans="1:6" x14ac:dyDescent="0.25">
      <c r="A2305" s="21" t="s">
        <v>2341</v>
      </c>
      <c r="B2305" s="21" t="s">
        <v>586</v>
      </c>
      <c r="C2305" s="21">
        <v>610</v>
      </c>
      <c r="D2305" s="21">
        <v>10980</v>
      </c>
      <c r="E2305" s="21">
        <v>18</v>
      </c>
      <c r="F2305" s="21"/>
    </row>
    <row r="2306" spans="1:6" x14ac:dyDescent="0.25">
      <c r="A2306" s="21" t="s">
        <v>2342</v>
      </c>
      <c r="B2306" s="21" t="s">
        <v>586</v>
      </c>
      <c r="C2306" s="21">
        <v>600</v>
      </c>
      <c r="D2306" s="21">
        <v>14400</v>
      </c>
      <c r="E2306" s="21">
        <v>24</v>
      </c>
      <c r="F2306" s="21"/>
    </row>
    <row r="2307" spans="1:6" x14ac:dyDescent="0.25">
      <c r="A2307" s="21" t="s">
        <v>2343</v>
      </c>
      <c r="B2307" s="21" t="s">
        <v>586</v>
      </c>
      <c r="C2307" s="21">
        <v>610</v>
      </c>
      <c r="D2307" s="21">
        <v>10980</v>
      </c>
      <c r="E2307" s="21">
        <v>18</v>
      </c>
      <c r="F2307" s="21"/>
    </row>
    <row r="2308" spans="1:6" x14ac:dyDescent="0.25">
      <c r="A2308" s="21" t="s">
        <v>2344</v>
      </c>
      <c r="B2308" s="21" t="s">
        <v>22</v>
      </c>
      <c r="C2308" s="21">
        <v>0</v>
      </c>
      <c r="D2308" s="52">
        <v>0</v>
      </c>
      <c r="E2308" s="21"/>
      <c r="F2308" s="21"/>
    </row>
    <row r="2309" spans="1:6" x14ac:dyDescent="0.25">
      <c r="A2309" s="21" t="s">
        <v>2345</v>
      </c>
      <c r="B2309" s="21" t="s">
        <v>22</v>
      </c>
      <c r="C2309" s="21">
        <v>20</v>
      </c>
      <c r="D2309" s="52">
        <v>0</v>
      </c>
      <c r="E2309" s="21"/>
      <c r="F2309" s="21"/>
    </row>
    <row r="2310" spans="1:6" x14ac:dyDescent="0.25">
      <c r="A2310" s="21" t="s">
        <v>2346</v>
      </c>
      <c r="B2310" s="21" t="s">
        <v>22</v>
      </c>
      <c r="C2310" s="21">
        <v>20</v>
      </c>
      <c r="D2310" s="52">
        <v>0</v>
      </c>
      <c r="E2310" s="21"/>
      <c r="F2310" s="21"/>
    </row>
    <row r="2311" spans="1:6" x14ac:dyDescent="0.25">
      <c r="A2311" s="21" t="s">
        <v>2347</v>
      </c>
      <c r="B2311" s="21" t="s">
        <v>22</v>
      </c>
      <c r="C2311" s="21">
        <v>20</v>
      </c>
      <c r="D2311" s="52">
        <v>0</v>
      </c>
      <c r="E2311" s="21"/>
      <c r="F2311" s="21"/>
    </row>
    <row r="2312" spans="1:6" x14ac:dyDescent="0.25">
      <c r="A2312" s="21" t="s">
        <v>2348</v>
      </c>
      <c r="B2312" s="21" t="s">
        <v>22</v>
      </c>
      <c r="C2312" s="21">
        <v>20</v>
      </c>
      <c r="D2312" s="21">
        <v>600</v>
      </c>
      <c r="E2312" s="21">
        <v>30</v>
      </c>
      <c r="F2312" s="21"/>
    </row>
    <row r="2313" spans="1:6" x14ac:dyDescent="0.25">
      <c r="A2313" s="21" t="s">
        <v>2349</v>
      </c>
      <c r="B2313" s="21" t="s">
        <v>22</v>
      </c>
      <c r="C2313" s="21">
        <v>10</v>
      </c>
      <c r="D2313" s="21">
        <v>150</v>
      </c>
      <c r="E2313" s="21">
        <v>15</v>
      </c>
      <c r="F2313" s="21"/>
    </row>
    <row r="2314" spans="1:6" x14ac:dyDescent="0.25">
      <c r="A2314" s="21" t="s">
        <v>2350</v>
      </c>
      <c r="B2314" s="21" t="s">
        <v>22</v>
      </c>
      <c r="C2314" s="21">
        <v>15</v>
      </c>
      <c r="D2314" s="21">
        <v>300</v>
      </c>
      <c r="E2314" s="21">
        <v>20</v>
      </c>
      <c r="F2314" s="21"/>
    </row>
    <row r="2315" spans="1:6" x14ac:dyDescent="0.25">
      <c r="A2315" s="21" t="s">
        <v>2351</v>
      </c>
      <c r="B2315" s="21" t="s">
        <v>22</v>
      </c>
      <c r="C2315" s="21">
        <v>10</v>
      </c>
      <c r="D2315" s="21">
        <v>150</v>
      </c>
      <c r="E2315" s="21">
        <v>15</v>
      </c>
      <c r="F2315" s="21"/>
    </row>
    <row r="2316" spans="1:6" x14ac:dyDescent="0.25">
      <c r="A2316" s="21" t="s">
        <v>2352</v>
      </c>
      <c r="B2316" s="21" t="s">
        <v>22</v>
      </c>
      <c r="C2316" s="21">
        <v>0</v>
      </c>
      <c r="D2316" s="52">
        <v>0</v>
      </c>
      <c r="E2316" s="21"/>
      <c r="F2316" s="21"/>
    </row>
    <row r="2317" spans="1:6" x14ac:dyDescent="0.25">
      <c r="A2317" s="21" t="s">
        <v>2353</v>
      </c>
      <c r="B2317" s="21" t="s">
        <v>22</v>
      </c>
      <c r="C2317" s="21">
        <v>15</v>
      </c>
      <c r="D2317" s="21">
        <v>300</v>
      </c>
      <c r="E2317" s="21">
        <v>20</v>
      </c>
      <c r="F2317" s="21"/>
    </row>
    <row r="2318" spans="1:6" x14ac:dyDescent="0.25">
      <c r="A2318" s="21" t="s">
        <v>2354</v>
      </c>
      <c r="B2318" s="21" t="s">
        <v>22</v>
      </c>
      <c r="C2318" s="21">
        <v>10</v>
      </c>
      <c r="D2318" s="21">
        <v>150</v>
      </c>
      <c r="E2318" s="21">
        <v>15</v>
      </c>
      <c r="F2318" s="21"/>
    </row>
    <row r="2319" spans="1:6" x14ac:dyDescent="0.25">
      <c r="A2319" s="21" t="s">
        <v>2355</v>
      </c>
      <c r="B2319" s="21" t="s">
        <v>22</v>
      </c>
      <c r="C2319" s="21">
        <v>10</v>
      </c>
      <c r="D2319" s="21">
        <v>150</v>
      </c>
      <c r="E2319" s="21">
        <v>15</v>
      </c>
      <c r="F2319" s="21"/>
    </row>
    <row r="2320" spans="1:6" x14ac:dyDescent="0.25">
      <c r="A2320" s="21" t="s">
        <v>2356</v>
      </c>
      <c r="B2320" s="21" t="s">
        <v>22</v>
      </c>
      <c r="C2320" s="21">
        <v>0</v>
      </c>
      <c r="D2320" s="52">
        <v>0</v>
      </c>
      <c r="E2320" s="21"/>
      <c r="F2320" s="21"/>
    </row>
    <row r="2321" spans="1:6" x14ac:dyDescent="0.25">
      <c r="A2321" s="21" t="s">
        <v>2357</v>
      </c>
      <c r="B2321" s="21" t="s">
        <v>22</v>
      </c>
      <c r="C2321" s="21">
        <v>40</v>
      </c>
      <c r="D2321" s="21">
        <v>720</v>
      </c>
      <c r="E2321" s="21">
        <v>18</v>
      </c>
      <c r="F2321" s="21"/>
    </row>
    <row r="2322" spans="1:6" x14ac:dyDescent="0.25">
      <c r="A2322" s="21" t="s">
        <v>2358</v>
      </c>
      <c r="B2322" s="21" t="s">
        <v>22</v>
      </c>
      <c r="C2322" s="21">
        <v>40</v>
      </c>
      <c r="D2322" s="21">
        <v>720</v>
      </c>
      <c r="E2322" s="21">
        <v>18</v>
      </c>
      <c r="F2322" s="21"/>
    </row>
    <row r="2323" spans="1:6" x14ac:dyDescent="0.25">
      <c r="A2323" s="21" t="s">
        <v>2359</v>
      </c>
      <c r="B2323" s="21" t="s">
        <v>22</v>
      </c>
      <c r="C2323" s="21">
        <v>40</v>
      </c>
      <c r="D2323" s="21">
        <v>720</v>
      </c>
      <c r="E2323" s="21">
        <v>18</v>
      </c>
      <c r="F2323" s="21"/>
    </row>
    <row r="2324" spans="1:6" x14ac:dyDescent="0.25">
      <c r="A2324" s="21" t="s">
        <v>2360</v>
      </c>
      <c r="B2324" s="21" t="s">
        <v>22</v>
      </c>
      <c r="C2324" s="21">
        <v>20</v>
      </c>
      <c r="D2324" s="21">
        <v>400</v>
      </c>
      <c r="E2324" s="21">
        <v>20</v>
      </c>
      <c r="F2324" s="21"/>
    </row>
    <row r="2325" spans="1:6" x14ac:dyDescent="0.25">
      <c r="A2325" s="21" t="s">
        <v>2361</v>
      </c>
      <c r="B2325" s="21" t="s">
        <v>22</v>
      </c>
      <c r="C2325" s="21">
        <v>20</v>
      </c>
      <c r="D2325" s="21">
        <v>400</v>
      </c>
      <c r="E2325" s="21">
        <v>20</v>
      </c>
      <c r="F2325" s="21"/>
    </row>
    <row r="2326" spans="1:6" x14ac:dyDescent="0.25">
      <c r="A2326" s="21" t="s">
        <v>2362</v>
      </c>
      <c r="B2326" s="21" t="s">
        <v>22</v>
      </c>
      <c r="C2326" s="21">
        <v>20</v>
      </c>
      <c r="D2326" s="21">
        <v>400</v>
      </c>
      <c r="E2326" s="21">
        <v>20</v>
      </c>
      <c r="F2326" s="21"/>
    </row>
    <row r="2327" spans="1:6" x14ac:dyDescent="0.25">
      <c r="A2327" s="21" t="s">
        <v>2363</v>
      </c>
      <c r="B2327" s="21" t="s">
        <v>22</v>
      </c>
      <c r="C2327" s="21">
        <v>10</v>
      </c>
      <c r="D2327" s="21">
        <v>240</v>
      </c>
      <c r="E2327" s="21">
        <v>24</v>
      </c>
      <c r="F2327" s="21"/>
    </row>
    <row r="2328" spans="1:6" x14ac:dyDescent="0.25">
      <c r="A2328" s="21" t="s">
        <v>2364</v>
      </c>
      <c r="B2328" s="21" t="s">
        <v>22</v>
      </c>
      <c r="C2328" s="21">
        <v>10</v>
      </c>
      <c r="D2328" s="21">
        <v>240</v>
      </c>
      <c r="E2328" s="21">
        <v>24</v>
      </c>
      <c r="F2328" s="21"/>
    </row>
    <row r="2329" spans="1:6" x14ac:dyDescent="0.25">
      <c r="A2329" s="21" t="s">
        <v>2365</v>
      </c>
      <c r="B2329" s="21" t="s">
        <v>22</v>
      </c>
      <c r="C2329" s="21">
        <v>10</v>
      </c>
      <c r="D2329" s="21">
        <v>240</v>
      </c>
      <c r="E2329" s="21">
        <v>24</v>
      </c>
      <c r="F2329" s="21"/>
    </row>
    <row r="2330" spans="1:6" x14ac:dyDescent="0.25">
      <c r="A2330" s="21" t="s">
        <v>2366</v>
      </c>
      <c r="B2330" s="21" t="s">
        <v>22</v>
      </c>
      <c r="C2330" s="21">
        <v>60</v>
      </c>
      <c r="D2330" s="21">
        <v>1440</v>
      </c>
      <c r="E2330" s="21">
        <v>24</v>
      </c>
      <c r="F2330" s="21"/>
    </row>
    <row r="2331" spans="1:6" x14ac:dyDescent="0.25">
      <c r="A2331" s="21" t="s">
        <v>2367</v>
      </c>
      <c r="B2331" s="21" t="s">
        <v>22</v>
      </c>
      <c r="C2331" s="21">
        <v>60</v>
      </c>
      <c r="D2331" s="21">
        <v>1440</v>
      </c>
      <c r="E2331" s="21">
        <v>24</v>
      </c>
      <c r="F2331" s="21"/>
    </row>
    <row r="2332" spans="1:6" x14ac:dyDescent="0.25">
      <c r="A2332" s="21" t="s">
        <v>2368</v>
      </c>
      <c r="B2332" s="21" t="s">
        <v>22</v>
      </c>
      <c r="C2332" s="21">
        <v>60</v>
      </c>
      <c r="D2332" s="21">
        <v>1440</v>
      </c>
      <c r="E2332" s="21">
        <v>24</v>
      </c>
      <c r="F2332" s="21"/>
    </row>
    <row r="2333" spans="1:6" x14ac:dyDescent="0.25">
      <c r="A2333" s="21" t="s">
        <v>2369</v>
      </c>
      <c r="B2333" s="21" t="s">
        <v>22</v>
      </c>
      <c r="C2333" s="21">
        <v>60</v>
      </c>
      <c r="D2333" s="21">
        <v>960</v>
      </c>
      <c r="E2333" s="21">
        <v>16</v>
      </c>
      <c r="F2333" s="21"/>
    </row>
    <row r="2334" spans="1:6" x14ac:dyDescent="0.25">
      <c r="A2334" s="21" t="s">
        <v>2370</v>
      </c>
      <c r="B2334" s="21" t="s">
        <v>22</v>
      </c>
      <c r="C2334" s="21">
        <v>60</v>
      </c>
      <c r="D2334" s="21">
        <v>960</v>
      </c>
      <c r="E2334" s="21">
        <v>16</v>
      </c>
      <c r="F2334" s="21"/>
    </row>
    <row r="2335" spans="1:6" x14ac:dyDescent="0.25">
      <c r="A2335" s="21" t="s">
        <v>2371</v>
      </c>
      <c r="B2335" s="21" t="s">
        <v>22</v>
      </c>
      <c r="C2335" s="21">
        <v>60</v>
      </c>
      <c r="D2335" s="21">
        <v>960</v>
      </c>
      <c r="E2335" s="21">
        <v>16</v>
      </c>
      <c r="F2335" s="21"/>
    </row>
    <row r="2336" spans="1:6" x14ac:dyDescent="0.25">
      <c r="A2336" s="21" t="s">
        <v>2372</v>
      </c>
      <c r="B2336" s="21" t="s">
        <v>22</v>
      </c>
      <c r="C2336" s="21">
        <v>40</v>
      </c>
      <c r="D2336" s="21">
        <v>480</v>
      </c>
      <c r="E2336" s="21">
        <v>12</v>
      </c>
      <c r="F2336" s="21"/>
    </row>
    <row r="2337" spans="1:6" x14ac:dyDescent="0.25">
      <c r="A2337" s="21" t="s">
        <v>2373</v>
      </c>
      <c r="B2337" s="21" t="s">
        <v>22</v>
      </c>
      <c r="C2337" s="21">
        <v>40</v>
      </c>
      <c r="D2337" s="21">
        <v>720</v>
      </c>
      <c r="E2337" s="21">
        <v>18</v>
      </c>
      <c r="F2337" s="21"/>
    </row>
    <row r="2338" spans="1:6" x14ac:dyDescent="0.25">
      <c r="A2338" s="21" t="s">
        <v>2374</v>
      </c>
      <c r="B2338" s="21" t="s">
        <v>22</v>
      </c>
      <c r="C2338" s="21">
        <v>40</v>
      </c>
      <c r="D2338" s="21">
        <v>480</v>
      </c>
      <c r="E2338" s="21">
        <v>12</v>
      </c>
      <c r="F2338" s="21"/>
    </row>
    <row r="2339" spans="1:6" x14ac:dyDescent="0.25">
      <c r="A2339" s="21" t="s">
        <v>2375</v>
      </c>
      <c r="B2339" s="21" t="s">
        <v>22</v>
      </c>
      <c r="C2339" s="21">
        <v>40</v>
      </c>
      <c r="D2339" s="21">
        <v>720</v>
      </c>
      <c r="E2339" s="21">
        <v>18</v>
      </c>
      <c r="F2339" s="21"/>
    </row>
    <row r="2340" spans="1:6" x14ac:dyDescent="0.25">
      <c r="A2340" s="21" t="s">
        <v>2376</v>
      </c>
      <c r="B2340" s="21" t="s">
        <v>22</v>
      </c>
      <c r="C2340" s="21">
        <v>40</v>
      </c>
      <c r="D2340" s="21">
        <v>480</v>
      </c>
      <c r="E2340" s="21">
        <v>12</v>
      </c>
      <c r="F2340" s="21"/>
    </row>
    <row r="2341" spans="1:6" x14ac:dyDescent="0.25">
      <c r="A2341" s="21" t="s">
        <v>2377</v>
      </c>
      <c r="B2341" s="21" t="s">
        <v>22</v>
      </c>
      <c r="C2341" s="21">
        <v>40</v>
      </c>
      <c r="D2341" s="21">
        <v>720</v>
      </c>
      <c r="E2341" s="21">
        <v>18</v>
      </c>
      <c r="F2341" s="21"/>
    </row>
    <row r="2342" spans="1:6" x14ac:dyDescent="0.25">
      <c r="A2342" s="21" t="s">
        <v>2378</v>
      </c>
      <c r="B2342" s="21" t="s">
        <v>22</v>
      </c>
      <c r="C2342" s="21">
        <v>20</v>
      </c>
      <c r="D2342" s="21">
        <v>600</v>
      </c>
      <c r="E2342" s="21">
        <v>30</v>
      </c>
      <c r="F2342" s="21"/>
    </row>
    <row r="2343" spans="1:6" x14ac:dyDescent="0.25">
      <c r="A2343" s="21" t="s">
        <v>2379</v>
      </c>
      <c r="B2343" s="21" t="s">
        <v>22</v>
      </c>
      <c r="C2343" s="21">
        <v>20</v>
      </c>
      <c r="D2343" s="21">
        <v>540</v>
      </c>
      <c r="E2343" s="21">
        <v>27</v>
      </c>
      <c r="F2343" s="21"/>
    </row>
    <row r="2344" spans="1:6" x14ac:dyDescent="0.25">
      <c r="A2344" s="21" t="s">
        <v>2380</v>
      </c>
      <c r="B2344" s="21" t="s">
        <v>22</v>
      </c>
      <c r="C2344" s="21">
        <v>20</v>
      </c>
      <c r="D2344" s="21">
        <v>600</v>
      </c>
      <c r="E2344" s="21">
        <v>30</v>
      </c>
      <c r="F2344" s="21"/>
    </row>
    <row r="2345" spans="1:6" x14ac:dyDescent="0.25">
      <c r="A2345" s="21" t="s">
        <v>2381</v>
      </c>
      <c r="B2345" s="21" t="s">
        <v>22</v>
      </c>
      <c r="C2345" s="21">
        <v>20</v>
      </c>
      <c r="D2345" s="21">
        <v>400</v>
      </c>
      <c r="E2345" s="21">
        <v>20</v>
      </c>
      <c r="F2345" s="21"/>
    </row>
    <row r="2346" spans="1:6" x14ac:dyDescent="0.25">
      <c r="A2346" s="21" t="s">
        <v>2382</v>
      </c>
      <c r="B2346" s="21" t="s">
        <v>22</v>
      </c>
      <c r="C2346" s="21">
        <v>10</v>
      </c>
      <c r="D2346" s="21">
        <v>240</v>
      </c>
      <c r="E2346" s="21">
        <v>24</v>
      </c>
      <c r="F2346" s="21"/>
    </row>
    <row r="2347" spans="1:6" x14ac:dyDescent="0.25">
      <c r="A2347" s="21" t="s">
        <v>2383</v>
      </c>
      <c r="B2347" s="21" t="s">
        <v>22</v>
      </c>
      <c r="C2347" s="21">
        <v>10</v>
      </c>
      <c r="D2347" s="21">
        <v>240</v>
      </c>
      <c r="E2347" s="21">
        <v>24</v>
      </c>
      <c r="F2347" s="21"/>
    </row>
    <row r="2348" spans="1:6" x14ac:dyDescent="0.25">
      <c r="A2348" s="21" t="s">
        <v>2384</v>
      </c>
      <c r="B2348" s="21" t="s">
        <v>22</v>
      </c>
      <c r="C2348" s="21">
        <v>10</v>
      </c>
      <c r="D2348" s="21">
        <v>240</v>
      </c>
      <c r="E2348" s="21">
        <v>24</v>
      </c>
      <c r="F2348" s="21"/>
    </row>
    <row r="2349" spans="1:6" x14ac:dyDescent="0.25">
      <c r="A2349" s="21" t="s">
        <v>2385</v>
      </c>
      <c r="B2349" s="21" t="s">
        <v>22</v>
      </c>
      <c r="C2349" s="21">
        <v>60</v>
      </c>
      <c r="D2349" s="21">
        <v>960</v>
      </c>
      <c r="E2349" s="21">
        <v>16</v>
      </c>
      <c r="F2349" s="21"/>
    </row>
    <row r="2350" spans="1:6" x14ac:dyDescent="0.25">
      <c r="A2350" s="21" t="s">
        <v>2386</v>
      </c>
      <c r="B2350" s="21" t="s">
        <v>22</v>
      </c>
      <c r="C2350" s="21">
        <v>60</v>
      </c>
      <c r="D2350" s="21">
        <v>1080</v>
      </c>
      <c r="E2350" s="21">
        <v>18</v>
      </c>
      <c r="F2350" s="21"/>
    </row>
    <row r="2351" spans="1:6" x14ac:dyDescent="0.25">
      <c r="A2351" s="21" t="s">
        <v>2387</v>
      </c>
      <c r="B2351" s="21" t="s">
        <v>22</v>
      </c>
      <c r="C2351" s="21">
        <v>60</v>
      </c>
      <c r="D2351" s="21">
        <v>960</v>
      </c>
      <c r="E2351" s="21">
        <v>16</v>
      </c>
      <c r="F2351" s="21"/>
    </row>
    <row r="2352" spans="1:6" x14ac:dyDescent="0.25">
      <c r="A2352" s="21" t="s">
        <v>2388</v>
      </c>
      <c r="B2352" s="21" t="s">
        <v>22</v>
      </c>
      <c r="C2352" s="21">
        <v>60</v>
      </c>
      <c r="D2352" s="21">
        <v>1080</v>
      </c>
      <c r="E2352" s="21">
        <v>18</v>
      </c>
      <c r="F2352" s="21"/>
    </row>
    <row r="2353" spans="1:6" x14ac:dyDescent="0.25">
      <c r="A2353" s="21" t="s">
        <v>2389</v>
      </c>
      <c r="B2353" s="21" t="s">
        <v>22</v>
      </c>
      <c r="C2353" s="21">
        <v>60</v>
      </c>
      <c r="D2353" s="21">
        <v>960</v>
      </c>
      <c r="E2353" s="21">
        <v>16</v>
      </c>
      <c r="F2353" s="21"/>
    </row>
    <row r="2354" spans="1:6" x14ac:dyDescent="0.25">
      <c r="A2354" s="21" t="s">
        <v>2390</v>
      </c>
      <c r="B2354" s="21" t="s">
        <v>22</v>
      </c>
      <c r="C2354" s="21">
        <v>60</v>
      </c>
      <c r="D2354" s="21">
        <v>960</v>
      </c>
      <c r="E2354" s="21">
        <v>16</v>
      </c>
      <c r="F2354" s="21"/>
    </row>
    <row r="2355" spans="1:6" x14ac:dyDescent="0.25">
      <c r="A2355" s="21" t="s">
        <v>2391</v>
      </c>
      <c r="B2355" s="21" t="s">
        <v>22</v>
      </c>
      <c r="C2355" s="21">
        <v>60</v>
      </c>
      <c r="D2355" s="21">
        <v>1080</v>
      </c>
      <c r="E2355" s="21">
        <v>18</v>
      </c>
      <c r="F2355" s="21"/>
    </row>
    <row r="2356" spans="1:6" x14ac:dyDescent="0.25">
      <c r="A2356" s="21" t="s">
        <v>2392</v>
      </c>
      <c r="B2356" s="21" t="s">
        <v>22</v>
      </c>
      <c r="C2356" s="21">
        <v>60</v>
      </c>
      <c r="D2356" s="21">
        <v>960</v>
      </c>
      <c r="E2356" s="21">
        <v>16</v>
      </c>
      <c r="F2356" s="21"/>
    </row>
    <row r="2357" spans="1:6" x14ac:dyDescent="0.25">
      <c r="A2357" s="21" t="s">
        <v>2393</v>
      </c>
      <c r="B2357" s="21" t="s">
        <v>22</v>
      </c>
      <c r="C2357" s="21">
        <v>60</v>
      </c>
      <c r="D2357" s="21">
        <v>1080</v>
      </c>
      <c r="E2357" s="21">
        <v>18</v>
      </c>
      <c r="F2357" s="21"/>
    </row>
    <row r="2358" spans="1:6" x14ac:dyDescent="0.25">
      <c r="A2358" s="21" t="s">
        <v>2394</v>
      </c>
      <c r="B2358" s="21" t="s">
        <v>22</v>
      </c>
      <c r="C2358" s="21">
        <v>60</v>
      </c>
      <c r="D2358" s="21">
        <v>960</v>
      </c>
      <c r="E2358" s="21">
        <v>16</v>
      </c>
      <c r="F2358" s="21"/>
    </row>
    <row r="2359" spans="1:6" x14ac:dyDescent="0.25">
      <c r="A2359" s="21" t="s">
        <v>2395</v>
      </c>
      <c r="B2359" s="21" t="s">
        <v>22</v>
      </c>
      <c r="C2359" s="21">
        <v>60</v>
      </c>
      <c r="D2359" s="21">
        <v>1080</v>
      </c>
      <c r="E2359" s="21">
        <v>18</v>
      </c>
      <c r="F2359" s="21"/>
    </row>
    <row r="2360" spans="1:6" x14ac:dyDescent="0.25">
      <c r="A2360" s="21" t="s">
        <v>2396</v>
      </c>
      <c r="B2360" s="21" t="s">
        <v>22</v>
      </c>
      <c r="C2360" s="21">
        <v>40</v>
      </c>
      <c r="D2360" s="21">
        <v>720</v>
      </c>
      <c r="E2360" s="21">
        <v>18</v>
      </c>
      <c r="F2360" s="21"/>
    </row>
    <row r="2361" spans="1:6" x14ac:dyDescent="0.25">
      <c r="A2361" s="21" t="s">
        <v>2397</v>
      </c>
      <c r="B2361" s="21" t="s">
        <v>22</v>
      </c>
      <c r="C2361" s="21">
        <v>40</v>
      </c>
      <c r="D2361" s="21">
        <v>720</v>
      </c>
      <c r="E2361" s="21">
        <v>18</v>
      </c>
      <c r="F2361" s="21"/>
    </row>
    <row r="2362" spans="1:6" x14ac:dyDescent="0.25">
      <c r="A2362" s="21" t="s">
        <v>2398</v>
      </c>
      <c r="B2362" s="21" t="s">
        <v>22</v>
      </c>
      <c r="C2362" s="21">
        <v>40</v>
      </c>
      <c r="D2362" s="21">
        <v>720</v>
      </c>
      <c r="E2362" s="21">
        <v>18</v>
      </c>
      <c r="F2362" s="21"/>
    </row>
    <row r="2363" spans="1:6" x14ac:dyDescent="0.25">
      <c r="A2363" s="21" t="s">
        <v>2399</v>
      </c>
      <c r="B2363" s="21" t="s">
        <v>22</v>
      </c>
      <c r="C2363" s="21">
        <v>40</v>
      </c>
      <c r="D2363" s="21">
        <v>720</v>
      </c>
      <c r="E2363" s="21">
        <v>18</v>
      </c>
      <c r="F2363" s="21"/>
    </row>
    <row r="2364" spans="1:6" x14ac:dyDescent="0.25">
      <c r="A2364" s="21" t="s">
        <v>2400</v>
      </c>
      <c r="B2364" s="21" t="s">
        <v>22</v>
      </c>
      <c r="C2364" s="21">
        <v>40</v>
      </c>
      <c r="D2364" s="21">
        <v>720</v>
      </c>
      <c r="E2364" s="21">
        <v>18</v>
      </c>
      <c r="F2364" s="21"/>
    </row>
    <row r="2365" spans="1:6" x14ac:dyDescent="0.25">
      <c r="A2365" s="21" t="s">
        <v>2401</v>
      </c>
      <c r="B2365" s="21" t="s">
        <v>22</v>
      </c>
      <c r="C2365" s="21">
        <v>40</v>
      </c>
      <c r="D2365" s="21">
        <v>480</v>
      </c>
      <c r="E2365" s="21">
        <v>12</v>
      </c>
      <c r="F2365" s="21"/>
    </row>
    <row r="2366" spans="1:6" x14ac:dyDescent="0.25">
      <c r="A2366" s="21" t="s">
        <v>2402</v>
      </c>
      <c r="B2366" s="21" t="s">
        <v>22</v>
      </c>
      <c r="C2366" s="21">
        <v>10</v>
      </c>
      <c r="D2366" s="21">
        <v>600</v>
      </c>
      <c r="E2366" s="21">
        <v>60</v>
      </c>
      <c r="F2366" s="21"/>
    </row>
    <row r="2367" spans="1:6" x14ac:dyDescent="0.25">
      <c r="A2367" s="21" t="s">
        <v>2403</v>
      </c>
      <c r="B2367" s="21" t="s">
        <v>22</v>
      </c>
      <c r="C2367" s="21">
        <v>40</v>
      </c>
      <c r="D2367" s="21">
        <v>720</v>
      </c>
      <c r="E2367" s="21">
        <v>18</v>
      </c>
      <c r="F2367" s="21"/>
    </row>
    <row r="2368" spans="1:6" x14ac:dyDescent="0.25">
      <c r="A2368" s="21" t="s">
        <v>2404</v>
      </c>
      <c r="B2368" s="21" t="s">
        <v>22</v>
      </c>
      <c r="C2368" s="21">
        <v>40</v>
      </c>
      <c r="D2368" s="21">
        <v>720</v>
      </c>
      <c r="E2368" s="21">
        <v>18</v>
      </c>
      <c r="F2368" s="21"/>
    </row>
    <row r="2369" spans="1:6" x14ac:dyDescent="0.25">
      <c r="A2369" s="21" t="s">
        <v>2405</v>
      </c>
      <c r="B2369" s="21" t="s">
        <v>22</v>
      </c>
      <c r="C2369" s="21">
        <v>40</v>
      </c>
      <c r="D2369" s="21">
        <v>720</v>
      </c>
      <c r="E2369" s="21">
        <v>18</v>
      </c>
      <c r="F2369" s="21"/>
    </row>
    <row r="2370" spans="1:6" x14ac:dyDescent="0.25">
      <c r="A2370" s="21" t="s">
        <v>2406</v>
      </c>
      <c r="B2370" s="21" t="s">
        <v>22</v>
      </c>
      <c r="C2370" s="21">
        <v>40</v>
      </c>
      <c r="D2370" s="21">
        <v>960</v>
      </c>
      <c r="E2370" s="21">
        <v>24</v>
      </c>
      <c r="F2370" s="21"/>
    </row>
    <row r="2371" spans="1:6" x14ac:dyDescent="0.25">
      <c r="A2371" s="21" t="s">
        <v>2407</v>
      </c>
      <c r="B2371" s="21" t="s">
        <v>22</v>
      </c>
      <c r="C2371" s="21">
        <v>40</v>
      </c>
      <c r="D2371" s="21">
        <v>960</v>
      </c>
      <c r="E2371" s="21">
        <v>24</v>
      </c>
      <c r="F2371" s="21"/>
    </row>
    <row r="2372" spans="1:6" x14ac:dyDescent="0.25">
      <c r="A2372" s="21" t="s">
        <v>2408</v>
      </c>
      <c r="B2372" s="21" t="s">
        <v>22</v>
      </c>
      <c r="C2372" s="21">
        <v>40</v>
      </c>
      <c r="D2372" s="21">
        <v>960</v>
      </c>
      <c r="E2372" s="21">
        <v>24</v>
      </c>
      <c r="F2372" s="21"/>
    </row>
    <row r="2373" spans="1:6" x14ac:dyDescent="0.25">
      <c r="A2373" s="21" t="s">
        <v>2409</v>
      </c>
      <c r="B2373" s="21" t="s">
        <v>22</v>
      </c>
      <c r="C2373" s="21">
        <v>40</v>
      </c>
      <c r="D2373" s="21">
        <v>960</v>
      </c>
      <c r="E2373" s="21">
        <v>24</v>
      </c>
      <c r="F2373" s="21"/>
    </row>
    <row r="2374" spans="1:6" x14ac:dyDescent="0.25">
      <c r="A2374" s="21" t="s">
        <v>2410</v>
      </c>
      <c r="B2374" s="21" t="s">
        <v>22</v>
      </c>
      <c r="C2374" s="21">
        <v>40</v>
      </c>
      <c r="D2374" s="21">
        <v>960</v>
      </c>
      <c r="E2374" s="21">
        <v>24</v>
      </c>
      <c r="F2374" s="21"/>
    </row>
    <row r="2375" spans="1:6" x14ac:dyDescent="0.25">
      <c r="A2375" s="21" t="s">
        <v>2411</v>
      </c>
      <c r="B2375" s="21" t="s">
        <v>22</v>
      </c>
      <c r="C2375" s="21">
        <v>40</v>
      </c>
      <c r="D2375" s="21">
        <v>960</v>
      </c>
      <c r="E2375" s="21">
        <v>24</v>
      </c>
      <c r="F2375" s="21"/>
    </row>
    <row r="2376" spans="1:6" x14ac:dyDescent="0.25">
      <c r="A2376" s="21" t="s">
        <v>2412</v>
      </c>
      <c r="B2376" s="21" t="s">
        <v>22</v>
      </c>
      <c r="C2376" s="21">
        <v>40</v>
      </c>
      <c r="D2376" s="21">
        <v>960</v>
      </c>
      <c r="E2376" s="21">
        <v>24</v>
      </c>
      <c r="F2376" s="21"/>
    </row>
    <row r="2377" spans="1:6" x14ac:dyDescent="0.25">
      <c r="A2377" s="21" t="s">
        <v>2413</v>
      </c>
      <c r="B2377" s="21" t="s">
        <v>22</v>
      </c>
      <c r="C2377" s="21">
        <v>40</v>
      </c>
      <c r="D2377" s="21">
        <v>960</v>
      </c>
      <c r="E2377" s="21">
        <v>24</v>
      </c>
      <c r="F2377" s="21"/>
    </row>
    <row r="2378" spans="1:6" x14ac:dyDescent="0.25">
      <c r="A2378" s="21" t="s">
        <v>2414</v>
      </c>
      <c r="B2378" s="21" t="s">
        <v>22</v>
      </c>
      <c r="C2378" s="21">
        <v>40</v>
      </c>
      <c r="D2378" s="21">
        <v>960</v>
      </c>
      <c r="E2378" s="21">
        <v>24</v>
      </c>
      <c r="F2378" s="21"/>
    </row>
    <row r="2379" spans="1:6" x14ac:dyDescent="0.25">
      <c r="A2379" s="21" t="s">
        <v>2415</v>
      </c>
      <c r="B2379" s="21" t="s">
        <v>22</v>
      </c>
      <c r="C2379" s="21">
        <v>30</v>
      </c>
      <c r="D2379" s="21">
        <v>720</v>
      </c>
      <c r="E2379" s="21">
        <v>24</v>
      </c>
      <c r="F2379" s="21"/>
    </row>
    <row r="2380" spans="1:6" x14ac:dyDescent="0.25">
      <c r="A2380" s="21" t="s">
        <v>2416</v>
      </c>
      <c r="B2380" s="21" t="s">
        <v>22</v>
      </c>
      <c r="C2380" s="21">
        <v>40</v>
      </c>
      <c r="D2380" s="21">
        <v>720</v>
      </c>
      <c r="E2380" s="21">
        <v>18</v>
      </c>
      <c r="F2380" s="21"/>
    </row>
    <row r="2381" spans="1:6" x14ac:dyDescent="0.25">
      <c r="A2381" s="21" t="s">
        <v>2417</v>
      </c>
      <c r="B2381" s="21" t="s">
        <v>22</v>
      </c>
      <c r="C2381" s="21">
        <v>40</v>
      </c>
      <c r="D2381" s="21">
        <v>720</v>
      </c>
      <c r="E2381" s="21">
        <v>18</v>
      </c>
      <c r="F2381" s="21"/>
    </row>
    <row r="2382" spans="1:6" x14ac:dyDescent="0.25">
      <c r="A2382" s="21" t="s">
        <v>2418</v>
      </c>
      <c r="B2382" s="21" t="s">
        <v>22</v>
      </c>
      <c r="C2382" s="21">
        <v>40</v>
      </c>
      <c r="D2382" s="21">
        <v>720</v>
      </c>
      <c r="E2382" s="21">
        <v>18</v>
      </c>
      <c r="F2382" s="21"/>
    </row>
    <row r="2383" spans="1:6" x14ac:dyDescent="0.25">
      <c r="A2383" s="21" t="s">
        <v>2419</v>
      </c>
      <c r="B2383" s="21" t="s">
        <v>22</v>
      </c>
      <c r="C2383" s="21">
        <v>40</v>
      </c>
      <c r="D2383" s="21">
        <v>720</v>
      </c>
      <c r="E2383" s="21">
        <v>18</v>
      </c>
      <c r="F2383" s="21"/>
    </row>
    <row r="2384" spans="1:6" x14ac:dyDescent="0.25">
      <c r="A2384" s="21" t="s">
        <v>2420</v>
      </c>
      <c r="B2384" s="21" t="s">
        <v>22</v>
      </c>
      <c r="C2384" s="21">
        <v>40</v>
      </c>
      <c r="D2384" s="21">
        <v>720</v>
      </c>
      <c r="E2384" s="21">
        <v>18</v>
      </c>
      <c r="F2384" s="21"/>
    </row>
    <row r="2385" spans="1:6" x14ac:dyDescent="0.25">
      <c r="A2385" s="21" t="s">
        <v>2421</v>
      </c>
      <c r="B2385" s="21" t="s">
        <v>22</v>
      </c>
      <c r="C2385" s="21">
        <v>40</v>
      </c>
      <c r="D2385" s="21">
        <v>720</v>
      </c>
      <c r="E2385" s="21">
        <v>18</v>
      </c>
      <c r="F2385" s="21"/>
    </row>
    <row r="2386" spans="1:6" x14ac:dyDescent="0.25">
      <c r="A2386" s="21" t="s">
        <v>2422</v>
      </c>
      <c r="B2386" s="21" t="s">
        <v>22</v>
      </c>
      <c r="C2386" s="21">
        <v>40</v>
      </c>
      <c r="D2386" s="21">
        <v>720</v>
      </c>
      <c r="E2386" s="21">
        <v>18</v>
      </c>
      <c r="F2386" s="21"/>
    </row>
    <row r="2387" spans="1:6" x14ac:dyDescent="0.25">
      <c r="A2387" s="21" t="s">
        <v>2423</v>
      </c>
      <c r="B2387" s="21" t="s">
        <v>22</v>
      </c>
      <c r="C2387" s="21">
        <v>30</v>
      </c>
      <c r="D2387" s="21">
        <v>540</v>
      </c>
      <c r="E2387" s="21">
        <v>18</v>
      </c>
      <c r="F2387" s="21"/>
    </row>
    <row r="2388" spans="1:6" x14ac:dyDescent="0.25">
      <c r="A2388" s="21" t="s">
        <v>2424</v>
      </c>
      <c r="B2388" s="21" t="s">
        <v>22</v>
      </c>
      <c r="C2388" s="21">
        <v>30</v>
      </c>
      <c r="D2388" s="21">
        <v>540</v>
      </c>
      <c r="E2388" s="21">
        <v>18</v>
      </c>
      <c r="F2388" s="21"/>
    </row>
    <row r="2389" spans="1:6" x14ac:dyDescent="0.25">
      <c r="A2389" s="21" t="s">
        <v>2425</v>
      </c>
      <c r="B2389" s="21" t="s">
        <v>22</v>
      </c>
      <c r="C2389" s="21">
        <v>30</v>
      </c>
      <c r="D2389" s="21">
        <v>540</v>
      </c>
      <c r="E2389" s="21">
        <v>18</v>
      </c>
      <c r="F2389" s="21"/>
    </row>
    <row r="2390" spans="1:6" x14ac:dyDescent="0.25">
      <c r="A2390" s="21" t="s">
        <v>2426</v>
      </c>
      <c r="B2390" s="21" t="s">
        <v>22</v>
      </c>
      <c r="C2390" s="21">
        <v>30</v>
      </c>
      <c r="D2390" s="21">
        <v>540</v>
      </c>
      <c r="E2390" s="21">
        <v>18</v>
      </c>
      <c r="F2390" s="21"/>
    </row>
    <row r="2391" spans="1:6" x14ac:dyDescent="0.25">
      <c r="A2391" s="21" t="s">
        <v>2427</v>
      </c>
      <c r="B2391" s="21" t="s">
        <v>22</v>
      </c>
      <c r="C2391" s="21">
        <v>30</v>
      </c>
      <c r="D2391" s="21">
        <v>540</v>
      </c>
      <c r="E2391" s="21">
        <v>18</v>
      </c>
      <c r="F2391" s="21"/>
    </row>
    <row r="2392" spans="1:6" x14ac:dyDescent="0.25">
      <c r="A2392" s="21" t="s">
        <v>2428</v>
      </c>
      <c r="B2392" s="21" t="s">
        <v>22</v>
      </c>
      <c r="C2392" s="21">
        <v>20</v>
      </c>
      <c r="D2392" s="21">
        <v>600</v>
      </c>
      <c r="E2392" s="21">
        <v>30</v>
      </c>
      <c r="F2392" s="21"/>
    </row>
    <row r="2393" spans="1:6" x14ac:dyDescent="0.25">
      <c r="A2393" s="21" t="s">
        <v>2429</v>
      </c>
      <c r="B2393" s="21" t="s">
        <v>22</v>
      </c>
      <c r="C2393" s="21">
        <v>20</v>
      </c>
      <c r="D2393" s="21">
        <v>500</v>
      </c>
      <c r="E2393" s="21">
        <v>25</v>
      </c>
      <c r="F2393" s="21"/>
    </row>
    <row r="2394" spans="1:6" x14ac:dyDescent="0.25">
      <c r="A2394" s="21" t="s">
        <v>2430</v>
      </c>
      <c r="B2394" s="21" t="s">
        <v>22</v>
      </c>
      <c r="C2394" s="21">
        <v>20</v>
      </c>
      <c r="D2394" s="21">
        <v>600</v>
      </c>
      <c r="E2394" s="21">
        <v>30</v>
      </c>
      <c r="F2394" s="21"/>
    </row>
    <row r="2395" spans="1:6" x14ac:dyDescent="0.25">
      <c r="A2395" s="21" t="s">
        <v>2431</v>
      </c>
      <c r="B2395" s="21" t="s">
        <v>22</v>
      </c>
      <c r="C2395" s="21">
        <v>20</v>
      </c>
      <c r="D2395" s="21">
        <v>320</v>
      </c>
      <c r="E2395" s="21">
        <v>16</v>
      </c>
      <c r="F2395" s="21"/>
    </row>
    <row r="2396" spans="1:6" x14ac:dyDescent="0.25">
      <c r="A2396" s="21" t="s">
        <v>2432</v>
      </c>
      <c r="B2396" s="21" t="s">
        <v>22</v>
      </c>
      <c r="C2396" s="21">
        <v>10</v>
      </c>
      <c r="D2396" s="21">
        <v>400</v>
      </c>
      <c r="E2396" s="21">
        <v>40</v>
      </c>
      <c r="F2396" s="21"/>
    </row>
    <row r="2397" spans="1:6" x14ac:dyDescent="0.25">
      <c r="A2397" s="21" t="s">
        <v>2433</v>
      </c>
      <c r="B2397" s="21" t="s">
        <v>22</v>
      </c>
      <c r="C2397" s="21">
        <v>20</v>
      </c>
      <c r="D2397" s="21">
        <v>600</v>
      </c>
      <c r="E2397" s="21">
        <v>30</v>
      </c>
      <c r="F2397" s="21"/>
    </row>
    <row r="2398" spans="1:6" x14ac:dyDescent="0.25">
      <c r="A2398" s="21" t="s">
        <v>2434</v>
      </c>
      <c r="B2398" s="21" t="s">
        <v>22</v>
      </c>
      <c r="C2398" s="21">
        <v>20</v>
      </c>
      <c r="D2398" s="21">
        <v>500</v>
      </c>
      <c r="E2398" s="21">
        <v>25</v>
      </c>
      <c r="F2398" s="21"/>
    </row>
    <row r="2399" spans="1:6" x14ac:dyDescent="0.25">
      <c r="A2399" s="21" t="s">
        <v>2435</v>
      </c>
      <c r="B2399" s="21" t="s">
        <v>22</v>
      </c>
      <c r="C2399" s="21">
        <v>20</v>
      </c>
      <c r="D2399" s="21">
        <v>500</v>
      </c>
      <c r="E2399" s="21">
        <v>25</v>
      </c>
      <c r="F2399" s="21"/>
    </row>
    <row r="2400" spans="1:6" x14ac:dyDescent="0.25">
      <c r="A2400" s="21" t="s">
        <v>2436</v>
      </c>
      <c r="B2400" s="21" t="s">
        <v>22</v>
      </c>
      <c r="C2400" s="21">
        <v>20</v>
      </c>
      <c r="D2400" s="21">
        <v>540</v>
      </c>
      <c r="E2400" s="21">
        <v>27</v>
      </c>
      <c r="F2400" s="21"/>
    </row>
    <row r="2401" spans="1:6" x14ac:dyDescent="0.25">
      <c r="A2401" s="21" t="s">
        <v>2437</v>
      </c>
      <c r="B2401" s="21" t="s">
        <v>22</v>
      </c>
      <c r="C2401" s="21">
        <v>20</v>
      </c>
      <c r="D2401" s="21">
        <v>600</v>
      </c>
      <c r="E2401" s="21">
        <v>30</v>
      </c>
      <c r="F2401" s="21"/>
    </row>
    <row r="2402" spans="1:6" x14ac:dyDescent="0.25">
      <c r="A2402" s="21" t="s">
        <v>2438</v>
      </c>
      <c r="B2402" s="21" t="s">
        <v>22</v>
      </c>
      <c r="C2402" s="21">
        <v>20</v>
      </c>
      <c r="D2402" s="21">
        <v>500</v>
      </c>
      <c r="E2402" s="21">
        <v>25</v>
      </c>
      <c r="F2402" s="21"/>
    </row>
    <row r="2403" spans="1:6" x14ac:dyDescent="0.25">
      <c r="A2403" s="21" t="s">
        <v>2439</v>
      </c>
      <c r="B2403" s="21" t="s">
        <v>22</v>
      </c>
      <c r="C2403" s="21">
        <v>20</v>
      </c>
      <c r="D2403" s="21">
        <v>500</v>
      </c>
      <c r="E2403" s="21">
        <v>25</v>
      </c>
      <c r="F2403" s="21"/>
    </row>
    <row r="2404" spans="1:6" x14ac:dyDescent="0.25">
      <c r="A2404" s="21" t="s">
        <v>2440</v>
      </c>
      <c r="B2404" s="21" t="s">
        <v>22</v>
      </c>
      <c r="C2404" s="21">
        <v>20</v>
      </c>
      <c r="D2404" s="21">
        <v>600</v>
      </c>
      <c r="E2404" s="21">
        <v>30</v>
      </c>
      <c r="F2404" s="21"/>
    </row>
    <row r="2405" spans="1:6" x14ac:dyDescent="0.25">
      <c r="A2405" s="21" t="s">
        <v>2441</v>
      </c>
      <c r="B2405" s="21" t="s">
        <v>22</v>
      </c>
      <c r="C2405" s="21">
        <v>20</v>
      </c>
      <c r="D2405" s="21">
        <v>500</v>
      </c>
      <c r="E2405" s="21">
        <v>25</v>
      </c>
      <c r="F2405" s="21"/>
    </row>
    <row r="2406" spans="1:6" x14ac:dyDescent="0.25">
      <c r="A2406" s="21" t="s">
        <v>2442</v>
      </c>
      <c r="B2406" s="21" t="s">
        <v>22</v>
      </c>
      <c r="C2406" s="21">
        <v>40</v>
      </c>
      <c r="D2406" s="21">
        <v>960</v>
      </c>
      <c r="E2406" s="21">
        <v>24</v>
      </c>
      <c r="F2406" s="21"/>
    </row>
    <row r="2407" spans="1:6" x14ac:dyDescent="0.25">
      <c r="A2407" s="21" t="s">
        <v>2443</v>
      </c>
      <c r="B2407" s="21" t="s">
        <v>22</v>
      </c>
      <c r="C2407" s="21">
        <v>40</v>
      </c>
      <c r="D2407" s="21">
        <v>960</v>
      </c>
      <c r="E2407" s="21">
        <v>24</v>
      </c>
      <c r="F2407" s="21"/>
    </row>
    <row r="2408" spans="1:6" x14ac:dyDescent="0.25">
      <c r="A2408" s="21" t="s">
        <v>2444</v>
      </c>
      <c r="B2408" s="21" t="s">
        <v>22</v>
      </c>
      <c r="C2408" s="21">
        <v>40</v>
      </c>
      <c r="D2408" s="21">
        <v>960</v>
      </c>
      <c r="E2408" s="21">
        <v>24</v>
      </c>
      <c r="F2408" s="21"/>
    </row>
    <row r="2409" spans="1:6" x14ac:dyDescent="0.25">
      <c r="A2409" s="21" t="s">
        <v>2445</v>
      </c>
      <c r="B2409" s="21" t="s">
        <v>22</v>
      </c>
      <c r="C2409" s="21">
        <v>40</v>
      </c>
      <c r="D2409" s="21">
        <v>960</v>
      </c>
      <c r="E2409" s="21">
        <v>24</v>
      </c>
      <c r="F2409" s="21"/>
    </row>
    <row r="2410" spans="1:6" x14ac:dyDescent="0.25">
      <c r="A2410" s="21" t="s">
        <v>2446</v>
      </c>
      <c r="B2410" s="21" t="s">
        <v>22</v>
      </c>
      <c r="C2410" s="21">
        <v>20</v>
      </c>
      <c r="D2410" s="21">
        <v>600</v>
      </c>
      <c r="E2410" s="21">
        <v>30</v>
      </c>
      <c r="F2410" s="21"/>
    </row>
    <row r="2411" spans="1:6" x14ac:dyDescent="0.25">
      <c r="A2411" s="21" t="s">
        <v>2447</v>
      </c>
      <c r="B2411" s="21" t="s">
        <v>22</v>
      </c>
      <c r="C2411" s="21">
        <v>20</v>
      </c>
      <c r="D2411" s="21">
        <v>600</v>
      </c>
      <c r="E2411" s="21">
        <v>30</v>
      </c>
      <c r="F2411" s="21"/>
    </row>
    <row r="2412" spans="1:6" x14ac:dyDescent="0.25">
      <c r="A2412" s="21" t="s">
        <v>2448</v>
      </c>
      <c r="B2412" s="21" t="s">
        <v>22</v>
      </c>
      <c r="C2412" s="21">
        <v>20</v>
      </c>
      <c r="D2412" s="21">
        <v>600</v>
      </c>
      <c r="E2412" s="21">
        <v>30</v>
      </c>
      <c r="F2412" s="21"/>
    </row>
    <row r="2413" spans="1:6" x14ac:dyDescent="0.25">
      <c r="A2413" s="21" t="s">
        <v>2449</v>
      </c>
      <c r="B2413" s="21" t="s">
        <v>22</v>
      </c>
      <c r="C2413" s="21">
        <v>20</v>
      </c>
      <c r="D2413" s="21">
        <v>600</v>
      </c>
      <c r="E2413" s="21">
        <v>30</v>
      </c>
      <c r="F2413" s="21"/>
    </row>
    <row r="2414" spans="1:6" x14ac:dyDescent="0.25">
      <c r="A2414" s="21" t="s">
        <v>2450</v>
      </c>
      <c r="B2414" s="21" t="s">
        <v>22</v>
      </c>
      <c r="C2414" s="21">
        <v>10</v>
      </c>
      <c r="D2414" s="21">
        <v>240</v>
      </c>
      <c r="E2414" s="21">
        <v>24</v>
      </c>
      <c r="F2414" s="21"/>
    </row>
    <row r="2415" spans="1:6" x14ac:dyDescent="0.25">
      <c r="A2415" s="21" t="s">
        <v>2451</v>
      </c>
      <c r="B2415" s="21" t="s">
        <v>22</v>
      </c>
      <c r="C2415" s="21">
        <v>10</v>
      </c>
      <c r="D2415" s="21">
        <v>240</v>
      </c>
      <c r="E2415" s="21">
        <v>24</v>
      </c>
      <c r="F2415" s="21"/>
    </row>
    <row r="2416" spans="1:6" x14ac:dyDescent="0.25">
      <c r="A2416" s="21" t="s">
        <v>2452</v>
      </c>
      <c r="B2416" s="21" t="s">
        <v>22</v>
      </c>
      <c r="C2416" s="21">
        <v>10</v>
      </c>
      <c r="D2416" s="21">
        <v>240</v>
      </c>
      <c r="E2416" s="21">
        <v>24</v>
      </c>
      <c r="F2416" s="21"/>
    </row>
    <row r="2417" spans="1:6" x14ac:dyDescent="0.25">
      <c r="A2417" s="21" t="s">
        <v>2453</v>
      </c>
      <c r="B2417" s="21" t="s">
        <v>22</v>
      </c>
      <c r="C2417" s="21">
        <v>10</v>
      </c>
      <c r="D2417" s="21">
        <v>240</v>
      </c>
      <c r="E2417" s="21">
        <v>24</v>
      </c>
      <c r="F2417" s="21"/>
    </row>
    <row r="2418" spans="1:6" x14ac:dyDescent="0.25">
      <c r="A2418" s="21" t="s">
        <v>2454</v>
      </c>
      <c r="B2418" s="21" t="s">
        <v>22</v>
      </c>
      <c r="C2418" s="21">
        <v>10</v>
      </c>
      <c r="D2418" s="21">
        <v>240</v>
      </c>
      <c r="E2418" s="21">
        <v>24</v>
      </c>
      <c r="F2418" s="21"/>
    </row>
    <row r="2419" spans="1:6" x14ac:dyDescent="0.25">
      <c r="A2419" s="21" t="s">
        <v>2455</v>
      </c>
      <c r="B2419" s="21" t="s">
        <v>22</v>
      </c>
      <c r="C2419" s="21">
        <v>10</v>
      </c>
      <c r="D2419" s="21">
        <v>240</v>
      </c>
      <c r="E2419" s="21">
        <v>24</v>
      </c>
      <c r="F2419" s="21"/>
    </row>
    <row r="2420" spans="1:6" x14ac:dyDescent="0.25">
      <c r="A2420" s="21" t="s">
        <v>2456</v>
      </c>
      <c r="B2420" s="21" t="s">
        <v>22</v>
      </c>
      <c r="C2420" s="21">
        <v>10</v>
      </c>
      <c r="D2420" s="21">
        <v>240</v>
      </c>
      <c r="E2420" s="21">
        <v>24</v>
      </c>
      <c r="F2420" s="21"/>
    </row>
    <row r="2421" spans="1:6" x14ac:dyDescent="0.25">
      <c r="A2421" s="21" t="s">
        <v>2457</v>
      </c>
      <c r="B2421" s="21" t="s">
        <v>22</v>
      </c>
      <c r="C2421" s="21">
        <v>10</v>
      </c>
      <c r="D2421" s="21">
        <v>240</v>
      </c>
      <c r="E2421" s="21">
        <v>24</v>
      </c>
      <c r="F2421" s="21"/>
    </row>
    <row r="2422" spans="1:6" x14ac:dyDescent="0.25">
      <c r="A2422" s="21" t="s">
        <v>2458</v>
      </c>
      <c r="B2422" s="21" t="s">
        <v>22</v>
      </c>
      <c r="C2422" s="21">
        <v>10</v>
      </c>
      <c r="D2422" s="21">
        <v>240</v>
      </c>
      <c r="E2422" s="21">
        <v>24</v>
      </c>
      <c r="F2422" s="21"/>
    </row>
    <row r="2423" spans="1:6" x14ac:dyDescent="0.25">
      <c r="A2423" s="21" t="s">
        <v>2459</v>
      </c>
      <c r="B2423" s="21" t="s">
        <v>22</v>
      </c>
      <c r="C2423" s="21">
        <v>10</v>
      </c>
      <c r="D2423" s="21">
        <v>240</v>
      </c>
      <c r="E2423" s="21">
        <v>24</v>
      </c>
      <c r="F2423" s="21"/>
    </row>
    <row r="2424" spans="1:6" x14ac:dyDescent="0.25">
      <c r="A2424" s="21" t="s">
        <v>2460</v>
      </c>
      <c r="B2424" s="21" t="s">
        <v>22</v>
      </c>
      <c r="C2424" s="21">
        <v>60</v>
      </c>
      <c r="D2424" s="21">
        <v>1620</v>
      </c>
      <c r="E2424" s="21">
        <v>27</v>
      </c>
      <c r="F2424" s="21"/>
    </row>
    <row r="2425" spans="1:6" x14ac:dyDescent="0.25">
      <c r="A2425" s="21" t="s">
        <v>2461</v>
      </c>
      <c r="B2425" s="21" t="s">
        <v>22</v>
      </c>
      <c r="C2425" s="21">
        <v>60</v>
      </c>
      <c r="D2425" s="21">
        <v>1620</v>
      </c>
      <c r="E2425" s="21">
        <v>27</v>
      </c>
      <c r="F2425" s="21"/>
    </row>
    <row r="2426" spans="1:6" x14ac:dyDescent="0.25">
      <c r="A2426" s="21" t="s">
        <v>2462</v>
      </c>
      <c r="B2426" s="21" t="s">
        <v>22</v>
      </c>
      <c r="C2426" s="21">
        <v>60</v>
      </c>
      <c r="D2426" s="21">
        <v>1620</v>
      </c>
      <c r="E2426" s="21">
        <v>27</v>
      </c>
      <c r="F2426" s="21"/>
    </row>
    <row r="2427" spans="1:6" x14ac:dyDescent="0.25">
      <c r="A2427" s="21" t="s">
        <v>2463</v>
      </c>
      <c r="B2427" s="21" t="s">
        <v>22</v>
      </c>
      <c r="C2427" s="21">
        <v>60</v>
      </c>
      <c r="D2427" s="21">
        <v>1620</v>
      </c>
      <c r="E2427" s="21">
        <v>27</v>
      </c>
      <c r="F2427" s="21"/>
    </row>
    <row r="2428" spans="1:6" x14ac:dyDescent="0.25">
      <c r="A2428" s="21" t="s">
        <v>2464</v>
      </c>
      <c r="B2428" s="21" t="s">
        <v>22</v>
      </c>
      <c r="C2428" s="21">
        <v>40</v>
      </c>
      <c r="D2428" s="21">
        <v>960</v>
      </c>
      <c r="E2428" s="21">
        <v>24</v>
      </c>
      <c r="F2428" s="21"/>
    </row>
    <row r="2429" spans="1:6" x14ac:dyDescent="0.25">
      <c r="A2429" s="21" t="s">
        <v>2465</v>
      </c>
      <c r="B2429" s="21" t="s">
        <v>22</v>
      </c>
      <c r="C2429" s="21">
        <v>40</v>
      </c>
      <c r="D2429" s="21">
        <v>960</v>
      </c>
      <c r="E2429" s="21">
        <v>24</v>
      </c>
      <c r="F2429" s="21"/>
    </row>
    <row r="2430" spans="1:6" x14ac:dyDescent="0.25">
      <c r="A2430" s="21" t="s">
        <v>2466</v>
      </c>
      <c r="B2430" s="21" t="s">
        <v>22</v>
      </c>
      <c r="C2430" s="21">
        <v>40</v>
      </c>
      <c r="D2430" s="21">
        <v>960</v>
      </c>
      <c r="E2430" s="21">
        <v>24</v>
      </c>
      <c r="F2430" s="21"/>
    </row>
    <row r="2431" spans="1:6" x14ac:dyDescent="0.25">
      <c r="A2431" s="21" t="s">
        <v>2467</v>
      </c>
      <c r="B2431" s="21" t="s">
        <v>22</v>
      </c>
      <c r="C2431" s="21">
        <v>40</v>
      </c>
      <c r="D2431" s="21">
        <v>960</v>
      </c>
      <c r="E2431" s="21">
        <v>24</v>
      </c>
      <c r="F2431" s="21"/>
    </row>
    <row r="2432" spans="1:6" x14ac:dyDescent="0.25">
      <c r="A2432" s="21" t="s">
        <v>2468</v>
      </c>
      <c r="B2432" s="21" t="s">
        <v>22</v>
      </c>
      <c r="C2432" s="21">
        <v>40</v>
      </c>
      <c r="D2432" s="21">
        <v>960</v>
      </c>
      <c r="E2432" s="21">
        <v>24</v>
      </c>
      <c r="F2432" s="21"/>
    </row>
    <row r="2433" spans="1:6" x14ac:dyDescent="0.25">
      <c r="A2433" s="21" t="s">
        <v>2469</v>
      </c>
      <c r="B2433" s="21" t="s">
        <v>22</v>
      </c>
      <c r="C2433" s="21">
        <v>40</v>
      </c>
      <c r="D2433" s="21">
        <v>960</v>
      </c>
      <c r="E2433" s="21">
        <v>24</v>
      </c>
      <c r="F2433" s="21"/>
    </row>
    <row r="2434" spans="1:6" x14ac:dyDescent="0.25">
      <c r="A2434" s="21" t="s">
        <v>2470</v>
      </c>
      <c r="B2434" s="21" t="s">
        <v>22</v>
      </c>
      <c r="C2434" s="21">
        <v>40</v>
      </c>
      <c r="D2434" s="21">
        <v>960</v>
      </c>
      <c r="E2434" s="21">
        <v>24</v>
      </c>
      <c r="F2434" s="21"/>
    </row>
    <row r="2435" spans="1:6" x14ac:dyDescent="0.25">
      <c r="A2435" s="21" t="s">
        <v>2471</v>
      </c>
      <c r="B2435" s="21" t="s">
        <v>22</v>
      </c>
      <c r="C2435" s="21">
        <v>40</v>
      </c>
      <c r="D2435" s="21">
        <v>960</v>
      </c>
      <c r="E2435" s="21">
        <v>24</v>
      </c>
      <c r="F2435" s="21"/>
    </row>
    <row r="2436" spans="1:6" x14ac:dyDescent="0.25">
      <c r="A2436" s="21" t="s">
        <v>2472</v>
      </c>
      <c r="B2436" s="21" t="s">
        <v>22</v>
      </c>
      <c r="C2436" s="21">
        <v>60</v>
      </c>
      <c r="D2436" s="21">
        <v>1920</v>
      </c>
      <c r="E2436" s="21">
        <v>32</v>
      </c>
      <c r="F2436" s="21"/>
    </row>
    <row r="2437" spans="1:6" x14ac:dyDescent="0.25">
      <c r="A2437" s="21" t="s">
        <v>2473</v>
      </c>
      <c r="B2437" s="21" t="s">
        <v>22</v>
      </c>
      <c r="C2437" s="21">
        <v>60</v>
      </c>
      <c r="D2437" s="21">
        <v>1920</v>
      </c>
      <c r="E2437" s="21">
        <v>32</v>
      </c>
      <c r="F2437" s="21"/>
    </row>
    <row r="2438" spans="1:6" x14ac:dyDescent="0.25">
      <c r="A2438" s="21" t="s">
        <v>2474</v>
      </c>
      <c r="B2438" s="21" t="s">
        <v>22</v>
      </c>
      <c r="C2438" s="21">
        <v>60</v>
      </c>
      <c r="D2438" s="21">
        <v>1800</v>
      </c>
      <c r="E2438" s="21">
        <v>30</v>
      </c>
      <c r="F2438" s="21"/>
    </row>
    <row r="2439" spans="1:6" x14ac:dyDescent="0.25">
      <c r="A2439" s="21" t="s">
        <v>2475</v>
      </c>
      <c r="B2439" s="21" t="s">
        <v>22</v>
      </c>
      <c r="C2439" s="21">
        <v>60</v>
      </c>
      <c r="D2439" s="21">
        <v>1920</v>
      </c>
      <c r="E2439" s="21">
        <v>32</v>
      </c>
      <c r="F2439" s="21"/>
    </row>
    <row r="2440" spans="1:6" x14ac:dyDescent="0.25">
      <c r="A2440" s="21" t="s">
        <v>2476</v>
      </c>
      <c r="B2440" s="21" t="s">
        <v>22</v>
      </c>
      <c r="C2440" s="21">
        <v>60</v>
      </c>
      <c r="D2440" s="21">
        <v>1800</v>
      </c>
      <c r="E2440" s="21">
        <v>30</v>
      </c>
      <c r="F2440" s="21"/>
    </row>
    <row r="2441" spans="1:6" x14ac:dyDescent="0.25">
      <c r="A2441" s="21" t="s">
        <v>2477</v>
      </c>
      <c r="B2441" s="21" t="s">
        <v>22</v>
      </c>
      <c r="C2441" s="21">
        <v>60</v>
      </c>
      <c r="D2441" s="21">
        <v>1920</v>
      </c>
      <c r="E2441" s="21">
        <v>32</v>
      </c>
      <c r="F2441" s="21"/>
    </row>
    <row r="2442" spans="1:6" x14ac:dyDescent="0.25">
      <c r="A2442" s="21" t="s">
        <v>2478</v>
      </c>
      <c r="B2442" s="21" t="s">
        <v>22</v>
      </c>
      <c r="C2442" s="21">
        <v>40</v>
      </c>
      <c r="D2442" s="21">
        <v>960</v>
      </c>
      <c r="E2442" s="21">
        <v>24</v>
      </c>
      <c r="F2442" s="21"/>
    </row>
    <row r="2443" spans="1:6" x14ac:dyDescent="0.25">
      <c r="A2443" s="21" t="s">
        <v>2479</v>
      </c>
      <c r="B2443" s="21" t="s">
        <v>22</v>
      </c>
      <c r="C2443" s="21">
        <v>40</v>
      </c>
      <c r="D2443" s="21">
        <v>960</v>
      </c>
      <c r="E2443" s="21">
        <v>24</v>
      </c>
      <c r="F2443" s="21"/>
    </row>
    <row r="2444" spans="1:6" x14ac:dyDescent="0.25">
      <c r="A2444" s="21" t="s">
        <v>2480</v>
      </c>
      <c r="B2444" s="21" t="s">
        <v>22</v>
      </c>
      <c r="C2444" s="21">
        <v>60</v>
      </c>
      <c r="D2444" s="21">
        <v>1920</v>
      </c>
      <c r="E2444" s="21">
        <v>32</v>
      </c>
      <c r="F2444" s="21"/>
    </row>
    <row r="2445" spans="1:6" x14ac:dyDescent="0.25">
      <c r="A2445" s="21" t="s">
        <v>2481</v>
      </c>
      <c r="B2445" s="21" t="s">
        <v>22</v>
      </c>
      <c r="C2445" s="21">
        <v>60</v>
      </c>
      <c r="D2445" s="21">
        <v>1800</v>
      </c>
      <c r="E2445" s="21">
        <v>30</v>
      </c>
      <c r="F2445" s="21"/>
    </row>
    <row r="2446" spans="1:6" x14ac:dyDescent="0.25">
      <c r="A2446" s="21" t="s">
        <v>2482</v>
      </c>
      <c r="B2446" s="21" t="s">
        <v>22</v>
      </c>
      <c r="C2446" s="21">
        <v>60</v>
      </c>
      <c r="D2446" s="21">
        <v>1920</v>
      </c>
      <c r="E2446" s="21">
        <v>32</v>
      </c>
      <c r="F2446" s="21"/>
    </row>
    <row r="2447" spans="1:6" x14ac:dyDescent="0.25">
      <c r="A2447" s="21" t="s">
        <v>2483</v>
      </c>
      <c r="B2447" s="21" t="s">
        <v>22</v>
      </c>
      <c r="C2447" s="21">
        <v>60</v>
      </c>
      <c r="D2447" s="21">
        <v>1800</v>
      </c>
      <c r="E2447" s="21">
        <v>30</v>
      </c>
      <c r="F2447" s="21"/>
    </row>
    <row r="2448" spans="1:6" x14ac:dyDescent="0.25">
      <c r="A2448" s="21" t="s">
        <v>2484</v>
      </c>
      <c r="B2448" s="21" t="s">
        <v>22</v>
      </c>
      <c r="C2448" s="21">
        <v>60</v>
      </c>
      <c r="D2448" s="21">
        <v>1920</v>
      </c>
      <c r="E2448" s="21">
        <v>32</v>
      </c>
      <c r="F2448" s="21"/>
    </row>
    <row r="2449" spans="1:6" x14ac:dyDescent="0.25">
      <c r="A2449" s="21" t="s">
        <v>2485</v>
      </c>
      <c r="B2449" s="21" t="s">
        <v>22</v>
      </c>
      <c r="C2449" s="21">
        <v>60</v>
      </c>
      <c r="D2449" s="21">
        <v>1800</v>
      </c>
      <c r="E2449" s="21">
        <v>30</v>
      </c>
      <c r="F2449" s="21"/>
    </row>
    <row r="2450" spans="1:6" x14ac:dyDescent="0.25">
      <c r="A2450" s="21" t="s">
        <v>2486</v>
      </c>
      <c r="B2450" s="21" t="s">
        <v>22</v>
      </c>
      <c r="C2450" s="21">
        <v>60</v>
      </c>
      <c r="D2450" s="21">
        <v>1920</v>
      </c>
      <c r="E2450" s="21">
        <v>32</v>
      </c>
      <c r="F2450" s="21"/>
    </row>
    <row r="2451" spans="1:6" x14ac:dyDescent="0.25">
      <c r="A2451" s="21" t="s">
        <v>2487</v>
      </c>
      <c r="B2451" s="21" t="s">
        <v>22</v>
      </c>
      <c r="C2451" s="21">
        <v>60</v>
      </c>
      <c r="D2451" s="21">
        <v>1800</v>
      </c>
      <c r="E2451" s="21">
        <v>30</v>
      </c>
      <c r="F2451" s="21"/>
    </row>
    <row r="2452" spans="1:6" x14ac:dyDescent="0.25">
      <c r="A2452" s="21" t="s">
        <v>2488</v>
      </c>
      <c r="B2452" s="21" t="s">
        <v>22</v>
      </c>
      <c r="C2452" s="21">
        <v>40</v>
      </c>
      <c r="D2452" s="21">
        <v>960</v>
      </c>
      <c r="E2452" s="21">
        <v>24</v>
      </c>
      <c r="F2452" s="21"/>
    </row>
    <row r="2453" spans="1:6" x14ac:dyDescent="0.25">
      <c r="A2453" s="21" t="s">
        <v>2489</v>
      </c>
      <c r="B2453" s="21" t="s">
        <v>22</v>
      </c>
      <c r="C2453" s="21">
        <v>40</v>
      </c>
      <c r="D2453" s="21">
        <v>960</v>
      </c>
      <c r="E2453" s="21">
        <v>24</v>
      </c>
      <c r="F2453" s="21"/>
    </row>
    <row r="2454" spans="1:6" x14ac:dyDescent="0.25">
      <c r="A2454" s="21" t="s">
        <v>2490</v>
      </c>
      <c r="B2454" s="21" t="s">
        <v>22</v>
      </c>
      <c r="C2454" s="21">
        <v>60</v>
      </c>
      <c r="D2454" s="21">
        <v>1500</v>
      </c>
      <c r="E2454" s="21">
        <v>25</v>
      </c>
      <c r="F2454" s="21"/>
    </row>
    <row r="2455" spans="1:6" x14ac:dyDescent="0.25">
      <c r="A2455" s="21" t="s">
        <v>2491</v>
      </c>
      <c r="B2455" s="21" t="s">
        <v>22</v>
      </c>
      <c r="C2455" s="21">
        <v>60</v>
      </c>
      <c r="D2455" s="21">
        <v>1500</v>
      </c>
      <c r="E2455" s="21">
        <v>25</v>
      </c>
      <c r="F2455" s="21"/>
    </row>
    <row r="2456" spans="1:6" x14ac:dyDescent="0.25">
      <c r="A2456" s="21" t="s">
        <v>2492</v>
      </c>
      <c r="B2456" s="21" t="s">
        <v>22</v>
      </c>
      <c r="C2456" s="21">
        <v>60</v>
      </c>
      <c r="D2456" s="21">
        <v>1200</v>
      </c>
      <c r="E2456" s="21">
        <v>20</v>
      </c>
      <c r="F2456" s="21"/>
    </row>
    <row r="2457" spans="1:6" x14ac:dyDescent="0.25">
      <c r="A2457" s="21" t="s">
        <v>2493</v>
      </c>
      <c r="B2457" s="21" t="s">
        <v>22</v>
      </c>
      <c r="C2457" s="21">
        <v>60</v>
      </c>
      <c r="D2457" s="21">
        <v>1500</v>
      </c>
      <c r="E2457" s="21">
        <v>25</v>
      </c>
      <c r="F2457" s="21"/>
    </row>
    <row r="2458" spans="1:6" x14ac:dyDescent="0.25">
      <c r="A2458" s="21" t="s">
        <v>2494</v>
      </c>
      <c r="B2458" s="21" t="s">
        <v>22</v>
      </c>
      <c r="C2458" s="21">
        <v>60</v>
      </c>
      <c r="D2458" s="21">
        <v>1500</v>
      </c>
      <c r="E2458" s="21">
        <v>25</v>
      </c>
      <c r="F2458" s="21"/>
    </row>
    <row r="2459" spans="1:6" x14ac:dyDescent="0.25">
      <c r="A2459" s="21" t="s">
        <v>2495</v>
      </c>
      <c r="B2459" s="21" t="s">
        <v>22</v>
      </c>
      <c r="C2459" s="21">
        <v>60</v>
      </c>
      <c r="D2459" s="21">
        <v>1440</v>
      </c>
      <c r="E2459" s="21">
        <v>24</v>
      </c>
      <c r="F2459" s="21"/>
    </row>
    <row r="2460" spans="1:6" x14ac:dyDescent="0.25">
      <c r="A2460" s="21" t="s">
        <v>2496</v>
      </c>
      <c r="B2460" s="21" t="s">
        <v>22</v>
      </c>
      <c r="C2460" s="21">
        <v>10</v>
      </c>
      <c r="D2460" s="21">
        <v>840</v>
      </c>
      <c r="E2460" s="21">
        <v>84</v>
      </c>
      <c r="F2460" s="21"/>
    </row>
    <row r="2461" spans="1:6" x14ac:dyDescent="0.25">
      <c r="A2461" s="21" t="s">
        <v>2497</v>
      </c>
      <c r="B2461" s="21" t="s">
        <v>22</v>
      </c>
      <c r="C2461" s="21">
        <v>60</v>
      </c>
      <c r="D2461" s="21">
        <v>1440</v>
      </c>
      <c r="E2461" s="21">
        <v>24</v>
      </c>
      <c r="F2461" s="21"/>
    </row>
    <row r="2462" spans="1:6" x14ac:dyDescent="0.25">
      <c r="A2462" s="21" t="s">
        <v>2498</v>
      </c>
      <c r="B2462" s="21" t="s">
        <v>22</v>
      </c>
      <c r="C2462" s="21">
        <v>60</v>
      </c>
      <c r="D2462" s="21">
        <v>1500</v>
      </c>
      <c r="E2462" s="21">
        <v>25</v>
      </c>
      <c r="F2462" s="21"/>
    </row>
    <row r="2463" spans="1:6" x14ac:dyDescent="0.25">
      <c r="A2463" s="21" t="s">
        <v>2499</v>
      </c>
      <c r="B2463" s="21" t="s">
        <v>22</v>
      </c>
      <c r="C2463" s="21">
        <v>60</v>
      </c>
      <c r="D2463" s="21">
        <v>1200</v>
      </c>
      <c r="E2463" s="21">
        <v>20</v>
      </c>
      <c r="F2463" s="21"/>
    </row>
    <row r="2464" spans="1:6" x14ac:dyDescent="0.25">
      <c r="A2464" s="21" t="s">
        <v>2500</v>
      </c>
      <c r="B2464" s="21" t="s">
        <v>22</v>
      </c>
      <c r="C2464" s="21">
        <v>60</v>
      </c>
      <c r="D2464" s="21">
        <v>1500</v>
      </c>
      <c r="E2464" s="21">
        <v>25</v>
      </c>
      <c r="F2464" s="21"/>
    </row>
    <row r="2465" spans="1:6" x14ac:dyDescent="0.25">
      <c r="A2465" s="21" t="s">
        <v>2501</v>
      </c>
      <c r="B2465" s="21" t="s">
        <v>22</v>
      </c>
      <c r="C2465" s="21">
        <v>60</v>
      </c>
      <c r="D2465" s="21">
        <v>1500</v>
      </c>
      <c r="E2465" s="21">
        <v>25</v>
      </c>
      <c r="F2465" s="21"/>
    </row>
    <row r="2466" spans="1:6" x14ac:dyDescent="0.25">
      <c r="A2466" s="21" t="s">
        <v>2502</v>
      </c>
      <c r="B2466" s="21" t="s">
        <v>22</v>
      </c>
      <c r="C2466" s="21">
        <v>60</v>
      </c>
      <c r="D2466" s="21">
        <v>1800</v>
      </c>
      <c r="E2466" s="21">
        <v>30</v>
      </c>
      <c r="F2466" s="21"/>
    </row>
    <row r="2467" spans="1:6" x14ac:dyDescent="0.25">
      <c r="A2467" s="21" t="s">
        <v>2503</v>
      </c>
      <c r="B2467" s="21" t="s">
        <v>22</v>
      </c>
      <c r="C2467" s="21">
        <v>60</v>
      </c>
      <c r="D2467" s="21">
        <v>1800</v>
      </c>
      <c r="E2467" s="21">
        <v>30</v>
      </c>
      <c r="F2467" s="21"/>
    </row>
    <row r="2468" spans="1:6" x14ac:dyDescent="0.25">
      <c r="A2468" s="21" t="s">
        <v>2504</v>
      </c>
      <c r="B2468" s="21" t="s">
        <v>22</v>
      </c>
      <c r="C2468" s="21">
        <v>60</v>
      </c>
      <c r="D2468" s="21">
        <v>1800</v>
      </c>
      <c r="E2468" s="21">
        <v>30</v>
      </c>
      <c r="F2468" s="21"/>
    </row>
    <row r="2469" spans="1:6" x14ac:dyDescent="0.25">
      <c r="A2469" s="21" t="s">
        <v>2505</v>
      </c>
      <c r="B2469" s="21" t="s">
        <v>22</v>
      </c>
      <c r="C2469" s="21">
        <v>60</v>
      </c>
      <c r="D2469" s="21">
        <v>1800</v>
      </c>
      <c r="E2469" s="21">
        <v>30</v>
      </c>
      <c r="F2469" s="21"/>
    </row>
    <row r="2470" spans="1:6" x14ac:dyDescent="0.25">
      <c r="A2470" s="21" t="s">
        <v>2506</v>
      </c>
      <c r="B2470" s="21" t="s">
        <v>22</v>
      </c>
      <c r="C2470" s="21">
        <v>60</v>
      </c>
      <c r="D2470" s="21">
        <v>1800</v>
      </c>
      <c r="E2470" s="21">
        <v>30</v>
      </c>
      <c r="F2470" s="21"/>
    </row>
    <row r="2471" spans="1:6" x14ac:dyDescent="0.25">
      <c r="A2471" s="21" t="s">
        <v>2507</v>
      </c>
      <c r="B2471" s="21" t="s">
        <v>22</v>
      </c>
      <c r="C2471" s="21">
        <v>60</v>
      </c>
      <c r="D2471" s="21">
        <v>1500</v>
      </c>
      <c r="E2471" s="21">
        <v>25</v>
      </c>
      <c r="F2471" s="21"/>
    </row>
    <row r="2472" spans="1:6" x14ac:dyDescent="0.25">
      <c r="A2472" s="21" t="s">
        <v>2508</v>
      </c>
      <c r="B2472" s="21" t="s">
        <v>22</v>
      </c>
      <c r="C2472" s="21">
        <v>60</v>
      </c>
      <c r="D2472" s="21">
        <v>1200</v>
      </c>
      <c r="E2472" s="21">
        <v>20</v>
      </c>
      <c r="F2472" s="21"/>
    </row>
    <row r="2473" spans="1:6" x14ac:dyDescent="0.25">
      <c r="A2473" s="21" t="s">
        <v>2509</v>
      </c>
      <c r="B2473" s="21" t="s">
        <v>22</v>
      </c>
      <c r="C2473" s="21">
        <v>60</v>
      </c>
      <c r="D2473" s="21">
        <v>1500</v>
      </c>
      <c r="E2473" s="21">
        <v>25</v>
      </c>
      <c r="F2473" s="21"/>
    </row>
    <row r="2474" spans="1:6" x14ac:dyDescent="0.25">
      <c r="A2474" s="21" t="s">
        <v>2510</v>
      </c>
      <c r="B2474" s="21" t="s">
        <v>22</v>
      </c>
      <c r="C2474" s="21">
        <v>60</v>
      </c>
      <c r="D2474" s="21">
        <v>1500</v>
      </c>
      <c r="E2474" s="21">
        <v>25</v>
      </c>
      <c r="F2474" s="21"/>
    </row>
    <row r="2475" spans="1:6" x14ac:dyDescent="0.25">
      <c r="A2475" s="21" t="s">
        <v>2511</v>
      </c>
      <c r="B2475" s="21" t="s">
        <v>22</v>
      </c>
      <c r="C2475" s="21">
        <v>60</v>
      </c>
      <c r="D2475" s="21">
        <v>1500</v>
      </c>
      <c r="E2475" s="21">
        <v>25</v>
      </c>
      <c r="F2475" s="21"/>
    </row>
    <row r="2476" spans="1:6" x14ac:dyDescent="0.25">
      <c r="A2476" s="21" t="s">
        <v>2512</v>
      </c>
      <c r="B2476" s="21" t="s">
        <v>22</v>
      </c>
      <c r="C2476" s="21">
        <v>60</v>
      </c>
      <c r="D2476" s="21">
        <v>1200</v>
      </c>
      <c r="E2476" s="21">
        <v>20</v>
      </c>
      <c r="F2476" s="21"/>
    </row>
    <row r="2477" spans="1:6" x14ac:dyDescent="0.25">
      <c r="A2477" s="21" t="s">
        <v>2513</v>
      </c>
      <c r="B2477" s="21" t="s">
        <v>22</v>
      </c>
      <c r="C2477" s="21">
        <v>60</v>
      </c>
      <c r="D2477" s="21">
        <v>1500</v>
      </c>
      <c r="E2477" s="21">
        <v>25</v>
      </c>
      <c r="F2477" s="21"/>
    </row>
    <row r="2478" spans="1:6" x14ac:dyDescent="0.25">
      <c r="A2478" s="21" t="s">
        <v>2514</v>
      </c>
      <c r="B2478" s="21" t="s">
        <v>22</v>
      </c>
      <c r="C2478" s="21">
        <v>60</v>
      </c>
      <c r="D2478" s="21">
        <v>1500</v>
      </c>
      <c r="E2478" s="21">
        <v>25</v>
      </c>
      <c r="F2478" s="21"/>
    </row>
    <row r="2479" spans="1:6" x14ac:dyDescent="0.25">
      <c r="A2479" s="21" t="s">
        <v>2515</v>
      </c>
      <c r="B2479" s="21" t="s">
        <v>22</v>
      </c>
      <c r="C2479" s="21">
        <v>60</v>
      </c>
      <c r="D2479" s="21">
        <v>1800</v>
      </c>
      <c r="E2479" s="21">
        <v>30</v>
      </c>
      <c r="F2479" s="21"/>
    </row>
    <row r="2480" spans="1:6" x14ac:dyDescent="0.25">
      <c r="A2480" s="21" t="s">
        <v>2516</v>
      </c>
      <c r="B2480" s="21" t="s">
        <v>22</v>
      </c>
      <c r="C2480" s="21">
        <v>60</v>
      </c>
      <c r="D2480" s="21">
        <v>1800</v>
      </c>
      <c r="E2480" s="21">
        <v>30</v>
      </c>
      <c r="F2480" s="21"/>
    </row>
    <row r="2481" spans="1:6" x14ac:dyDescent="0.25">
      <c r="A2481" s="21" t="s">
        <v>2517</v>
      </c>
      <c r="B2481" s="21" t="s">
        <v>22</v>
      </c>
      <c r="C2481" s="21">
        <v>60</v>
      </c>
      <c r="D2481" s="21">
        <v>1800</v>
      </c>
      <c r="E2481" s="21">
        <v>30</v>
      </c>
      <c r="F2481" s="21"/>
    </row>
    <row r="2482" spans="1:6" x14ac:dyDescent="0.25">
      <c r="A2482" s="21" t="s">
        <v>2518</v>
      </c>
      <c r="B2482" s="21" t="s">
        <v>22</v>
      </c>
      <c r="C2482" s="21">
        <v>60</v>
      </c>
      <c r="D2482" s="21">
        <v>1800</v>
      </c>
      <c r="E2482" s="21">
        <v>30</v>
      </c>
      <c r="F2482" s="21"/>
    </row>
    <row r="2483" spans="1:6" x14ac:dyDescent="0.25">
      <c r="A2483" s="21" t="s">
        <v>2519</v>
      </c>
      <c r="B2483" s="21" t="s">
        <v>22</v>
      </c>
      <c r="C2483" s="21">
        <v>40</v>
      </c>
      <c r="D2483" s="21">
        <v>960</v>
      </c>
      <c r="E2483" s="21">
        <v>24</v>
      </c>
      <c r="F2483" s="21"/>
    </row>
    <row r="2484" spans="1:6" x14ac:dyDescent="0.25">
      <c r="A2484" s="21" t="s">
        <v>2520</v>
      </c>
      <c r="B2484" s="21" t="s">
        <v>22</v>
      </c>
      <c r="C2484" s="21">
        <v>40</v>
      </c>
      <c r="D2484" s="21">
        <v>960</v>
      </c>
      <c r="E2484" s="21">
        <v>24</v>
      </c>
      <c r="F2484" s="21"/>
    </row>
    <row r="2485" spans="1:6" x14ac:dyDescent="0.25">
      <c r="A2485" s="21" t="s">
        <v>2521</v>
      </c>
      <c r="B2485" s="21" t="s">
        <v>22</v>
      </c>
      <c r="C2485" s="21">
        <v>40</v>
      </c>
      <c r="D2485" s="21">
        <v>960</v>
      </c>
      <c r="E2485" s="21">
        <v>24</v>
      </c>
      <c r="F2485" s="21"/>
    </row>
    <row r="2486" spans="1:6" x14ac:dyDescent="0.25">
      <c r="A2486" s="21" t="s">
        <v>2522</v>
      </c>
      <c r="B2486" s="21" t="s">
        <v>22</v>
      </c>
      <c r="C2486" s="21">
        <v>40</v>
      </c>
      <c r="D2486" s="21">
        <v>960</v>
      </c>
      <c r="E2486" s="21">
        <v>24</v>
      </c>
      <c r="F2486" s="21"/>
    </row>
    <row r="2487" spans="1:6" x14ac:dyDescent="0.25">
      <c r="A2487" s="21" t="s">
        <v>2523</v>
      </c>
      <c r="B2487" s="21" t="s">
        <v>22</v>
      </c>
      <c r="C2487" s="21">
        <v>40</v>
      </c>
      <c r="D2487" s="21">
        <v>960</v>
      </c>
      <c r="E2487" s="21">
        <v>24</v>
      </c>
      <c r="F2487" s="21"/>
    </row>
    <row r="2488" spans="1:6" x14ac:dyDescent="0.25">
      <c r="A2488" s="21" t="s">
        <v>2524</v>
      </c>
      <c r="B2488" s="21" t="s">
        <v>22</v>
      </c>
      <c r="C2488" s="21">
        <v>40</v>
      </c>
      <c r="D2488" s="21">
        <v>960</v>
      </c>
      <c r="E2488" s="21">
        <v>24</v>
      </c>
      <c r="F2488" s="21"/>
    </row>
    <row r="2489" spans="1:6" x14ac:dyDescent="0.25">
      <c r="A2489" s="21" t="s">
        <v>2525</v>
      </c>
      <c r="B2489" s="21" t="s">
        <v>22</v>
      </c>
      <c r="C2489" s="21">
        <v>40</v>
      </c>
      <c r="D2489" s="21">
        <v>720</v>
      </c>
      <c r="E2489" s="21">
        <v>18</v>
      </c>
      <c r="F2489" s="21"/>
    </row>
    <row r="2490" spans="1:6" x14ac:dyDescent="0.25">
      <c r="A2490" s="21" t="s">
        <v>2526</v>
      </c>
      <c r="B2490" s="21" t="s">
        <v>22</v>
      </c>
      <c r="C2490" s="21">
        <v>40</v>
      </c>
      <c r="D2490" s="21">
        <v>960</v>
      </c>
      <c r="E2490" s="21">
        <v>24</v>
      </c>
      <c r="F2490" s="21"/>
    </row>
    <row r="2491" spans="1:6" x14ac:dyDescent="0.25">
      <c r="A2491" s="21" t="s">
        <v>2527</v>
      </c>
      <c r="B2491" s="21" t="s">
        <v>22</v>
      </c>
      <c r="C2491" s="21">
        <v>40</v>
      </c>
      <c r="D2491" s="21">
        <v>960</v>
      </c>
      <c r="E2491" s="21">
        <v>24</v>
      </c>
      <c r="F2491" s="21"/>
    </row>
    <row r="2492" spans="1:6" x14ac:dyDescent="0.25">
      <c r="A2492" s="21" t="s">
        <v>2528</v>
      </c>
      <c r="B2492" s="21" t="s">
        <v>22</v>
      </c>
      <c r="C2492" s="21">
        <v>40</v>
      </c>
      <c r="D2492" s="21">
        <v>960</v>
      </c>
      <c r="E2492" s="21">
        <v>24</v>
      </c>
      <c r="F2492" s="21"/>
    </row>
    <row r="2493" spans="1:6" x14ac:dyDescent="0.25">
      <c r="A2493" s="21" t="s">
        <v>2529</v>
      </c>
      <c r="B2493" s="21" t="s">
        <v>22</v>
      </c>
      <c r="C2493" s="21">
        <v>40</v>
      </c>
      <c r="D2493" s="21">
        <v>1200</v>
      </c>
      <c r="E2493" s="21">
        <v>30</v>
      </c>
      <c r="F2493" s="21"/>
    </row>
    <row r="2494" spans="1:6" x14ac:dyDescent="0.25">
      <c r="A2494" s="21" t="s">
        <v>2530</v>
      </c>
      <c r="B2494" s="21" t="s">
        <v>22</v>
      </c>
      <c r="C2494" s="21">
        <v>60</v>
      </c>
      <c r="D2494" s="21">
        <v>1200</v>
      </c>
      <c r="E2494" s="21">
        <v>20</v>
      </c>
      <c r="F2494" s="21"/>
    </row>
    <row r="2495" spans="1:6" x14ac:dyDescent="0.25">
      <c r="A2495" s="21" t="s">
        <v>2531</v>
      </c>
      <c r="B2495" s="21" t="s">
        <v>22</v>
      </c>
      <c r="C2495" s="21">
        <v>60</v>
      </c>
      <c r="D2495" s="21">
        <v>1200</v>
      </c>
      <c r="E2495" s="21">
        <v>20</v>
      </c>
      <c r="F2495" s="21"/>
    </row>
    <row r="2496" spans="1:6" x14ac:dyDescent="0.25">
      <c r="A2496" s="21" t="s">
        <v>2532</v>
      </c>
      <c r="B2496" s="21" t="s">
        <v>22</v>
      </c>
      <c r="C2496" s="21">
        <v>60</v>
      </c>
      <c r="D2496" s="21">
        <v>1200</v>
      </c>
      <c r="E2496" s="21">
        <v>20</v>
      </c>
      <c r="F2496" s="21"/>
    </row>
    <row r="2497" spans="1:6" x14ac:dyDescent="0.25">
      <c r="A2497" s="21" t="s">
        <v>2533</v>
      </c>
      <c r="B2497" s="21" t="s">
        <v>22</v>
      </c>
      <c r="C2497" s="21">
        <v>60</v>
      </c>
      <c r="D2497" s="21">
        <v>1200</v>
      </c>
      <c r="E2497" s="21">
        <v>20</v>
      </c>
      <c r="F2497" s="21"/>
    </row>
    <row r="2498" spans="1:6" x14ac:dyDescent="0.25">
      <c r="A2498" s="21" t="s">
        <v>2534</v>
      </c>
      <c r="B2498" s="21" t="s">
        <v>22</v>
      </c>
      <c r="C2498" s="21">
        <v>60</v>
      </c>
      <c r="D2498" s="21">
        <v>1200</v>
      </c>
      <c r="E2498" s="21">
        <v>20</v>
      </c>
      <c r="F2498" s="21"/>
    </row>
    <row r="2499" spans="1:6" x14ac:dyDescent="0.25">
      <c r="A2499" s="21" t="s">
        <v>2535</v>
      </c>
      <c r="B2499" s="21" t="s">
        <v>22</v>
      </c>
      <c r="C2499" s="21">
        <v>60</v>
      </c>
      <c r="D2499" s="21">
        <v>1200</v>
      </c>
      <c r="E2499" s="21">
        <v>20</v>
      </c>
      <c r="F2499" s="21"/>
    </row>
    <row r="2500" spans="1:6" x14ac:dyDescent="0.25">
      <c r="A2500" s="21" t="s">
        <v>2536</v>
      </c>
      <c r="B2500" s="21" t="s">
        <v>22</v>
      </c>
      <c r="C2500" s="21">
        <v>60</v>
      </c>
      <c r="D2500" s="21">
        <v>1200</v>
      </c>
      <c r="E2500" s="21">
        <v>20</v>
      </c>
      <c r="F2500" s="21"/>
    </row>
    <row r="2501" spans="1:6" x14ac:dyDescent="0.25">
      <c r="A2501" s="21" t="s">
        <v>2537</v>
      </c>
      <c r="B2501" s="21" t="s">
        <v>22</v>
      </c>
      <c r="C2501" s="21">
        <v>60</v>
      </c>
      <c r="D2501" s="21">
        <v>1200</v>
      </c>
      <c r="E2501" s="21">
        <v>20</v>
      </c>
      <c r="F2501" s="21"/>
    </row>
    <row r="2502" spans="1:6" x14ac:dyDescent="0.25">
      <c r="A2502" s="21" t="s">
        <v>2538</v>
      </c>
      <c r="B2502" s="21" t="s">
        <v>22</v>
      </c>
      <c r="C2502" s="21">
        <v>40</v>
      </c>
      <c r="D2502" s="21">
        <v>1200</v>
      </c>
      <c r="E2502" s="21">
        <v>30</v>
      </c>
      <c r="F2502" s="21"/>
    </row>
    <row r="2503" spans="1:6" x14ac:dyDescent="0.25">
      <c r="A2503" s="21" t="s">
        <v>2539</v>
      </c>
      <c r="B2503" s="21" t="s">
        <v>22</v>
      </c>
      <c r="C2503" s="21">
        <v>60</v>
      </c>
      <c r="D2503" s="21">
        <v>1200</v>
      </c>
      <c r="E2503" s="21">
        <v>20</v>
      </c>
      <c r="F2503" s="21"/>
    </row>
    <row r="2504" spans="1:6" x14ac:dyDescent="0.25">
      <c r="A2504" s="21" t="s">
        <v>2540</v>
      </c>
      <c r="B2504" s="21" t="s">
        <v>22</v>
      </c>
      <c r="C2504" s="21">
        <v>40</v>
      </c>
      <c r="D2504" s="21">
        <v>960</v>
      </c>
      <c r="E2504" s="21">
        <v>24</v>
      </c>
      <c r="F2504" s="21"/>
    </row>
    <row r="2505" spans="1:6" x14ac:dyDescent="0.25">
      <c r="A2505" s="21" t="s">
        <v>2541</v>
      </c>
      <c r="B2505" s="21" t="s">
        <v>22</v>
      </c>
      <c r="C2505" s="21">
        <v>40</v>
      </c>
      <c r="D2505" s="21">
        <v>960</v>
      </c>
      <c r="E2505" s="21">
        <v>24</v>
      </c>
      <c r="F2505" s="21"/>
    </row>
    <row r="2506" spans="1:6" x14ac:dyDescent="0.25">
      <c r="A2506" s="21" t="s">
        <v>2542</v>
      </c>
      <c r="B2506" s="21" t="s">
        <v>22</v>
      </c>
      <c r="C2506" s="21">
        <v>40</v>
      </c>
      <c r="D2506" s="21">
        <v>960</v>
      </c>
      <c r="E2506" s="21">
        <v>24</v>
      </c>
      <c r="F2506" s="21"/>
    </row>
    <row r="2507" spans="1:6" x14ac:dyDescent="0.25">
      <c r="A2507" s="21" t="s">
        <v>2543</v>
      </c>
      <c r="B2507" s="21" t="s">
        <v>22</v>
      </c>
      <c r="C2507" s="21">
        <v>40</v>
      </c>
      <c r="D2507" s="21">
        <v>960</v>
      </c>
      <c r="E2507" s="21">
        <v>24</v>
      </c>
      <c r="F2507" s="21"/>
    </row>
    <row r="2508" spans="1:6" x14ac:dyDescent="0.25">
      <c r="A2508" s="21" t="s">
        <v>2544</v>
      </c>
      <c r="B2508" s="21" t="s">
        <v>22</v>
      </c>
      <c r="C2508" s="21">
        <v>40</v>
      </c>
      <c r="D2508" s="21">
        <v>960</v>
      </c>
      <c r="E2508" s="21">
        <v>24</v>
      </c>
      <c r="F2508" s="21"/>
    </row>
    <row r="2509" spans="1:6" x14ac:dyDescent="0.25">
      <c r="A2509" s="21" t="s">
        <v>2545</v>
      </c>
      <c r="B2509" s="21" t="s">
        <v>22</v>
      </c>
      <c r="C2509" s="21">
        <v>40</v>
      </c>
      <c r="D2509" s="21">
        <v>960</v>
      </c>
      <c r="E2509" s="21">
        <v>24</v>
      </c>
      <c r="F2509" s="21"/>
    </row>
    <row r="2510" spans="1:6" x14ac:dyDescent="0.25">
      <c r="A2510" s="21" t="s">
        <v>2546</v>
      </c>
      <c r="B2510" s="21" t="s">
        <v>22</v>
      </c>
      <c r="C2510" s="21">
        <v>40</v>
      </c>
      <c r="D2510" s="21">
        <v>960</v>
      </c>
      <c r="E2510" s="21">
        <v>24</v>
      </c>
      <c r="F2510" s="21"/>
    </row>
    <row r="2511" spans="1:6" x14ac:dyDescent="0.25">
      <c r="A2511" s="21" t="s">
        <v>2547</v>
      </c>
      <c r="B2511" s="21" t="s">
        <v>22</v>
      </c>
      <c r="C2511" s="21">
        <v>40</v>
      </c>
      <c r="D2511" s="21">
        <v>960</v>
      </c>
      <c r="E2511" s="21">
        <v>24</v>
      </c>
      <c r="F2511" s="21"/>
    </row>
    <row r="2512" spans="1:6" x14ac:dyDescent="0.25">
      <c r="A2512" s="21" t="s">
        <v>2548</v>
      </c>
      <c r="B2512" s="21" t="s">
        <v>22</v>
      </c>
      <c r="C2512" s="21">
        <v>28</v>
      </c>
      <c r="D2512" s="21">
        <v>1344</v>
      </c>
      <c r="E2512" s="21">
        <v>48</v>
      </c>
      <c r="F2512" s="21"/>
    </row>
    <row r="2513" spans="1:6" x14ac:dyDescent="0.25">
      <c r="A2513" s="21" t="s">
        <v>2549</v>
      </c>
      <c r="B2513" s="21" t="s">
        <v>22</v>
      </c>
      <c r="C2513" s="21">
        <v>20</v>
      </c>
      <c r="D2513" s="21">
        <v>400</v>
      </c>
      <c r="E2513" s="21">
        <v>20</v>
      </c>
      <c r="F2513" s="21"/>
    </row>
    <row r="2514" spans="1:6" x14ac:dyDescent="0.25">
      <c r="A2514" s="21" t="s">
        <v>2550</v>
      </c>
      <c r="B2514" s="21" t="s">
        <v>22</v>
      </c>
      <c r="C2514" s="21">
        <v>20</v>
      </c>
      <c r="D2514" s="21">
        <v>400</v>
      </c>
      <c r="E2514" s="21">
        <v>20</v>
      </c>
      <c r="F2514" s="21"/>
    </row>
    <row r="2515" spans="1:6" x14ac:dyDescent="0.25">
      <c r="A2515" s="21" t="s">
        <v>2551</v>
      </c>
      <c r="B2515" s="21" t="s">
        <v>22</v>
      </c>
      <c r="C2515" s="21">
        <v>576</v>
      </c>
      <c r="D2515" s="21">
        <v>11520</v>
      </c>
      <c r="E2515" s="21">
        <v>20</v>
      </c>
      <c r="F2515" s="21"/>
    </row>
    <row r="2516" spans="1:6" x14ac:dyDescent="0.25">
      <c r="A2516" s="21" t="s">
        <v>2552</v>
      </c>
      <c r="B2516" s="21" t="s">
        <v>22</v>
      </c>
      <c r="C2516" s="21">
        <v>576</v>
      </c>
      <c r="D2516" s="21">
        <v>11520</v>
      </c>
      <c r="E2516" s="21">
        <v>20</v>
      </c>
      <c r="F2516" s="21"/>
    </row>
    <row r="2517" spans="1:6" x14ac:dyDescent="0.25">
      <c r="A2517" s="21" t="s">
        <v>2553</v>
      </c>
      <c r="B2517" s="21" t="s">
        <v>22</v>
      </c>
      <c r="C2517" s="21">
        <v>576</v>
      </c>
      <c r="D2517" s="21">
        <v>11520</v>
      </c>
      <c r="E2517" s="21">
        <v>20</v>
      </c>
      <c r="F2517" s="21"/>
    </row>
    <row r="2518" spans="1:6" x14ac:dyDescent="0.25">
      <c r="A2518" s="21" t="s">
        <v>2554</v>
      </c>
      <c r="B2518" s="21" t="s">
        <v>22</v>
      </c>
      <c r="C2518" s="21">
        <v>576</v>
      </c>
      <c r="D2518" s="21">
        <v>11520</v>
      </c>
      <c r="E2518" s="21">
        <v>20</v>
      </c>
      <c r="F2518" s="21"/>
    </row>
    <row r="2519" spans="1:6" x14ac:dyDescent="0.25">
      <c r="A2519" s="21" t="s">
        <v>2555</v>
      </c>
      <c r="B2519" s="21" t="s">
        <v>22</v>
      </c>
      <c r="C2519" s="21">
        <v>576</v>
      </c>
      <c r="D2519" s="21">
        <v>11520</v>
      </c>
      <c r="E2519" s="21">
        <v>20</v>
      </c>
      <c r="F2519" s="21"/>
    </row>
    <row r="2520" spans="1:6" x14ac:dyDescent="0.25">
      <c r="A2520" s="21" t="s">
        <v>2556</v>
      </c>
      <c r="B2520" s="21" t="s">
        <v>22</v>
      </c>
      <c r="C2520" s="21">
        <v>576</v>
      </c>
      <c r="D2520" s="21">
        <v>11520</v>
      </c>
      <c r="E2520" s="21">
        <v>20</v>
      </c>
      <c r="F2520" s="21"/>
    </row>
    <row r="2521" spans="1:6" x14ac:dyDescent="0.25">
      <c r="A2521" s="21" t="s">
        <v>2557</v>
      </c>
      <c r="B2521" s="21" t="s">
        <v>22</v>
      </c>
      <c r="C2521" s="21">
        <v>576</v>
      </c>
      <c r="D2521" s="21">
        <v>11520</v>
      </c>
      <c r="E2521" s="21">
        <v>20</v>
      </c>
      <c r="F2521" s="21"/>
    </row>
    <row r="2522" spans="1:6" x14ac:dyDescent="0.25">
      <c r="A2522" s="21" t="s">
        <v>2558</v>
      </c>
      <c r="B2522" s="21" t="s">
        <v>22</v>
      </c>
      <c r="C2522" s="21">
        <v>576</v>
      </c>
      <c r="D2522" s="21">
        <v>11520</v>
      </c>
      <c r="E2522" s="21">
        <v>20</v>
      </c>
      <c r="F2522" s="21"/>
    </row>
    <row r="2523" spans="1:6" x14ac:dyDescent="0.25">
      <c r="A2523" s="21" t="s">
        <v>2559</v>
      </c>
      <c r="B2523" s="21" t="s">
        <v>22</v>
      </c>
      <c r="C2523" s="21">
        <v>80</v>
      </c>
      <c r="D2523" s="21">
        <v>2000</v>
      </c>
      <c r="E2523" s="21">
        <v>25</v>
      </c>
      <c r="F2523" s="21"/>
    </row>
    <row r="2524" spans="1:6" x14ac:dyDescent="0.25">
      <c r="A2524" s="21" t="s">
        <v>2560</v>
      </c>
      <c r="B2524" s="21" t="s">
        <v>22</v>
      </c>
      <c r="C2524" s="21">
        <v>80</v>
      </c>
      <c r="D2524" s="21">
        <v>2000</v>
      </c>
      <c r="E2524" s="21">
        <v>25</v>
      </c>
      <c r="F2524" s="21"/>
    </row>
    <row r="2525" spans="1:6" x14ac:dyDescent="0.25">
      <c r="A2525" s="21" t="s">
        <v>2561</v>
      </c>
      <c r="B2525" s="21" t="s">
        <v>22</v>
      </c>
      <c r="C2525" s="21">
        <v>80</v>
      </c>
      <c r="D2525" s="21">
        <v>2000</v>
      </c>
      <c r="E2525" s="21">
        <v>25</v>
      </c>
      <c r="F2525" s="21"/>
    </row>
    <row r="2526" spans="1:6" x14ac:dyDescent="0.25">
      <c r="A2526" s="21" t="s">
        <v>2562</v>
      </c>
      <c r="B2526" s="21" t="s">
        <v>22</v>
      </c>
      <c r="C2526" s="21">
        <v>80</v>
      </c>
      <c r="D2526" s="21">
        <v>2000</v>
      </c>
      <c r="E2526" s="21">
        <v>25</v>
      </c>
      <c r="F2526" s="21"/>
    </row>
    <row r="2527" spans="1:6" x14ac:dyDescent="0.25">
      <c r="A2527" s="21" t="s">
        <v>2563</v>
      </c>
      <c r="B2527" s="21" t="s">
        <v>22</v>
      </c>
      <c r="C2527" s="21">
        <v>80</v>
      </c>
      <c r="D2527" s="21">
        <v>2000</v>
      </c>
      <c r="E2527" s="21">
        <v>25</v>
      </c>
      <c r="F2527" s="21"/>
    </row>
    <row r="2528" spans="1:6" x14ac:dyDescent="0.25">
      <c r="A2528" s="21" t="s">
        <v>2564</v>
      </c>
      <c r="B2528" s="21" t="s">
        <v>22</v>
      </c>
      <c r="C2528" s="21">
        <v>80</v>
      </c>
      <c r="D2528" s="21">
        <v>2000</v>
      </c>
      <c r="E2528" s="21">
        <v>25</v>
      </c>
      <c r="F2528" s="21"/>
    </row>
    <row r="2529" spans="1:6" x14ac:dyDescent="0.25">
      <c r="A2529" s="21" t="s">
        <v>2565</v>
      </c>
      <c r="B2529" s="21" t="s">
        <v>22</v>
      </c>
      <c r="C2529" s="21">
        <v>80</v>
      </c>
      <c r="D2529" s="21">
        <v>2000</v>
      </c>
      <c r="E2529" s="21">
        <v>25</v>
      </c>
      <c r="F2529" s="21"/>
    </row>
    <row r="2530" spans="1:6" x14ac:dyDescent="0.25">
      <c r="A2530" s="21" t="s">
        <v>2566</v>
      </c>
      <c r="B2530" s="21" t="s">
        <v>22</v>
      </c>
      <c r="C2530" s="21">
        <v>100</v>
      </c>
      <c r="D2530" s="21">
        <v>2500</v>
      </c>
      <c r="E2530" s="21">
        <v>25</v>
      </c>
      <c r="F2530" s="21"/>
    </row>
    <row r="2531" spans="1:6" x14ac:dyDescent="0.25">
      <c r="A2531" s="21" t="s">
        <v>2567</v>
      </c>
      <c r="B2531" s="21" t="s">
        <v>22</v>
      </c>
      <c r="C2531" s="21">
        <v>80</v>
      </c>
      <c r="D2531" s="21">
        <v>2000</v>
      </c>
      <c r="E2531" s="21">
        <v>25</v>
      </c>
      <c r="F2531" s="21"/>
    </row>
    <row r="2532" spans="1:6" x14ac:dyDescent="0.25">
      <c r="A2532" s="21" t="s">
        <v>2568</v>
      </c>
      <c r="B2532" s="21" t="s">
        <v>22</v>
      </c>
      <c r="C2532" s="21">
        <v>80</v>
      </c>
      <c r="D2532" s="21">
        <v>2000</v>
      </c>
      <c r="E2532" s="21">
        <v>25</v>
      </c>
      <c r="F2532" s="21"/>
    </row>
    <row r="2533" spans="1:6" x14ac:dyDescent="0.25">
      <c r="A2533" s="21" t="s">
        <v>2569</v>
      </c>
      <c r="B2533" s="21" t="s">
        <v>22</v>
      </c>
      <c r="C2533" s="21">
        <v>100</v>
      </c>
      <c r="D2533" s="21">
        <v>2500</v>
      </c>
      <c r="E2533" s="21">
        <v>25</v>
      </c>
      <c r="F2533" s="21"/>
    </row>
    <row r="2534" spans="1:6" x14ac:dyDescent="0.25">
      <c r="A2534" s="21" t="s">
        <v>2570</v>
      </c>
      <c r="B2534" s="21" t="s">
        <v>22</v>
      </c>
      <c r="C2534" s="21">
        <v>80</v>
      </c>
      <c r="D2534" s="21">
        <v>2000</v>
      </c>
      <c r="E2534" s="21">
        <v>25</v>
      </c>
      <c r="F2534" s="21"/>
    </row>
    <row r="2535" spans="1:6" x14ac:dyDescent="0.25">
      <c r="A2535" s="21" t="s">
        <v>2571</v>
      </c>
      <c r="B2535" s="21" t="s">
        <v>22</v>
      </c>
      <c r="C2535" s="21">
        <v>80</v>
      </c>
      <c r="D2535" s="21">
        <v>2000</v>
      </c>
      <c r="E2535" s="21">
        <v>25</v>
      </c>
      <c r="F2535" s="21"/>
    </row>
    <row r="2536" spans="1:6" x14ac:dyDescent="0.25">
      <c r="A2536" s="21" t="s">
        <v>2572</v>
      </c>
      <c r="B2536" s="21" t="s">
        <v>22</v>
      </c>
      <c r="C2536" s="21">
        <v>80</v>
      </c>
      <c r="D2536" s="21">
        <v>2000</v>
      </c>
      <c r="E2536" s="21">
        <v>25</v>
      </c>
      <c r="F2536" s="21"/>
    </row>
    <row r="2537" spans="1:6" x14ac:dyDescent="0.25">
      <c r="A2537" s="21" t="s">
        <v>2573</v>
      </c>
      <c r="B2537" s="21" t="s">
        <v>22</v>
      </c>
      <c r="C2537" s="21">
        <v>80</v>
      </c>
      <c r="D2537" s="21">
        <v>2000</v>
      </c>
      <c r="E2537" s="21">
        <v>25</v>
      </c>
      <c r="F2537" s="21"/>
    </row>
    <row r="2538" spans="1:6" x14ac:dyDescent="0.25">
      <c r="A2538" s="21" t="s">
        <v>2574</v>
      </c>
      <c r="B2538" s="21" t="s">
        <v>22</v>
      </c>
      <c r="C2538" s="21">
        <v>50</v>
      </c>
      <c r="D2538" s="21">
        <v>1250</v>
      </c>
      <c r="E2538" s="21">
        <v>25</v>
      </c>
      <c r="F2538" s="21"/>
    </row>
    <row r="2539" spans="1:6" x14ac:dyDescent="0.25">
      <c r="A2539" s="21" t="s">
        <v>2575</v>
      </c>
      <c r="B2539" s="21" t="s">
        <v>22</v>
      </c>
      <c r="C2539" s="21">
        <v>100</v>
      </c>
      <c r="D2539" s="21">
        <v>2500</v>
      </c>
      <c r="E2539" s="21">
        <v>25</v>
      </c>
      <c r="F2539" s="21"/>
    </row>
    <row r="2540" spans="1:6" x14ac:dyDescent="0.25">
      <c r="A2540" s="21" t="s">
        <v>2576</v>
      </c>
      <c r="B2540" s="21" t="s">
        <v>22</v>
      </c>
      <c r="C2540" s="21">
        <v>50</v>
      </c>
      <c r="D2540" s="21">
        <v>1250</v>
      </c>
      <c r="E2540" s="21">
        <v>25</v>
      </c>
      <c r="F2540" s="21"/>
    </row>
    <row r="2541" spans="1:6" x14ac:dyDescent="0.25">
      <c r="A2541" s="21" t="s">
        <v>2577</v>
      </c>
      <c r="B2541" s="21" t="s">
        <v>22</v>
      </c>
      <c r="C2541" s="21">
        <v>80</v>
      </c>
      <c r="D2541" s="21">
        <v>2000</v>
      </c>
      <c r="E2541" s="21">
        <v>25</v>
      </c>
      <c r="F2541" s="21"/>
    </row>
    <row r="2542" spans="1:6" x14ac:dyDescent="0.25">
      <c r="A2542" s="21" t="s">
        <v>2578</v>
      </c>
      <c r="B2542" s="21" t="s">
        <v>22</v>
      </c>
      <c r="C2542" s="21">
        <v>80</v>
      </c>
      <c r="D2542" s="21">
        <v>2000</v>
      </c>
      <c r="E2542" s="21">
        <v>25</v>
      </c>
      <c r="F2542" s="21"/>
    </row>
    <row r="2543" spans="1:6" x14ac:dyDescent="0.25">
      <c r="A2543" s="21" t="s">
        <v>2579</v>
      </c>
      <c r="B2543" s="21" t="s">
        <v>22</v>
      </c>
      <c r="C2543" s="21">
        <v>80</v>
      </c>
      <c r="D2543" s="21">
        <v>2000</v>
      </c>
      <c r="E2543" s="21">
        <v>25</v>
      </c>
      <c r="F2543" s="21"/>
    </row>
    <row r="2544" spans="1:6" x14ac:dyDescent="0.25">
      <c r="A2544" s="21" t="s">
        <v>2580</v>
      </c>
      <c r="B2544" s="21" t="s">
        <v>22</v>
      </c>
      <c r="C2544" s="21">
        <v>80</v>
      </c>
      <c r="D2544" s="21">
        <v>2000</v>
      </c>
      <c r="E2544" s="21">
        <v>25</v>
      </c>
      <c r="F2544" s="21"/>
    </row>
    <row r="2545" spans="1:6" x14ac:dyDescent="0.25">
      <c r="A2545" s="21" t="s">
        <v>2581</v>
      </c>
      <c r="B2545" s="21" t="s">
        <v>22</v>
      </c>
      <c r="C2545" s="21">
        <v>80</v>
      </c>
      <c r="D2545" s="21">
        <v>2000</v>
      </c>
      <c r="E2545" s="21">
        <v>25</v>
      </c>
      <c r="F2545" s="21"/>
    </row>
    <row r="2546" spans="1:6" x14ac:dyDescent="0.25">
      <c r="A2546" s="21" t="s">
        <v>2582</v>
      </c>
      <c r="B2546" s="21" t="s">
        <v>22</v>
      </c>
      <c r="C2546" s="21">
        <v>200</v>
      </c>
      <c r="D2546" s="21">
        <v>5400</v>
      </c>
      <c r="E2546" s="21">
        <v>27</v>
      </c>
      <c r="F2546" s="21"/>
    </row>
    <row r="2547" spans="1:6" x14ac:dyDescent="0.25">
      <c r="A2547" s="21" t="s">
        <v>2583</v>
      </c>
      <c r="B2547" s="21" t="s">
        <v>22</v>
      </c>
      <c r="C2547" s="21">
        <v>200</v>
      </c>
      <c r="D2547" s="21">
        <v>5400</v>
      </c>
      <c r="E2547" s="21">
        <v>27</v>
      </c>
      <c r="F2547" s="21"/>
    </row>
    <row r="2548" spans="1:6" x14ac:dyDescent="0.25">
      <c r="A2548" s="21" t="s">
        <v>2584</v>
      </c>
      <c r="B2548" s="21" t="s">
        <v>22</v>
      </c>
      <c r="C2548" s="21">
        <v>200</v>
      </c>
      <c r="D2548" s="21">
        <v>5400</v>
      </c>
      <c r="E2548" s="21">
        <v>27</v>
      </c>
      <c r="F2548" s="21"/>
    </row>
    <row r="2549" spans="1:6" x14ac:dyDescent="0.25">
      <c r="A2549" s="21" t="s">
        <v>2585</v>
      </c>
      <c r="B2549" s="21" t="s">
        <v>22</v>
      </c>
      <c r="C2549" s="21">
        <v>200</v>
      </c>
      <c r="D2549" s="21">
        <v>5400</v>
      </c>
      <c r="E2549" s="21">
        <v>27</v>
      </c>
      <c r="F2549" s="21"/>
    </row>
    <row r="2550" spans="1:6" x14ac:dyDescent="0.25">
      <c r="A2550" s="21" t="s">
        <v>2586</v>
      </c>
      <c r="B2550" s="21" t="s">
        <v>22</v>
      </c>
      <c r="C2550" s="21">
        <v>200</v>
      </c>
      <c r="D2550" s="21">
        <v>5400</v>
      </c>
      <c r="E2550" s="21">
        <v>27</v>
      </c>
      <c r="F2550" s="21"/>
    </row>
    <row r="2551" spans="1:6" x14ac:dyDescent="0.25">
      <c r="A2551" s="21" t="s">
        <v>2587</v>
      </c>
      <c r="B2551" s="21" t="s">
        <v>22</v>
      </c>
      <c r="C2551" s="21">
        <v>200</v>
      </c>
      <c r="D2551" s="21">
        <v>5400</v>
      </c>
      <c r="E2551" s="21">
        <v>27</v>
      </c>
      <c r="F2551" s="21"/>
    </row>
    <row r="2552" spans="1:6" x14ac:dyDescent="0.25">
      <c r="A2552" s="21" t="s">
        <v>2588</v>
      </c>
      <c r="B2552" s="21" t="s">
        <v>22</v>
      </c>
      <c r="C2552" s="21">
        <v>1</v>
      </c>
      <c r="D2552" s="21">
        <v>6</v>
      </c>
      <c r="E2552" s="21">
        <v>6</v>
      </c>
      <c r="F2552" s="21"/>
    </row>
    <row r="2553" spans="1:6" x14ac:dyDescent="0.25">
      <c r="A2553" s="21" t="s">
        <v>2589</v>
      </c>
      <c r="B2553" s="21" t="s">
        <v>22</v>
      </c>
      <c r="C2553" s="21">
        <v>200</v>
      </c>
      <c r="D2553" s="21">
        <v>5400</v>
      </c>
      <c r="E2553" s="21">
        <v>27</v>
      </c>
      <c r="F2553" s="21"/>
    </row>
    <row r="2554" spans="1:6" x14ac:dyDescent="0.25">
      <c r="A2554" s="21" t="s">
        <v>2590</v>
      </c>
      <c r="B2554" s="21" t="s">
        <v>22</v>
      </c>
      <c r="C2554" s="21">
        <v>200</v>
      </c>
      <c r="D2554" s="21">
        <v>5400</v>
      </c>
      <c r="E2554" s="21">
        <v>27</v>
      </c>
      <c r="F2554" s="21"/>
    </row>
    <row r="2555" spans="1:6" x14ac:dyDescent="0.25">
      <c r="A2555" s="21" t="s">
        <v>2591</v>
      </c>
      <c r="B2555" s="21" t="s">
        <v>22</v>
      </c>
      <c r="C2555" s="21">
        <v>200</v>
      </c>
      <c r="D2555" s="21">
        <v>5400</v>
      </c>
      <c r="E2555" s="21">
        <v>27</v>
      </c>
      <c r="F2555" s="21"/>
    </row>
    <row r="2556" spans="1:6" x14ac:dyDescent="0.25">
      <c r="A2556" s="21" t="s">
        <v>2592</v>
      </c>
      <c r="B2556" s="21" t="s">
        <v>22</v>
      </c>
      <c r="C2556" s="21">
        <v>200</v>
      </c>
      <c r="D2556" s="21">
        <v>5400</v>
      </c>
      <c r="E2556" s="21">
        <v>27</v>
      </c>
      <c r="F2556" s="21"/>
    </row>
    <row r="2557" spans="1:6" x14ac:dyDescent="0.25">
      <c r="A2557" s="21" t="s">
        <v>2593</v>
      </c>
      <c r="B2557" s="21" t="s">
        <v>22</v>
      </c>
      <c r="C2557" s="21">
        <v>1</v>
      </c>
      <c r="D2557" s="21">
        <v>16</v>
      </c>
      <c r="E2557" s="21">
        <v>16</v>
      </c>
      <c r="F2557" s="21"/>
    </row>
    <row r="2558" spans="1:6" x14ac:dyDescent="0.25">
      <c r="A2558" s="21" t="s">
        <v>2594</v>
      </c>
      <c r="B2558" s="21" t="s">
        <v>22</v>
      </c>
      <c r="C2558" s="21">
        <v>0</v>
      </c>
      <c r="D2558" s="52">
        <v>0</v>
      </c>
      <c r="E2558" s="21"/>
      <c r="F2558" s="21"/>
    </row>
    <row r="2559" spans="1:6" x14ac:dyDescent="0.25">
      <c r="A2559" s="21" t="s">
        <v>2595</v>
      </c>
      <c r="B2559" s="21" t="s">
        <v>22</v>
      </c>
      <c r="C2559" s="21">
        <v>1</v>
      </c>
      <c r="D2559" s="21">
        <v>28</v>
      </c>
      <c r="E2559" s="21">
        <v>28</v>
      </c>
      <c r="F2559" s="21"/>
    </row>
    <row r="2560" spans="1:6" x14ac:dyDescent="0.25">
      <c r="A2560" s="21" t="s">
        <v>2596</v>
      </c>
      <c r="B2560" s="21" t="s">
        <v>22</v>
      </c>
      <c r="C2560" s="21">
        <v>40</v>
      </c>
      <c r="D2560" s="21">
        <v>800</v>
      </c>
      <c r="E2560" s="21">
        <v>20</v>
      </c>
      <c r="F2560" s="21"/>
    </row>
    <row r="2561" spans="1:6" x14ac:dyDescent="0.25">
      <c r="A2561" s="21" t="s">
        <v>2597</v>
      </c>
      <c r="B2561" s="21" t="s">
        <v>22</v>
      </c>
      <c r="C2561" s="21">
        <v>40</v>
      </c>
      <c r="D2561" s="21">
        <v>800</v>
      </c>
      <c r="E2561" s="21">
        <v>20</v>
      </c>
      <c r="F2561" s="21"/>
    </row>
    <row r="2562" spans="1:6" x14ac:dyDescent="0.25">
      <c r="A2562" s="21" t="s">
        <v>2598</v>
      </c>
      <c r="B2562" s="21" t="s">
        <v>22</v>
      </c>
      <c r="C2562" s="21">
        <v>12</v>
      </c>
      <c r="D2562" s="21">
        <v>240</v>
      </c>
      <c r="E2562" s="21">
        <v>20</v>
      </c>
      <c r="F2562" s="21"/>
    </row>
    <row r="2563" spans="1:6" x14ac:dyDescent="0.25">
      <c r="A2563" s="21" t="s">
        <v>2599</v>
      </c>
      <c r="B2563" s="21" t="s">
        <v>22</v>
      </c>
      <c r="C2563" s="21">
        <v>12</v>
      </c>
      <c r="D2563" s="21">
        <v>240</v>
      </c>
      <c r="E2563" s="21">
        <v>20</v>
      </c>
      <c r="F2563" s="21"/>
    </row>
    <row r="2564" spans="1:6" x14ac:dyDescent="0.25">
      <c r="A2564" s="21" t="s">
        <v>2600</v>
      </c>
      <c r="B2564" s="21" t="s">
        <v>22</v>
      </c>
      <c r="C2564" s="21">
        <v>18</v>
      </c>
      <c r="D2564" s="21">
        <v>216</v>
      </c>
      <c r="E2564" s="21">
        <v>12</v>
      </c>
      <c r="F2564" s="21"/>
    </row>
    <row r="2565" spans="1:6" x14ac:dyDescent="0.25">
      <c r="A2565" s="21" t="s">
        <v>2601</v>
      </c>
      <c r="B2565" s="21" t="s">
        <v>22</v>
      </c>
      <c r="C2565" s="21">
        <v>18</v>
      </c>
      <c r="D2565" s="21">
        <v>216</v>
      </c>
      <c r="E2565" s="21">
        <v>12</v>
      </c>
      <c r="F2565" s="21"/>
    </row>
    <row r="2566" spans="1:6" x14ac:dyDescent="0.25">
      <c r="A2566" s="21" t="s">
        <v>2602</v>
      </c>
      <c r="B2566" s="21" t="s">
        <v>22</v>
      </c>
      <c r="C2566" s="21">
        <v>4</v>
      </c>
      <c r="D2566" s="21">
        <v>180</v>
      </c>
      <c r="E2566" s="21">
        <v>45</v>
      </c>
      <c r="F2566" s="21"/>
    </row>
    <row r="2567" spans="1:6" x14ac:dyDescent="0.25">
      <c r="A2567" s="21" t="s">
        <v>2603</v>
      </c>
      <c r="B2567" s="21" t="s">
        <v>22</v>
      </c>
      <c r="C2567" s="21">
        <v>4</v>
      </c>
      <c r="D2567" s="21">
        <v>180</v>
      </c>
      <c r="E2567" s="21">
        <v>45</v>
      </c>
      <c r="F2567" s="21"/>
    </row>
    <row r="2568" spans="1:6" x14ac:dyDescent="0.25">
      <c r="A2568" s="21" t="s">
        <v>2604</v>
      </c>
      <c r="B2568" s="21" t="s">
        <v>22</v>
      </c>
      <c r="C2568" s="21">
        <v>4</v>
      </c>
      <c r="D2568" s="21">
        <v>180</v>
      </c>
      <c r="E2568" s="21">
        <v>45</v>
      </c>
      <c r="F2568" s="21"/>
    </row>
    <row r="2569" spans="1:6" x14ac:dyDescent="0.25">
      <c r="A2569" s="21" t="s">
        <v>2605</v>
      </c>
      <c r="B2569" s="21" t="s">
        <v>22</v>
      </c>
      <c r="C2569" s="21">
        <v>4</v>
      </c>
      <c r="D2569" s="21">
        <v>192</v>
      </c>
      <c r="E2569" s="21">
        <v>48</v>
      </c>
      <c r="F2569" s="21"/>
    </row>
    <row r="2570" spans="1:6" x14ac:dyDescent="0.25">
      <c r="A2570" s="21" t="s">
        <v>2606</v>
      </c>
      <c r="B2570" s="21" t="s">
        <v>22</v>
      </c>
      <c r="C2570" s="21">
        <v>4</v>
      </c>
      <c r="D2570" s="21">
        <v>144</v>
      </c>
      <c r="E2570" s="21">
        <v>36</v>
      </c>
      <c r="F2570" s="21"/>
    </row>
    <row r="2571" spans="1:6" x14ac:dyDescent="0.25">
      <c r="A2571" s="21" t="s">
        <v>2607</v>
      </c>
      <c r="B2571" s="21" t="s">
        <v>22</v>
      </c>
      <c r="C2571" s="21">
        <v>4</v>
      </c>
      <c r="D2571" s="21">
        <v>144</v>
      </c>
      <c r="E2571" s="21">
        <v>36</v>
      </c>
      <c r="F2571" s="21"/>
    </row>
    <row r="2572" spans="1:6" x14ac:dyDescent="0.25">
      <c r="A2572" s="21" t="s">
        <v>2608</v>
      </c>
      <c r="B2572" s="21" t="s">
        <v>22</v>
      </c>
      <c r="C2572" s="21">
        <v>4</v>
      </c>
      <c r="D2572" s="21">
        <v>144</v>
      </c>
      <c r="E2572" s="21">
        <v>36</v>
      </c>
      <c r="F2572" s="21"/>
    </row>
    <row r="2573" spans="1:6" x14ac:dyDescent="0.25">
      <c r="A2573" s="21" t="s">
        <v>2609</v>
      </c>
      <c r="B2573" s="21" t="s">
        <v>22</v>
      </c>
      <c r="C2573" s="21">
        <v>4</v>
      </c>
      <c r="D2573" s="21">
        <v>144</v>
      </c>
      <c r="E2573" s="21">
        <v>36</v>
      </c>
      <c r="F2573" s="21"/>
    </row>
    <row r="2574" spans="1:6" x14ac:dyDescent="0.25">
      <c r="A2574" s="21" t="s">
        <v>2610</v>
      </c>
      <c r="B2574" s="21" t="s">
        <v>22</v>
      </c>
      <c r="C2574" s="21">
        <v>12</v>
      </c>
      <c r="D2574" s="21">
        <v>360</v>
      </c>
      <c r="E2574" s="21">
        <v>30</v>
      </c>
      <c r="F2574" s="21"/>
    </row>
    <row r="2575" spans="1:6" x14ac:dyDescent="0.25">
      <c r="A2575" s="21" t="s">
        <v>2611</v>
      </c>
      <c r="B2575" s="21" t="s">
        <v>22</v>
      </c>
      <c r="C2575" s="21">
        <v>12</v>
      </c>
      <c r="D2575" s="21">
        <v>360</v>
      </c>
      <c r="E2575" s="21">
        <v>30</v>
      </c>
      <c r="F2575" s="21"/>
    </row>
    <row r="2576" spans="1:6" x14ac:dyDescent="0.25">
      <c r="A2576" s="21" t="s">
        <v>2612</v>
      </c>
      <c r="B2576" s="21" t="s">
        <v>22</v>
      </c>
      <c r="C2576" s="21">
        <v>12</v>
      </c>
      <c r="D2576" s="21">
        <v>360</v>
      </c>
      <c r="E2576" s="21">
        <v>30</v>
      </c>
      <c r="F2576" s="21"/>
    </row>
    <row r="2577" spans="1:6" x14ac:dyDescent="0.25">
      <c r="A2577" s="21" t="s">
        <v>2613</v>
      </c>
      <c r="B2577" s="21" t="s">
        <v>22</v>
      </c>
      <c r="C2577" s="21">
        <v>12</v>
      </c>
      <c r="D2577" s="21">
        <v>360</v>
      </c>
      <c r="E2577" s="21">
        <v>30</v>
      </c>
      <c r="F2577" s="21"/>
    </row>
    <row r="2578" spans="1:6" x14ac:dyDescent="0.25">
      <c r="A2578" s="21" t="s">
        <v>2614</v>
      </c>
      <c r="B2578" s="21" t="s">
        <v>22</v>
      </c>
      <c r="C2578" s="21">
        <v>6</v>
      </c>
      <c r="D2578" s="21">
        <v>390</v>
      </c>
      <c r="E2578" s="21">
        <v>65</v>
      </c>
      <c r="F2578" s="21"/>
    </row>
    <row r="2579" spans="1:6" x14ac:dyDescent="0.25">
      <c r="A2579" s="21" t="s">
        <v>2615</v>
      </c>
      <c r="B2579" s="21" t="s">
        <v>22</v>
      </c>
      <c r="C2579" s="21">
        <v>6</v>
      </c>
      <c r="D2579" s="21">
        <v>390</v>
      </c>
      <c r="E2579" s="21">
        <v>65</v>
      </c>
      <c r="F2579" s="21"/>
    </row>
    <row r="2580" spans="1:6" x14ac:dyDescent="0.25">
      <c r="A2580" s="21" t="s">
        <v>2616</v>
      </c>
      <c r="B2580" s="21" t="s">
        <v>22</v>
      </c>
      <c r="C2580" s="21">
        <v>5</v>
      </c>
      <c r="D2580" s="21">
        <v>300</v>
      </c>
      <c r="E2580" s="21">
        <v>60</v>
      </c>
      <c r="F2580" s="21"/>
    </row>
    <row r="2581" spans="1:6" x14ac:dyDescent="0.25">
      <c r="A2581" s="21" t="s">
        <v>2617</v>
      </c>
      <c r="B2581" s="21" t="s">
        <v>22</v>
      </c>
      <c r="C2581" s="21">
        <v>5</v>
      </c>
      <c r="D2581" s="21">
        <v>240</v>
      </c>
      <c r="E2581" s="21">
        <v>48</v>
      </c>
      <c r="F2581" s="21"/>
    </row>
    <row r="2582" spans="1:6" x14ac:dyDescent="0.25">
      <c r="A2582" s="21" t="s">
        <v>2618</v>
      </c>
      <c r="B2582" s="21" t="s">
        <v>22</v>
      </c>
      <c r="C2582" s="21">
        <v>5</v>
      </c>
      <c r="D2582" s="21">
        <v>300</v>
      </c>
      <c r="E2582" s="21">
        <v>60</v>
      </c>
      <c r="F2582" s="21"/>
    </row>
    <row r="2583" spans="1:6" x14ac:dyDescent="0.25">
      <c r="A2583" s="21" t="s">
        <v>2619</v>
      </c>
      <c r="B2583" s="21" t="s">
        <v>22</v>
      </c>
      <c r="C2583" s="21">
        <v>4</v>
      </c>
      <c r="D2583" s="21">
        <v>192</v>
      </c>
      <c r="E2583" s="21">
        <v>48</v>
      </c>
      <c r="F2583" s="21"/>
    </row>
    <row r="2584" spans="1:6" x14ac:dyDescent="0.25">
      <c r="A2584" s="21" t="s">
        <v>2620</v>
      </c>
      <c r="B2584" s="21" t="s">
        <v>22</v>
      </c>
      <c r="C2584" s="21">
        <v>4</v>
      </c>
      <c r="D2584" s="21">
        <v>192</v>
      </c>
      <c r="E2584" s="21">
        <v>48</v>
      </c>
      <c r="F2584" s="21"/>
    </row>
    <row r="2585" spans="1:6" x14ac:dyDescent="0.25">
      <c r="A2585" s="21" t="s">
        <v>2621</v>
      </c>
      <c r="B2585" s="21" t="s">
        <v>22</v>
      </c>
      <c r="C2585" s="21">
        <v>3</v>
      </c>
      <c r="D2585" s="21">
        <v>84</v>
      </c>
      <c r="E2585" s="21">
        <v>28</v>
      </c>
      <c r="F2585" s="21"/>
    </row>
    <row r="2586" spans="1:6" x14ac:dyDescent="0.25">
      <c r="A2586" s="21" t="s">
        <v>2622</v>
      </c>
      <c r="B2586" s="21" t="s">
        <v>22</v>
      </c>
      <c r="C2586" s="21">
        <v>3</v>
      </c>
      <c r="D2586" s="21">
        <v>84</v>
      </c>
      <c r="E2586" s="21">
        <v>28</v>
      </c>
      <c r="F2586" s="21"/>
    </row>
    <row r="2587" spans="1:6" x14ac:dyDescent="0.25">
      <c r="A2587" s="21" t="s">
        <v>2623</v>
      </c>
      <c r="B2587" s="21" t="s">
        <v>22</v>
      </c>
      <c r="C2587" s="21">
        <v>3</v>
      </c>
      <c r="D2587" s="21">
        <v>84</v>
      </c>
      <c r="E2587" s="21">
        <v>28</v>
      </c>
      <c r="F2587" s="21"/>
    </row>
    <row r="2588" spans="1:6" x14ac:dyDescent="0.25">
      <c r="A2588" s="21" t="s">
        <v>2624</v>
      </c>
      <c r="B2588" s="21" t="s">
        <v>22</v>
      </c>
      <c r="C2588" s="21">
        <v>3</v>
      </c>
      <c r="D2588" s="21">
        <v>84</v>
      </c>
      <c r="E2588" s="21">
        <v>28</v>
      </c>
      <c r="F2588" s="21"/>
    </row>
    <row r="2589" spans="1:6" x14ac:dyDescent="0.25">
      <c r="A2589" s="21" t="s">
        <v>2625</v>
      </c>
      <c r="B2589" s="21" t="s">
        <v>22</v>
      </c>
      <c r="C2589" s="21">
        <v>12</v>
      </c>
      <c r="D2589" s="21">
        <v>360</v>
      </c>
      <c r="E2589" s="21">
        <v>30</v>
      </c>
      <c r="F2589" s="21"/>
    </row>
    <row r="2590" spans="1:6" x14ac:dyDescent="0.25">
      <c r="A2590" s="21" t="s">
        <v>2626</v>
      </c>
      <c r="B2590" s="21" t="s">
        <v>22</v>
      </c>
      <c r="C2590" s="21">
        <v>12</v>
      </c>
      <c r="D2590" s="21">
        <v>360</v>
      </c>
      <c r="E2590" s="21">
        <v>30</v>
      </c>
      <c r="F2590" s="21"/>
    </row>
    <row r="2591" spans="1:6" x14ac:dyDescent="0.25">
      <c r="A2591" s="21" t="s">
        <v>2627</v>
      </c>
      <c r="B2591" s="21" t="s">
        <v>22</v>
      </c>
      <c r="C2591" s="21">
        <v>12</v>
      </c>
      <c r="D2591" s="21">
        <v>360</v>
      </c>
      <c r="E2591" s="21">
        <v>30</v>
      </c>
      <c r="F2591" s="21"/>
    </row>
    <row r="2592" spans="1:6" x14ac:dyDescent="0.25">
      <c r="A2592" s="21" t="s">
        <v>2628</v>
      </c>
      <c r="B2592" s="21" t="s">
        <v>22</v>
      </c>
      <c r="C2592" s="21">
        <v>12</v>
      </c>
      <c r="D2592" s="21">
        <v>360</v>
      </c>
      <c r="E2592" s="21">
        <v>30</v>
      </c>
      <c r="F2592" s="21"/>
    </row>
    <row r="2593" spans="1:6" x14ac:dyDescent="0.25">
      <c r="A2593" s="21" t="s">
        <v>2629</v>
      </c>
      <c r="B2593" s="21" t="s">
        <v>22</v>
      </c>
      <c r="C2593" s="21">
        <v>8</v>
      </c>
      <c r="D2593" s="21">
        <v>320</v>
      </c>
      <c r="E2593" s="21">
        <v>40</v>
      </c>
      <c r="F2593" s="21"/>
    </row>
    <row r="2594" spans="1:6" x14ac:dyDescent="0.25">
      <c r="A2594" s="21" t="s">
        <v>2630</v>
      </c>
      <c r="B2594" s="21" t="s">
        <v>22</v>
      </c>
      <c r="C2594" s="21">
        <v>8</v>
      </c>
      <c r="D2594" s="21">
        <v>320</v>
      </c>
      <c r="E2594" s="21">
        <v>40</v>
      </c>
      <c r="F2594" s="21"/>
    </row>
    <row r="2595" spans="1:6" x14ac:dyDescent="0.25">
      <c r="A2595" s="21" t="s">
        <v>2631</v>
      </c>
      <c r="B2595" s="21" t="s">
        <v>22</v>
      </c>
      <c r="C2595" s="21">
        <v>8</v>
      </c>
      <c r="D2595" s="21">
        <v>320</v>
      </c>
      <c r="E2595" s="21">
        <v>40</v>
      </c>
      <c r="F2595" s="21"/>
    </row>
    <row r="2596" spans="1:6" x14ac:dyDescent="0.25">
      <c r="A2596" s="21" t="s">
        <v>2632</v>
      </c>
      <c r="B2596" s="21" t="s">
        <v>22</v>
      </c>
      <c r="C2596" s="21">
        <v>8</v>
      </c>
      <c r="D2596" s="21">
        <v>320</v>
      </c>
      <c r="E2596" s="21">
        <v>40</v>
      </c>
      <c r="F2596" s="21"/>
    </row>
    <row r="2597" spans="1:6" x14ac:dyDescent="0.25">
      <c r="A2597" s="21" t="s">
        <v>2633</v>
      </c>
      <c r="B2597" s="21" t="s">
        <v>22</v>
      </c>
      <c r="C2597" s="21">
        <v>1</v>
      </c>
      <c r="D2597" s="21">
        <v>1</v>
      </c>
      <c r="E2597" s="21">
        <v>1</v>
      </c>
      <c r="F2597" s="21"/>
    </row>
    <row r="2598" spans="1:6" x14ac:dyDescent="0.25">
      <c r="A2598" s="21" t="s">
        <v>2634</v>
      </c>
      <c r="B2598" s="21" t="s">
        <v>22</v>
      </c>
      <c r="C2598" s="21">
        <v>1</v>
      </c>
      <c r="D2598" s="21">
        <v>1</v>
      </c>
      <c r="E2598" s="21">
        <v>1</v>
      </c>
      <c r="F2598" s="21"/>
    </row>
    <row r="2599" spans="1:6" x14ac:dyDescent="0.25">
      <c r="A2599" s="21" t="s">
        <v>2635</v>
      </c>
      <c r="B2599" s="21" t="s">
        <v>22</v>
      </c>
      <c r="C2599" s="21">
        <v>10</v>
      </c>
      <c r="D2599" s="21">
        <v>150</v>
      </c>
      <c r="E2599" s="21">
        <v>15</v>
      </c>
      <c r="F2599" s="21"/>
    </row>
    <row r="2600" spans="1:6" x14ac:dyDescent="0.25">
      <c r="A2600" s="21" t="s">
        <v>2636</v>
      </c>
      <c r="B2600" s="21" t="s">
        <v>22</v>
      </c>
      <c r="C2600" s="21">
        <v>10</v>
      </c>
      <c r="D2600" s="21">
        <v>150</v>
      </c>
      <c r="E2600" s="21">
        <v>15</v>
      </c>
      <c r="F2600" s="21"/>
    </row>
    <row r="2601" spans="1:6" x14ac:dyDescent="0.25">
      <c r="A2601" s="21" t="s">
        <v>2637</v>
      </c>
      <c r="B2601" s="21" t="s">
        <v>22</v>
      </c>
      <c r="C2601" s="21">
        <v>8</v>
      </c>
      <c r="D2601" s="21">
        <v>192</v>
      </c>
      <c r="E2601" s="21">
        <v>24</v>
      </c>
      <c r="F2601" s="21"/>
    </row>
    <row r="2602" spans="1:6" x14ac:dyDescent="0.25">
      <c r="A2602" s="21" t="s">
        <v>2638</v>
      </c>
      <c r="B2602" s="21" t="s">
        <v>22</v>
      </c>
      <c r="C2602" s="21">
        <v>4</v>
      </c>
      <c r="D2602" s="21">
        <v>144</v>
      </c>
      <c r="E2602" s="21">
        <v>36</v>
      </c>
      <c r="F2602" s="21"/>
    </row>
    <row r="2603" spans="1:6" x14ac:dyDescent="0.25">
      <c r="A2603" s="21" t="s">
        <v>2639</v>
      </c>
      <c r="B2603" s="21" t="s">
        <v>22</v>
      </c>
      <c r="C2603" s="21">
        <v>6</v>
      </c>
      <c r="D2603" s="21">
        <v>300</v>
      </c>
      <c r="E2603" s="21">
        <v>50</v>
      </c>
      <c r="F2603" s="21"/>
    </row>
    <row r="2604" spans="1:6" x14ac:dyDescent="0.25">
      <c r="A2604" s="21" t="s">
        <v>2640</v>
      </c>
      <c r="B2604" s="21" t="s">
        <v>22</v>
      </c>
      <c r="C2604" s="21">
        <v>5</v>
      </c>
      <c r="D2604" s="21">
        <v>240</v>
      </c>
      <c r="E2604" s="21">
        <v>48</v>
      </c>
      <c r="F2604" s="21"/>
    </row>
    <row r="2605" spans="1:6" x14ac:dyDescent="0.25">
      <c r="A2605" s="21" t="s">
        <v>2641</v>
      </c>
      <c r="B2605" s="21" t="s">
        <v>22</v>
      </c>
      <c r="C2605" s="21">
        <v>4</v>
      </c>
      <c r="D2605" s="21">
        <v>192</v>
      </c>
      <c r="E2605" s="21">
        <v>48</v>
      </c>
      <c r="F2605" s="21"/>
    </row>
    <row r="2606" spans="1:6" x14ac:dyDescent="0.25">
      <c r="A2606" s="21" t="s">
        <v>2642</v>
      </c>
      <c r="B2606" s="21" t="s">
        <v>22</v>
      </c>
      <c r="C2606" s="21">
        <v>4</v>
      </c>
      <c r="D2606" s="21">
        <v>48</v>
      </c>
      <c r="E2606" s="21">
        <v>12</v>
      </c>
      <c r="F2606" s="21"/>
    </row>
    <row r="2607" spans="1:6" x14ac:dyDescent="0.25">
      <c r="A2607" s="21" t="s">
        <v>2643</v>
      </c>
      <c r="B2607" s="21" t="s">
        <v>22</v>
      </c>
      <c r="C2607" s="21">
        <v>3</v>
      </c>
      <c r="D2607" s="21">
        <v>42</v>
      </c>
      <c r="E2607" s="21">
        <v>14</v>
      </c>
      <c r="F2607" s="21"/>
    </row>
    <row r="2608" spans="1:6" x14ac:dyDescent="0.25">
      <c r="A2608" s="21" t="s">
        <v>2644</v>
      </c>
      <c r="B2608" s="21" t="s">
        <v>22</v>
      </c>
      <c r="C2608" s="21">
        <v>12</v>
      </c>
      <c r="D2608" s="21">
        <v>360</v>
      </c>
      <c r="E2608" s="21">
        <v>30</v>
      </c>
      <c r="F2608" s="21"/>
    </row>
    <row r="2609" spans="1:6" x14ac:dyDescent="0.25">
      <c r="A2609" s="21" t="s">
        <v>2645</v>
      </c>
      <c r="B2609" s="21" t="s">
        <v>22</v>
      </c>
      <c r="C2609" s="21">
        <v>12</v>
      </c>
      <c r="D2609" s="21">
        <v>300</v>
      </c>
      <c r="E2609" s="21">
        <v>25</v>
      </c>
      <c r="F2609" s="21"/>
    </row>
    <row r="2610" spans="1:6" x14ac:dyDescent="0.25">
      <c r="A2610" s="21" t="s">
        <v>2646</v>
      </c>
      <c r="B2610" s="21" t="s">
        <v>595</v>
      </c>
      <c r="C2610" s="21">
        <v>20</v>
      </c>
      <c r="D2610" s="21">
        <v>300</v>
      </c>
      <c r="E2610" s="21">
        <v>15</v>
      </c>
      <c r="F2610" s="21"/>
    </row>
    <row r="2611" spans="1:6" x14ac:dyDescent="0.25">
      <c r="A2611" s="21" t="s">
        <v>2647</v>
      </c>
      <c r="B2611" s="21" t="s">
        <v>595</v>
      </c>
      <c r="C2611" s="21">
        <v>20</v>
      </c>
      <c r="D2611" s="21">
        <v>720</v>
      </c>
      <c r="E2611" s="21">
        <v>36</v>
      </c>
      <c r="F2611" s="21"/>
    </row>
    <row r="2612" spans="1:6" x14ac:dyDescent="0.25">
      <c r="A2612" s="21" t="s">
        <v>2648</v>
      </c>
      <c r="B2612" s="21" t="s">
        <v>595</v>
      </c>
      <c r="C2612" s="21">
        <v>20</v>
      </c>
      <c r="D2612" s="21">
        <v>480</v>
      </c>
      <c r="E2612" s="21">
        <v>24</v>
      </c>
      <c r="F2612" s="21"/>
    </row>
    <row r="2613" spans="1:6" x14ac:dyDescent="0.25">
      <c r="A2613" s="21" t="s">
        <v>2649</v>
      </c>
      <c r="B2613" s="21" t="s">
        <v>595</v>
      </c>
      <c r="C2613" s="21">
        <v>20</v>
      </c>
      <c r="D2613" s="21">
        <v>480</v>
      </c>
      <c r="E2613" s="21">
        <v>24</v>
      </c>
      <c r="F2613" s="21"/>
    </row>
    <row r="2614" spans="1:6" x14ac:dyDescent="0.25">
      <c r="A2614" s="21" t="s">
        <v>2650</v>
      </c>
      <c r="B2614" s="21" t="s">
        <v>22</v>
      </c>
      <c r="C2614" s="21">
        <v>50</v>
      </c>
      <c r="D2614" s="21">
        <v>2400</v>
      </c>
      <c r="E2614" s="21">
        <v>48</v>
      </c>
      <c r="F2614" s="21"/>
    </row>
    <row r="2615" spans="1:6" x14ac:dyDescent="0.25">
      <c r="A2615" s="21" t="s">
        <v>2651</v>
      </c>
      <c r="B2615" s="21" t="s">
        <v>22</v>
      </c>
      <c r="C2615" s="21">
        <v>0</v>
      </c>
      <c r="D2615" s="52">
        <v>0</v>
      </c>
      <c r="E2615" s="21"/>
      <c r="F2615" s="21"/>
    </row>
    <row r="2616" spans="1:6" x14ac:dyDescent="0.25">
      <c r="A2616" s="21" t="s">
        <v>2652</v>
      </c>
      <c r="B2616" s="21" t="s">
        <v>22</v>
      </c>
      <c r="C2616" s="21">
        <v>50</v>
      </c>
      <c r="D2616" s="21">
        <v>1500</v>
      </c>
      <c r="E2616" s="21">
        <v>30</v>
      </c>
      <c r="F2616" s="21"/>
    </row>
    <row r="2617" spans="1:6" x14ac:dyDescent="0.25">
      <c r="A2617" s="21" t="s">
        <v>2653</v>
      </c>
      <c r="B2617" s="21" t="s">
        <v>22</v>
      </c>
      <c r="C2617" s="21">
        <v>100</v>
      </c>
      <c r="D2617" s="21">
        <v>1800</v>
      </c>
      <c r="E2617" s="21">
        <v>18</v>
      </c>
      <c r="F2617" s="21"/>
    </row>
    <row r="2618" spans="1:6" x14ac:dyDescent="0.25">
      <c r="A2618" s="21" t="s">
        <v>2654</v>
      </c>
      <c r="B2618" s="21" t="s">
        <v>454</v>
      </c>
      <c r="C2618" s="21">
        <v>10</v>
      </c>
      <c r="D2618" s="21">
        <v>100</v>
      </c>
      <c r="E2618" s="21">
        <v>10</v>
      </c>
      <c r="F2618" s="21"/>
    </row>
    <row r="2619" spans="1:6" x14ac:dyDescent="0.25">
      <c r="A2619" s="21" t="s">
        <v>2655</v>
      </c>
      <c r="B2619" s="21" t="s">
        <v>22</v>
      </c>
      <c r="C2619" s="21">
        <v>60</v>
      </c>
      <c r="D2619" s="21">
        <v>1920</v>
      </c>
      <c r="E2619" s="21">
        <v>32</v>
      </c>
      <c r="F2619" s="21"/>
    </row>
    <row r="2620" spans="1:6" x14ac:dyDescent="0.25">
      <c r="A2620" s="21" t="s">
        <v>2656</v>
      </c>
      <c r="B2620" s="21" t="s">
        <v>22</v>
      </c>
      <c r="C2620" s="21">
        <v>100</v>
      </c>
      <c r="D2620" s="21">
        <v>1800</v>
      </c>
      <c r="E2620" s="21">
        <v>18</v>
      </c>
      <c r="F2620" s="21"/>
    </row>
    <row r="2621" spans="1:6" x14ac:dyDescent="0.25">
      <c r="A2621" s="21" t="s">
        <v>2657</v>
      </c>
      <c r="B2621" s="21" t="s">
        <v>22</v>
      </c>
      <c r="C2621" s="21">
        <v>0</v>
      </c>
      <c r="D2621" s="52">
        <v>0</v>
      </c>
      <c r="E2621" s="21"/>
      <c r="F2621" s="21"/>
    </row>
    <row r="2622" spans="1:6" x14ac:dyDescent="0.25">
      <c r="A2622" s="21" t="s">
        <v>2658</v>
      </c>
      <c r="B2622" s="21" t="s">
        <v>22</v>
      </c>
      <c r="C2622" s="21">
        <v>40</v>
      </c>
      <c r="D2622" s="21">
        <v>720</v>
      </c>
      <c r="E2622" s="21">
        <v>18</v>
      </c>
      <c r="F2622" s="21"/>
    </row>
    <row r="2623" spans="1:6" x14ac:dyDescent="0.25">
      <c r="A2623" s="21" t="s">
        <v>2659</v>
      </c>
      <c r="B2623" s="21" t="s">
        <v>22</v>
      </c>
      <c r="C2623" s="21">
        <v>40</v>
      </c>
      <c r="D2623" s="21">
        <v>720</v>
      </c>
      <c r="E2623" s="21">
        <v>18</v>
      </c>
      <c r="F2623" s="21"/>
    </row>
    <row r="2624" spans="1:6" x14ac:dyDescent="0.25">
      <c r="A2624" s="21" t="s">
        <v>2660</v>
      </c>
      <c r="B2624" s="21" t="s">
        <v>22</v>
      </c>
      <c r="C2624" s="21">
        <v>40</v>
      </c>
      <c r="D2624" s="21">
        <v>720</v>
      </c>
      <c r="E2624" s="21">
        <v>18</v>
      </c>
      <c r="F2624" s="21"/>
    </row>
    <row r="2625" spans="1:6" x14ac:dyDescent="0.25">
      <c r="A2625" s="21" t="s">
        <v>2661</v>
      </c>
      <c r="B2625" s="21" t="s">
        <v>22</v>
      </c>
      <c r="C2625" s="21">
        <v>40</v>
      </c>
      <c r="D2625" s="21">
        <v>720</v>
      </c>
      <c r="E2625" s="21">
        <v>18</v>
      </c>
      <c r="F2625" s="21"/>
    </row>
    <row r="2626" spans="1:6" x14ac:dyDescent="0.25">
      <c r="A2626" s="21" t="s">
        <v>2662</v>
      </c>
      <c r="B2626" s="21" t="s">
        <v>22</v>
      </c>
      <c r="C2626" s="21">
        <v>40</v>
      </c>
      <c r="D2626" s="21">
        <v>720</v>
      </c>
      <c r="E2626" s="21">
        <v>18</v>
      </c>
      <c r="F2626" s="21"/>
    </row>
    <row r="2627" spans="1:6" x14ac:dyDescent="0.25">
      <c r="A2627" s="21" t="s">
        <v>2663</v>
      </c>
      <c r="B2627" s="21" t="s">
        <v>22</v>
      </c>
      <c r="C2627" s="21">
        <v>40</v>
      </c>
      <c r="D2627" s="21">
        <v>720</v>
      </c>
      <c r="E2627" s="21">
        <v>18</v>
      </c>
      <c r="F2627" s="21"/>
    </row>
    <row r="2628" spans="1:6" x14ac:dyDescent="0.25">
      <c r="A2628" s="21" t="s">
        <v>2664</v>
      </c>
      <c r="B2628" s="21" t="s">
        <v>22</v>
      </c>
      <c r="C2628" s="21">
        <v>0</v>
      </c>
      <c r="D2628" s="52">
        <v>0</v>
      </c>
      <c r="E2628" s="21"/>
      <c r="F2628" s="21"/>
    </row>
    <row r="2629" spans="1:6" x14ac:dyDescent="0.25">
      <c r="A2629" s="21" t="s">
        <v>2665</v>
      </c>
      <c r="B2629" s="21" t="s">
        <v>22</v>
      </c>
      <c r="C2629" s="21">
        <v>20</v>
      </c>
      <c r="D2629" s="21">
        <v>500</v>
      </c>
      <c r="E2629" s="21">
        <v>25</v>
      </c>
      <c r="F2629" s="21"/>
    </row>
    <row r="2630" spans="1:6" x14ac:dyDescent="0.25">
      <c r="A2630" s="21" t="s">
        <v>2666</v>
      </c>
      <c r="B2630" s="21" t="s">
        <v>22</v>
      </c>
      <c r="C2630" s="21">
        <v>20</v>
      </c>
      <c r="D2630" s="21">
        <v>500</v>
      </c>
      <c r="E2630" s="21">
        <v>25</v>
      </c>
      <c r="F2630" s="21"/>
    </row>
    <row r="2631" spans="1:6" x14ac:dyDescent="0.25">
      <c r="A2631" s="21" t="s">
        <v>2667</v>
      </c>
      <c r="B2631" s="21" t="s">
        <v>22</v>
      </c>
      <c r="C2631" s="21">
        <v>20</v>
      </c>
      <c r="D2631" s="21">
        <v>600</v>
      </c>
      <c r="E2631" s="21">
        <v>30</v>
      </c>
      <c r="F2631" s="21"/>
    </row>
    <row r="2632" spans="1:6" x14ac:dyDescent="0.25">
      <c r="A2632" s="21" t="s">
        <v>2668</v>
      </c>
      <c r="B2632" s="21" t="s">
        <v>22</v>
      </c>
      <c r="C2632" s="21">
        <v>20</v>
      </c>
      <c r="D2632" s="21">
        <v>600</v>
      </c>
      <c r="E2632" s="21">
        <v>30</v>
      </c>
      <c r="F2632" s="21"/>
    </row>
    <row r="2633" spans="1:6" x14ac:dyDescent="0.25">
      <c r="A2633" s="21" t="s">
        <v>2669</v>
      </c>
      <c r="B2633" s="21" t="s">
        <v>22</v>
      </c>
      <c r="C2633" s="21">
        <v>20</v>
      </c>
      <c r="D2633" s="21">
        <v>500</v>
      </c>
      <c r="E2633" s="21">
        <v>25</v>
      </c>
      <c r="F2633" s="21"/>
    </row>
    <row r="2634" spans="1:6" x14ac:dyDescent="0.25">
      <c r="A2634" s="21" t="s">
        <v>2670</v>
      </c>
      <c r="B2634" s="21" t="s">
        <v>22</v>
      </c>
      <c r="C2634" s="21">
        <v>20</v>
      </c>
      <c r="D2634" s="21">
        <v>500</v>
      </c>
      <c r="E2634" s="21">
        <v>25</v>
      </c>
      <c r="F2634" s="21"/>
    </row>
    <row r="2635" spans="1:6" x14ac:dyDescent="0.25">
      <c r="A2635" s="21" t="s">
        <v>2671</v>
      </c>
      <c r="B2635" s="21" t="s">
        <v>22</v>
      </c>
      <c r="C2635" s="21">
        <v>20</v>
      </c>
      <c r="D2635" s="21">
        <v>600</v>
      </c>
      <c r="E2635" s="21">
        <v>30</v>
      </c>
      <c r="F2635" s="21"/>
    </row>
    <row r="2636" spans="1:6" x14ac:dyDescent="0.25">
      <c r="A2636" s="21" t="s">
        <v>2672</v>
      </c>
      <c r="B2636" s="21" t="s">
        <v>22</v>
      </c>
      <c r="C2636" s="21">
        <v>20</v>
      </c>
      <c r="D2636" s="21">
        <v>600</v>
      </c>
      <c r="E2636" s="21">
        <v>30</v>
      </c>
      <c r="F2636" s="21"/>
    </row>
    <row r="2637" spans="1:6" x14ac:dyDescent="0.25">
      <c r="A2637" s="21" t="s">
        <v>2673</v>
      </c>
      <c r="B2637" s="21" t="s">
        <v>22</v>
      </c>
      <c r="C2637" s="21">
        <v>10</v>
      </c>
      <c r="D2637" s="21">
        <v>240</v>
      </c>
      <c r="E2637" s="21">
        <v>24</v>
      </c>
      <c r="F2637" s="21"/>
    </row>
    <row r="2638" spans="1:6" x14ac:dyDescent="0.25">
      <c r="A2638" s="21" t="s">
        <v>2674</v>
      </c>
      <c r="B2638" s="21" t="s">
        <v>22</v>
      </c>
      <c r="C2638" s="21">
        <v>10</v>
      </c>
      <c r="D2638" s="21">
        <v>240</v>
      </c>
      <c r="E2638" s="21">
        <v>24</v>
      </c>
      <c r="F2638" s="21"/>
    </row>
    <row r="2639" spans="1:6" x14ac:dyDescent="0.25">
      <c r="A2639" s="21" t="s">
        <v>2675</v>
      </c>
      <c r="B2639" s="21" t="s">
        <v>22</v>
      </c>
      <c r="C2639" s="21">
        <v>10</v>
      </c>
      <c r="D2639" s="21">
        <v>240</v>
      </c>
      <c r="E2639" s="21">
        <v>24</v>
      </c>
      <c r="F2639" s="21"/>
    </row>
    <row r="2640" spans="1:6" x14ac:dyDescent="0.25">
      <c r="A2640" s="21" t="s">
        <v>2676</v>
      </c>
      <c r="B2640" s="21" t="s">
        <v>22</v>
      </c>
      <c r="C2640" s="21">
        <v>10</v>
      </c>
      <c r="D2640" s="21">
        <v>240</v>
      </c>
      <c r="E2640" s="21">
        <v>24</v>
      </c>
      <c r="F2640" s="21"/>
    </row>
    <row r="2641" spans="1:6" x14ac:dyDescent="0.25">
      <c r="A2641" s="21" t="s">
        <v>2677</v>
      </c>
      <c r="B2641" s="21" t="s">
        <v>22</v>
      </c>
      <c r="C2641" s="21">
        <v>10</v>
      </c>
      <c r="D2641" s="21">
        <v>240</v>
      </c>
      <c r="E2641" s="21">
        <v>24</v>
      </c>
      <c r="F2641" s="21"/>
    </row>
    <row r="2642" spans="1:6" x14ac:dyDescent="0.25">
      <c r="A2642" s="21" t="s">
        <v>2678</v>
      </c>
      <c r="B2642" s="21" t="s">
        <v>22</v>
      </c>
      <c r="C2642" s="21">
        <v>10</v>
      </c>
      <c r="D2642" s="21">
        <v>240</v>
      </c>
      <c r="E2642" s="21">
        <v>24</v>
      </c>
      <c r="F2642" s="21"/>
    </row>
    <row r="2643" spans="1:6" x14ac:dyDescent="0.25">
      <c r="A2643" s="21" t="s">
        <v>2679</v>
      </c>
      <c r="B2643" s="21" t="s">
        <v>22</v>
      </c>
      <c r="C2643" s="21">
        <v>10</v>
      </c>
      <c r="D2643" s="21">
        <v>240</v>
      </c>
      <c r="E2643" s="21">
        <v>24</v>
      </c>
      <c r="F2643" s="21"/>
    </row>
    <row r="2644" spans="1:6" x14ac:dyDescent="0.25">
      <c r="A2644" s="21" t="s">
        <v>2680</v>
      </c>
      <c r="B2644" s="21" t="s">
        <v>22</v>
      </c>
      <c r="C2644" s="21">
        <v>60</v>
      </c>
      <c r="D2644" s="21">
        <v>1200</v>
      </c>
      <c r="E2644" s="21">
        <v>20</v>
      </c>
      <c r="F2644" s="21"/>
    </row>
    <row r="2645" spans="1:6" x14ac:dyDescent="0.25">
      <c r="A2645" s="21" t="s">
        <v>2681</v>
      </c>
      <c r="B2645" s="21" t="s">
        <v>22</v>
      </c>
      <c r="C2645" s="21">
        <v>60</v>
      </c>
      <c r="D2645" s="21">
        <v>1200</v>
      </c>
      <c r="E2645" s="21">
        <v>20</v>
      </c>
      <c r="F2645" s="21"/>
    </row>
    <row r="2646" spans="1:6" x14ac:dyDescent="0.25">
      <c r="A2646" s="21" t="s">
        <v>2682</v>
      </c>
      <c r="B2646" s="21" t="s">
        <v>22</v>
      </c>
      <c r="C2646" s="21">
        <v>60</v>
      </c>
      <c r="D2646" s="21">
        <v>1200</v>
      </c>
      <c r="E2646" s="21">
        <v>20</v>
      </c>
      <c r="F2646" s="21"/>
    </row>
    <row r="2647" spans="1:6" x14ac:dyDescent="0.25">
      <c r="A2647" s="21" t="s">
        <v>2683</v>
      </c>
      <c r="B2647" s="21" t="s">
        <v>22</v>
      </c>
      <c r="C2647" s="21">
        <v>60</v>
      </c>
      <c r="D2647" s="21">
        <v>1200</v>
      </c>
      <c r="E2647" s="21">
        <v>20</v>
      </c>
      <c r="F2647" s="21"/>
    </row>
    <row r="2648" spans="1:6" x14ac:dyDescent="0.25">
      <c r="A2648" s="21" t="s">
        <v>2684</v>
      </c>
      <c r="B2648" s="21" t="s">
        <v>22</v>
      </c>
      <c r="C2648" s="21">
        <v>60</v>
      </c>
      <c r="D2648" s="21">
        <v>1500</v>
      </c>
      <c r="E2648" s="21">
        <v>25</v>
      </c>
      <c r="F2648" s="21"/>
    </row>
    <row r="2649" spans="1:6" x14ac:dyDescent="0.25">
      <c r="A2649" s="21" t="s">
        <v>2685</v>
      </c>
      <c r="B2649" s="21" t="s">
        <v>22</v>
      </c>
      <c r="C2649" s="21">
        <v>60</v>
      </c>
      <c r="D2649" s="21">
        <v>1200</v>
      </c>
      <c r="E2649" s="21">
        <v>20</v>
      </c>
      <c r="F2649" s="21"/>
    </row>
    <row r="2650" spans="1:6" x14ac:dyDescent="0.25">
      <c r="A2650" s="21" t="s">
        <v>2686</v>
      </c>
      <c r="B2650" s="21" t="s">
        <v>22</v>
      </c>
      <c r="C2650" s="21">
        <v>60</v>
      </c>
      <c r="D2650" s="21">
        <v>1200</v>
      </c>
      <c r="E2650" s="21">
        <v>20</v>
      </c>
      <c r="F2650" s="21"/>
    </row>
    <row r="2651" spans="1:6" x14ac:dyDescent="0.25">
      <c r="A2651" s="21" t="s">
        <v>2687</v>
      </c>
      <c r="B2651" s="21" t="s">
        <v>22</v>
      </c>
      <c r="C2651" s="21">
        <v>60</v>
      </c>
      <c r="D2651" s="21">
        <v>1200</v>
      </c>
      <c r="E2651" s="21">
        <v>20</v>
      </c>
      <c r="F2651" s="21"/>
    </row>
    <row r="2652" spans="1:6" x14ac:dyDescent="0.25">
      <c r="A2652" s="21" t="s">
        <v>2688</v>
      </c>
      <c r="B2652" s="21" t="s">
        <v>22</v>
      </c>
      <c r="C2652" s="21">
        <v>40</v>
      </c>
      <c r="D2652" s="21">
        <v>720</v>
      </c>
      <c r="E2652" s="21">
        <v>18</v>
      </c>
      <c r="F2652" s="21"/>
    </row>
    <row r="2653" spans="1:6" x14ac:dyDescent="0.25">
      <c r="A2653" s="21" t="s">
        <v>2689</v>
      </c>
      <c r="B2653" s="21" t="s">
        <v>22</v>
      </c>
      <c r="C2653" s="21">
        <v>40</v>
      </c>
      <c r="D2653" s="21">
        <v>720</v>
      </c>
      <c r="E2653" s="21">
        <v>18</v>
      </c>
      <c r="F2653" s="21"/>
    </row>
    <row r="2654" spans="1:6" x14ac:dyDescent="0.25">
      <c r="A2654" s="21" t="s">
        <v>2690</v>
      </c>
      <c r="B2654" s="21" t="s">
        <v>22</v>
      </c>
      <c r="C2654" s="21">
        <v>40</v>
      </c>
      <c r="D2654" s="21">
        <v>960</v>
      </c>
      <c r="E2654" s="21">
        <v>24</v>
      </c>
      <c r="F2654" s="21"/>
    </row>
    <row r="2655" spans="1:6" x14ac:dyDescent="0.25">
      <c r="A2655" s="21" t="s">
        <v>2691</v>
      </c>
      <c r="B2655" s="21" t="s">
        <v>22</v>
      </c>
      <c r="C2655" s="21">
        <v>40</v>
      </c>
      <c r="D2655" s="21">
        <v>960</v>
      </c>
      <c r="E2655" s="21">
        <v>24</v>
      </c>
      <c r="F2655" s="21"/>
    </row>
    <row r="2656" spans="1:6" x14ac:dyDescent="0.25">
      <c r="A2656" s="21" t="s">
        <v>2692</v>
      </c>
      <c r="B2656" s="21" t="s">
        <v>22</v>
      </c>
      <c r="C2656" s="21">
        <v>40</v>
      </c>
      <c r="D2656" s="21">
        <v>960</v>
      </c>
      <c r="E2656" s="21">
        <v>24</v>
      </c>
      <c r="F2656" s="21"/>
    </row>
    <row r="2657" spans="1:6" x14ac:dyDescent="0.25">
      <c r="A2657" s="21" t="s">
        <v>2693</v>
      </c>
      <c r="B2657" s="21" t="s">
        <v>22</v>
      </c>
      <c r="C2657" s="21">
        <v>40</v>
      </c>
      <c r="D2657" s="21">
        <v>720</v>
      </c>
      <c r="E2657" s="21">
        <v>18</v>
      </c>
      <c r="F2657" s="21"/>
    </row>
    <row r="2658" spans="1:6" x14ac:dyDescent="0.25">
      <c r="A2658" s="21" t="s">
        <v>2694</v>
      </c>
      <c r="B2658" s="21" t="s">
        <v>22</v>
      </c>
      <c r="C2658" s="21">
        <v>40</v>
      </c>
      <c r="D2658" s="21">
        <v>960</v>
      </c>
      <c r="E2658" s="21">
        <v>24</v>
      </c>
      <c r="F2658" s="21"/>
    </row>
    <row r="2659" spans="1:6" x14ac:dyDescent="0.25">
      <c r="A2659" s="21" t="s">
        <v>2695</v>
      </c>
      <c r="B2659" s="21" t="s">
        <v>22</v>
      </c>
      <c r="C2659" s="21">
        <v>40</v>
      </c>
      <c r="D2659" s="21">
        <v>960</v>
      </c>
      <c r="E2659" s="21">
        <v>24</v>
      </c>
      <c r="F2659" s="21"/>
    </row>
    <row r="2660" spans="1:6" x14ac:dyDescent="0.25">
      <c r="A2660" s="21" t="s">
        <v>2696</v>
      </c>
      <c r="B2660" s="21" t="s">
        <v>22</v>
      </c>
      <c r="C2660" s="21">
        <v>20</v>
      </c>
      <c r="D2660" s="21">
        <v>440</v>
      </c>
      <c r="E2660" s="21">
        <v>22</v>
      </c>
      <c r="F2660" s="21"/>
    </row>
    <row r="2661" spans="1:6" x14ac:dyDescent="0.25">
      <c r="A2661" s="21" t="s">
        <v>2697</v>
      </c>
      <c r="B2661" s="21" t="s">
        <v>22</v>
      </c>
      <c r="C2661" s="21">
        <v>20</v>
      </c>
      <c r="D2661" s="21">
        <v>440</v>
      </c>
      <c r="E2661" s="21">
        <v>22</v>
      </c>
      <c r="F2661" s="21"/>
    </row>
    <row r="2662" spans="1:6" x14ac:dyDescent="0.25">
      <c r="A2662" s="21" t="s">
        <v>2698</v>
      </c>
      <c r="B2662" s="21" t="s">
        <v>22</v>
      </c>
      <c r="C2662" s="21">
        <v>20</v>
      </c>
      <c r="D2662" s="21">
        <v>600</v>
      </c>
      <c r="E2662" s="21">
        <v>30</v>
      </c>
      <c r="F2662" s="21"/>
    </row>
    <row r="2663" spans="1:6" x14ac:dyDescent="0.25">
      <c r="A2663" s="21" t="s">
        <v>2699</v>
      </c>
      <c r="B2663" s="21" t="s">
        <v>22</v>
      </c>
      <c r="C2663" s="21">
        <v>20</v>
      </c>
      <c r="D2663" s="21">
        <v>600</v>
      </c>
      <c r="E2663" s="21">
        <v>30</v>
      </c>
      <c r="F2663" s="21"/>
    </row>
    <row r="2664" spans="1:6" x14ac:dyDescent="0.25">
      <c r="A2664" s="21" t="s">
        <v>2700</v>
      </c>
      <c r="B2664" s="21" t="s">
        <v>22</v>
      </c>
      <c r="C2664" s="21">
        <v>50</v>
      </c>
      <c r="D2664" s="21">
        <v>2400</v>
      </c>
      <c r="E2664" s="21">
        <v>48</v>
      </c>
      <c r="F2664" s="21"/>
    </row>
    <row r="2665" spans="1:6" x14ac:dyDescent="0.25">
      <c r="A2665" s="21" t="s">
        <v>2701</v>
      </c>
      <c r="B2665" s="21" t="s">
        <v>22</v>
      </c>
      <c r="C2665" s="21">
        <v>50</v>
      </c>
      <c r="D2665" s="21">
        <v>2400</v>
      </c>
      <c r="E2665" s="21">
        <v>48</v>
      </c>
      <c r="F2665" s="21"/>
    </row>
    <row r="2666" spans="1:6" x14ac:dyDescent="0.25">
      <c r="A2666" s="21" t="s">
        <v>2702</v>
      </c>
      <c r="B2666" s="21" t="s">
        <v>22</v>
      </c>
      <c r="C2666" s="21">
        <v>40</v>
      </c>
      <c r="D2666" s="21">
        <v>1600</v>
      </c>
      <c r="E2666" s="21">
        <v>40</v>
      </c>
      <c r="F2666" s="21"/>
    </row>
    <row r="2667" spans="1:6" x14ac:dyDescent="0.25">
      <c r="A2667" s="21" t="s">
        <v>2703</v>
      </c>
      <c r="B2667" s="21" t="s">
        <v>22</v>
      </c>
      <c r="C2667" s="21">
        <v>40</v>
      </c>
      <c r="D2667" s="21">
        <v>1600</v>
      </c>
      <c r="E2667" s="21">
        <v>40</v>
      </c>
      <c r="F2667" s="21"/>
    </row>
    <row r="2668" spans="1:6" x14ac:dyDescent="0.25">
      <c r="A2668" s="21" t="s">
        <v>2704</v>
      </c>
      <c r="B2668" s="21" t="s">
        <v>22</v>
      </c>
      <c r="C2668" s="21">
        <v>40</v>
      </c>
      <c r="D2668" s="21">
        <v>1600</v>
      </c>
      <c r="E2668" s="21">
        <v>40</v>
      </c>
      <c r="F2668" s="21"/>
    </row>
    <row r="2669" spans="1:6" x14ac:dyDescent="0.25">
      <c r="A2669" s="21" t="s">
        <v>2705</v>
      </c>
      <c r="B2669" s="21" t="s">
        <v>22</v>
      </c>
      <c r="C2669" s="21">
        <v>40</v>
      </c>
      <c r="D2669" s="21">
        <v>1600</v>
      </c>
      <c r="E2669" s="21">
        <v>40</v>
      </c>
      <c r="F2669" s="21"/>
    </row>
    <row r="2670" spans="1:6" x14ac:dyDescent="0.25">
      <c r="A2670" s="21" t="s">
        <v>2706</v>
      </c>
      <c r="B2670" s="21" t="s">
        <v>22</v>
      </c>
      <c r="C2670" s="21">
        <v>20</v>
      </c>
      <c r="D2670" s="21">
        <v>720</v>
      </c>
      <c r="E2670" s="21">
        <v>36</v>
      </c>
      <c r="F2670" s="21"/>
    </row>
    <row r="2671" spans="1:6" x14ac:dyDescent="0.25">
      <c r="A2671" s="21" t="s">
        <v>2707</v>
      </c>
      <c r="B2671" s="21" t="s">
        <v>22</v>
      </c>
      <c r="C2671" s="21">
        <v>20</v>
      </c>
      <c r="D2671" s="21">
        <v>720</v>
      </c>
      <c r="E2671" s="21">
        <v>36</v>
      </c>
      <c r="F2671" s="21"/>
    </row>
    <row r="2672" spans="1:6" x14ac:dyDescent="0.25">
      <c r="A2672" s="21" t="s">
        <v>2708</v>
      </c>
      <c r="B2672" s="21" t="s">
        <v>22</v>
      </c>
      <c r="C2672" s="21">
        <v>20</v>
      </c>
      <c r="D2672" s="21">
        <v>720</v>
      </c>
      <c r="E2672" s="21">
        <v>36</v>
      </c>
      <c r="F2672" s="21"/>
    </row>
    <row r="2673" spans="1:6" x14ac:dyDescent="0.25">
      <c r="A2673" s="21" t="s">
        <v>2709</v>
      </c>
      <c r="B2673" s="21" t="s">
        <v>22</v>
      </c>
      <c r="C2673" s="21">
        <v>20</v>
      </c>
      <c r="D2673" s="21">
        <v>720</v>
      </c>
      <c r="E2673" s="21">
        <v>36</v>
      </c>
      <c r="F2673" s="21"/>
    </row>
    <row r="2674" spans="1:6" x14ac:dyDescent="0.25">
      <c r="A2674" s="21" t="s">
        <v>2710</v>
      </c>
      <c r="B2674" s="21" t="s">
        <v>22</v>
      </c>
      <c r="C2674" s="21">
        <v>10</v>
      </c>
      <c r="D2674" s="21">
        <v>400</v>
      </c>
      <c r="E2674" s="21">
        <v>40</v>
      </c>
      <c r="F2674" s="21"/>
    </row>
    <row r="2675" spans="1:6" x14ac:dyDescent="0.25">
      <c r="A2675" s="21" t="s">
        <v>2711</v>
      </c>
      <c r="B2675" s="21" t="s">
        <v>22</v>
      </c>
      <c r="C2675" s="21">
        <v>10</v>
      </c>
      <c r="D2675" s="21">
        <v>400</v>
      </c>
      <c r="E2675" s="21">
        <v>40</v>
      </c>
      <c r="F2675" s="21"/>
    </row>
    <row r="2676" spans="1:6" x14ac:dyDescent="0.25">
      <c r="A2676" s="21" t="s">
        <v>2712</v>
      </c>
      <c r="B2676" s="21" t="s">
        <v>22</v>
      </c>
      <c r="C2676" s="21">
        <v>10</v>
      </c>
      <c r="D2676" s="21">
        <v>400</v>
      </c>
      <c r="E2676" s="21">
        <v>40</v>
      </c>
      <c r="F2676" s="21"/>
    </row>
    <row r="2677" spans="1:6" x14ac:dyDescent="0.25">
      <c r="A2677" s="21" t="s">
        <v>2713</v>
      </c>
      <c r="B2677" s="21" t="s">
        <v>22</v>
      </c>
      <c r="C2677" s="21">
        <v>10</v>
      </c>
      <c r="D2677" s="21">
        <v>400</v>
      </c>
      <c r="E2677" s="21">
        <v>40</v>
      </c>
      <c r="F2677" s="21"/>
    </row>
    <row r="2678" spans="1:6" x14ac:dyDescent="0.25">
      <c r="A2678" s="21" t="s">
        <v>2714</v>
      </c>
      <c r="B2678" s="21" t="s">
        <v>22</v>
      </c>
      <c r="C2678" s="21">
        <v>8</v>
      </c>
      <c r="D2678" s="21">
        <v>288</v>
      </c>
      <c r="E2678" s="21">
        <v>36</v>
      </c>
      <c r="F2678" s="21"/>
    </row>
    <row r="2679" spans="1:6" x14ac:dyDescent="0.25">
      <c r="A2679" s="21" t="s">
        <v>2715</v>
      </c>
      <c r="B2679" s="21" t="s">
        <v>22</v>
      </c>
      <c r="C2679" s="21">
        <v>8</v>
      </c>
      <c r="D2679" s="21">
        <v>288</v>
      </c>
      <c r="E2679" s="21">
        <v>36</v>
      </c>
      <c r="F2679" s="21"/>
    </row>
    <row r="2680" spans="1:6" x14ac:dyDescent="0.25">
      <c r="A2680" s="21" t="s">
        <v>2716</v>
      </c>
      <c r="B2680" s="21" t="s">
        <v>22</v>
      </c>
      <c r="C2680" s="21">
        <v>8</v>
      </c>
      <c r="D2680" s="21">
        <v>288</v>
      </c>
      <c r="E2680" s="21">
        <v>36</v>
      </c>
      <c r="F2680" s="21"/>
    </row>
    <row r="2681" spans="1:6" x14ac:dyDescent="0.25">
      <c r="A2681" s="21" t="s">
        <v>2717</v>
      </c>
      <c r="B2681" s="21" t="s">
        <v>22</v>
      </c>
      <c r="C2681" s="21">
        <v>8</v>
      </c>
      <c r="D2681" s="21">
        <v>288</v>
      </c>
      <c r="E2681" s="21">
        <v>36</v>
      </c>
      <c r="F2681" s="21"/>
    </row>
    <row r="2682" spans="1:6" x14ac:dyDescent="0.25">
      <c r="A2682" s="21" t="s">
        <v>2718</v>
      </c>
      <c r="B2682" s="21" t="s">
        <v>22</v>
      </c>
      <c r="C2682" s="21">
        <v>40</v>
      </c>
      <c r="D2682" s="21">
        <v>1600</v>
      </c>
      <c r="E2682" s="21">
        <v>40</v>
      </c>
      <c r="F2682" s="21"/>
    </row>
    <row r="2683" spans="1:6" x14ac:dyDescent="0.25">
      <c r="A2683" s="21" t="s">
        <v>2719</v>
      </c>
      <c r="B2683" s="21" t="s">
        <v>22</v>
      </c>
      <c r="C2683" s="21">
        <v>40</v>
      </c>
      <c r="D2683" s="21">
        <v>1600</v>
      </c>
      <c r="E2683" s="21">
        <v>40</v>
      </c>
      <c r="F2683" s="21"/>
    </row>
    <row r="2684" spans="1:6" x14ac:dyDescent="0.25">
      <c r="A2684" s="21" t="s">
        <v>2720</v>
      </c>
      <c r="B2684" s="21" t="s">
        <v>22</v>
      </c>
      <c r="C2684" s="21">
        <v>40</v>
      </c>
      <c r="D2684" s="21">
        <v>1600</v>
      </c>
      <c r="E2684" s="21">
        <v>40</v>
      </c>
      <c r="F2684" s="21"/>
    </row>
    <row r="2685" spans="1:6" x14ac:dyDescent="0.25">
      <c r="A2685" s="21" t="s">
        <v>2721</v>
      </c>
      <c r="B2685" s="21" t="s">
        <v>22</v>
      </c>
      <c r="C2685" s="21">
        <v>40</v>
      </c>
      <c r="D2685" s="21">
        <v>1600</v>
      </c>
      <c r="E2685" s="21">
        <v>40</v>
      </c>
      <c r="F2685" s="21"/>
    </row>
    <row r="2686" spans="1:6" x14ac:dyDescent="0.25">
      <c r="A2686" s="21" t="s">
        <v>2722</v>
      </c>
      <c r="B2686" s="21" t="s">
        <v>22</v>
      </c>
      <c r="C2686" s="21">
        <v>20</v>
      </c>
      <c r="D2686" s="21">
        <v>720</v>
      </c>
      <c r="E2686" s="21">
        <v>36</v>
      </c>
      <c r="F2686" s="21"/>
    </row>
    <row r="2687" spans="1:6" x14ac:dyDescent="0.25">
      <c r="A2687" s="21" t="s">
        <v>2723</v>
      </c>
      <c r="B2687" s="21" t="s">
        <v>22</v>
      </c>
      <c r="C2687" s="21">
        <v>20</v>
      </c>
      <c r="D2687" s="21">
        <v>720</v>
      </c>
      <c r="E2687" s="21">
        <v>36</v>
      </c>
      <c r="F2687" s="21"/>
    </row>
    <row r="2688" spans="1:6" x14ac:dyDescent="0.25">
      <c r="A2688" s="21" t="s">
        <v>2724</v>
      </c>
      <c r="B2688" s="21" t="s">
        <v>22</v>
      </c>
      <c r="C2688" s="21">
        <v>20</v>
      </c>
      <c r="D2688" s="21">
        <v>720</v>
      </c>
      <c r="E2688" s="21">
        <v>36</v>
      </c>
      <c r="F2688" s="21"/>
    </row>
    <row r="2689" spans="1:6" x14ac:dyDescent="0.25">
      <c r="A2689" s="21" t="s">
        <v>2725</v>
      </c>
      <c r="B2689" s="21" t="s">
        <v>22</v>
      </c>
      <c r="C2689" s="21">
        <v>20</v>
      </c>
      <c r="D2689" s="21">
        <v>720</v>
      </c>
      <c r="E2689" s="21">
        <v>36</v>
      </c>
      <c r="F2689" s="21"/>
    </row>
    <row r="2690" spans="1:6" x14ac:dyDescent="0.25">
      <c r="A2690" s="21" t="s">
        <v>2726</v>
      </c>
      <c r="B2690" s="21" t="s">
        <v>22</v>
      </c>
      <c r="C2690" s="21">
        <v>10</v>
      </c>
      <c r="D2690" s="21">
        <v>400</v>
      </c>
      <c r="E2690" s="21">
        <v>40</v>
      </c>
      <c r="F2690" s="21"/>
    </row>
    <row r="2691" spans="1:6" x14ac:dyDescent="0.25">
      <c r="A2691" s="21" t="s">
        <v>2727</v>
      </c>
      <c r="B2691" s="21" t="s">
        <v>22</v>
      </c>
      <c r="C2691" s="21">
        <v>10</v>
      </c>
      <c r="D2691" s="21">
        <v>400</v>
      </c>
      <c r="E2691" s="21">
        <v>40</v>
      </c>
      <c r="F2691" s="21"/>
    </row>
    <row r="2692" spans="1:6" x14ac:dyDescent="0.25">
      <c r="A2692" s="21" t="s">
        <v>2728</v>
      </c>
      <c r="B2692" s="21" t="s">
        <v>22</v>
      </c>
      <c r="C2692" s="21">
        <v>10</v>
      </c>
      <c r="D2692" s="21">
        <v>400</v>
      </c>
      <c r="E2692" s="21">
        <v>40</v>
      </c>
      <c r="F2692" s="21"/>
    </row>
    <row r="2693" spans="1:6" x14ac:dyDescent="0.25">
      <c r="A2693" s="21" t="s">
        <v>2729</v>
      </c>
      <c r="B2693" s="21" t="s">
        <v>22</v>
      </c>
      <c r="C2693" s="21">
        <v>10</v>
      </c>
      <c r="D2693" s="21">
        <v>400</v>
      </c>
      <c r="E2693" s="21">
        <v>40</v>
      </c>
      <c r="F2693" s="21"/>
    </row>
    <row r="2694" spans="1:6" x14ac:dyDescent="0.25">
      <c r="A2694" s="21" t="s">
        <v>2730</v>
      </c>
      <c r="B2694" s="21" t="s">
        <v>22</v>
      </c>
      <c r="C2694" s="21">
        <v>8</v>
      </c>
      <c r="D2694" s="21">
        <v>288</v>
      </c>
      <c r="E2694" s="21">
        <v>36</v>
      </c>
      <c r="F2694" s="21"/>
    </row>
    <row r="2695" spans="1:6" x14ac:dyDescent="0.25">
      <c r="A2695" s="21" t="s">
        <v>2731</v>
      </c>
      <c r="B2695" s="21" t="s">
        <v>22</v>
      </c>
      <c r="C2695" s="21">
        <v>8</v>
      </c>
      <c r="D2695" s="21">
        <v>288</v>
      </c>
      <c r="E2695" s="21">
        <v>36</v>
      </c>
      <c r="F2695" s="21"/>
    </row>
    <row r="2696" spans="1:6" x14ac:dyDescent="0.25">
      <c r="A2696" s="21" t="s">
        <v>2732</v>
      </c>
      <c r="B2696" s="21" t="s">
        <v>22</v>
      </c>
      <c r="C2696" s="21">
        <v>8</v>
      </c>
      <c r="D2696" s="21">
        <v>288</v>
      </c>
      <c r="E2696" s="21">
        <v>36</v>
      </c>
      <c r="F2696" s="21"/>
    </row>
    <row r="2697" spans="1:6" x14ac:dyDescent="0.25">
      <c r="A2697" s="21" t="s">
        <v>2733</v>
      </c>
      <c r="B2697" s="21" t="s">
        <v>22</v>
      </c>
      <c r="C2697" s="21">
        <v>8</v>
      </c>
      <c r="D2697" s="21">
        <v>288</v>
      </c>
      <c r="E2697" s="21">
        <v>36</v>
      </c>
      <c r="F2697" s="21"/>
    </row>
    <row r="2698" spans="1:6" x14ac:dyDescent="0.25">
      <c r="A2698" s="21" t="s">
        <v>2734</v>
      </c>
      <c r="B2698" s="21" t="s">
        <v>22</v>
      </c>
      <c r="C2698" s="21">
        <v>20</v>
      </c>
      <c r="D2698" s="21">
        <v>360</v>
      </c>
      <c r="E2698" s="21">
        <v>18</v>
      </c>
      <c r="F2698" s="21"/>
    </row>
    <row r="2699" spans="1:6" x14ac:dyDescent="0.25">
      <c r="A2699" s="21" t="s">
        <v>2735</v>
      </c>
      <c r="B2699" s="21" t="s">
        <v>22</v>
      </c>
      <c r="C2699" s="21">
        <v>10</v>
      </c>
      <c r="D2699" s="21">
        <v>300</v>
      </c>
      <c r="E2699" s="21">
        <v>30</v>
      </c>
      <c r="F2699" s="21"/>
    </row>
    <row r="2700" spans="1:6" x14ac:dyDescent="0.25">
      <c r="A2700" s="21" t="s">
        <v>2736</v>
      </c>
      <c r="B2700" s="21" t="s">
        <v>22</v>
      </c>
      <c r="C2700" s="21">
        <v>48</v>
      </c>
      <c r="D2700" s="21">
        <v>960</v>
      </c>
      <c r="E2700" s="21">
        <v>20</v>
      </c>
      <c r="F2700" s="21"/>
    </row>
    <row r="2701" spans="1:6" x14ac:dyDescent="0.25">
      <c r="A2701" s="21" t="s">
        <v>2737</v>
      </c>
      <c r="B2701" s="21" t="s">
        <v>22</v>
      </c>
      <c r="C2701" s="21">
        <v>30</v>
      </c>
      <c r="D2701" s="21">
        <v>900</v>
      </c>
      <c r="E2701" s="21">
        <v>30</v>
      </c>
      <c r="F2701" s="21"/>
    </row>
    <row r="2702" spans="1:6" x14ac:dyDescent="0.25">
      <c r="A2702" s="21" t="s">
        <v>2738</v>
      </c>
      <c r="B2702" s="21" t="s">
        <v>22</v>
      </c>
      <c r="C2702" s="21">
        <v>24</v>
      </c>
      <c r="D2702" s="21">
        <v>1296</v>
      </c>
      <c r="E2702" s="21">
        <v>54</v>
      </c>
      <c r="F2702" s="21"/>
    </row>
    <row r="2703" spans="1:6" x14ac:dyDescent="0.25">
      <c r="A2703" s="21" t="s">
        <v>2739</v>
      </c>
      <c r="B2703" s="21" t="s">
        <v>22</v>
      </c>
      <c r="C2703" s="21">
        <v>24</v>
      </c>
      <c r="D2703" s="21">
        <v>840</v>
      </c>
      <c r="E2703" s="21">
        <v>35</v>
      </c>
      <c r="F2703" s="21"/>
    </row>
    <row r="2704" spans="1:6" x14ac:dyDescent="0.25">
      <c r="A2704" s="21" t="s">
        <v>2740</v>
      </c>
      <c r="B2704" s="21" t="s">
        <v>22</v>
      </c>
      <c r="C2704" s="21">
        <v>12</v>
      </c>
      <c r="D2704" s="21">
        <v>432</v>
      </c>
      <c r="E2704" s="21">
        <v>36</v>
      </c>
      <c r="F2704" s="21"/>
    </row>
    <row r="2705" spans="1:6" x14ac:dyDescent="0.25">
      <c r="A2705" s="21" t="s">
        <v>2741</v>
      </c>
      <c r="B2705" s="21" t="s">
        <v>22</v>
      </c>
      <c r="C2705" s="21">
        <v>36</v>
      </c>
      <c r="D2705" s="21">
        <v>1512</v>
      </c>
      <c r="E2705" s="21">
        <v>42</v>
      </c>
      <c r="F2705" s="21"/>
    </row>
    <row r="2706" spans="1:6" x14ac:dyDescent="0.25">
      <c r="A2706" s="21" t="s">
        <v>2742</v>
      </c>
      <c r="B2706" s="21" t="s">
        <v>22</v>
      </c>
      <c r="C2706" s="21">
        <v>30</v>
      </c>
      <c r="D2706" s="21">
        <v>720</v>
      </c>
      <c r="E2706" s="21">
        <v>24</v>
      </c>
      <c r="F2706" s="21"/>
    </row>
    <row r="2707" spans="1:6" x14ac:dyDescent="0.25">
      <c r="A2707" s="21" t="s">
        <v>2743</v>
      </c>
      <c r="B2707" s="21" t="s">
        <v>22</v>
      </c>
      <c r="C2707" s="21">
        <v>30</v>
      </c>
      <c r="D2707" s="21">
        <v>900</v>
      </c>
      <c r="E2707" s="21">
        <v>30</v>
      </c>
      <c r="F2707" s="21"/>
    </row>
    <row r="2708" spans="1:6" x14ac:dyDescent="0.25">
      <c r="A2708" s="21" t="s">
        <v>2744</v>
      </c>
      <c r="B2708" s="21" t="s">
        <v>22</v>
      </c>
      <c r="C2708" s="21">
        <v>30</v>
      </c>
      <c r="D2708" s="21">
        <v>720</v>
      </c>
      <c r="E2708" s="21">
        <v>24</v>
      </c>
      <c r="F2708" s="21"/>
    </row>
    <row r="2709" spans="1:6" x14ac:dyDescent="0.25">
      <c r="A2709" s="21" t="s">
        <v>2745</v>
      </c>
      <c r="B2709" s="21" t="s">
        <v>22</v>
      </c>
      <c r="C2709" s="21">
        <v>30</v>
      </c>
      <c r="D2709" s="21">
        <v>540</v>
      </c>
      <c r="E2709" s="21">
        <v>18</v>
      </c>
      <c r="F2709" s="21"/>
    </row>
    <row r="2710" spans="1:6" x14ac:dyDescent="0.25">
      <c r="A2710" s="21" t="s">
        <v>2746</v>
      </c>
      <c r="B2710" s="21" t="s">
        <v>22</v>
      </c>
      <c r="C2710" s="21">
        <v>30</v>
      </c>
      <c r="D2710" s="21">
        <v>720</v>
      </c>
      <c r="E2710" s="21">
        <v>24</v>
      </c>
      <c r="F2710" s="21"/>
    </row>
    <row r="2711" spans="1:6" x14ac:dyDescent="0.25">
      <c r="A2711" s="21" t="s">
        <v>2747</v>
      </c>
      <c r="B2711" s="21" t="s">
        <v>22</v>
      </c>
      <c r="C2711" s="21">
        <v>30</v>
      </c>
      <c r="D2711" s="21">
        <v>720</v>
      </c>
      <c r="E2711" s="21">
        <v>24</v>
      </c>
      <c r="F2711" s="21"/>
    </row>
    <row r="2712" spans="1:6" x14ac:dyDescent="0.25">
      <c r="A2712" s="21" t="s">
        <v>2748</v>
      </c>
      <c r="B2712" s="21" t="s">
        <v>22</v>
      </c>
      <c r="C2712" s="21">
        <v>30</v>
      </c>
      <c r="D2712" s="21">
        <v>900</v>
      </c>
      <c r="E2712" s="21">
        <v>30</v>
      </c>
      <c r="F2712" s="21"/>
    </row>
    <row r="2713" spans="1:6" x14ac:dyDescent="0.25">
      <c r="A2713" s="21" t="s">
        <v>2749</v>
      </c>
      <c r="B2713" s="21" t="s">
        <v>22</v>
      </c>
      <c r="C2713" s="21">
        <v>30</v>
      </c>
      <c r="D2713" s="21">
        <v>720</v>
      </c>
      <c r="E2713" s="21">
        <v>24</v>
      </c>
      <c r="F2713" s="21"/>
    </row>
    <row r="2714" spans="1:6" x14ac:dyDescent="0.25">
      <c r="A2714" s="21" t="s">
        <v>2750</v>
      </c>
      <c r="B2714" s="21" t="s">
        <v>22</v>
      </c>
      <c r="C2714" s="21">
        <v>30</v>
      </c>
      <c r="D2714" s="21">
        <v>720</v>
      </c>
      <c r="E2714" s="21">
        <v>24</v>
      </c>
      <c r="F2714" s="21"/>
    </row>
    <row r="2715" spans="1:6" x14ac:dyDescent="0.25">
      <c r="A2715" s="21" t="s">
        <v>2751</v>
      </c>
      <c r="B2715" s="21" t="s">
        <v>22</v>
      </c>
      <c r="C2715" s="21">
        <v>30</v>
      </c>
      <c r="D2715" s="21">
        <v>900</v>
      </c>
      <c r="E2715" s="21">
        <v>30</v>
      </c>
      <c r="F2715" s="21"/>
    </row>
    <row r="2716" spans="1:6" x14ac:dyDescent="0.25">
      <c r="A2716" s="21" t="s">
        <v>2752</v>
      </c>
      <c r="B2716" s="21" t="s">
        <v>22</v>
      </c>
      <c r="C2716" s="21">
        <v>30</v>
      </c>
      <c r="D2716" s="21">
        <v>900</v>
      </c>
      <c r="E2716" s="21">
        <v>30</v>
      </c>
      <c r="F2716" s="21"/>
    </row>
    <row r="2717" spans="1:6" x14ac:dyDescent="0.25">
      <c r="A2717" s="21" t="s">
        <v>2753</v>
      </c>
      <c r="B2717" s="21" t="s">
        <v>22</v>
      </c>
      <c r="C2717" s="21">
        <v>20</v>
      </c>
      <c r="D2717" s="21">
        <v>600</v>
      </c>
      <c r="E2717" s="21">
        <v>30</v>
      </c>
      <c r="F2717" s="21"/>
    </row>
    <row r="2718" spans="1:6" x14ac:dyDescent="0.25">
      <c r="A2718" s="21" t="s">
        <v>2754</v>
      </c>
      <c r="B2718" s="21" t="s">
        <v>22</v>
      </c>
      <c r="C2718" s="21">
        <v>20</v>
      </c>
      <c r="D2718" s="21">
        <v>600</v>
      </c>
      <c r="E2718" s="21">
        <v>30</v>
      </c>
      <c r="F2718" s="21"/>
    </row>
    <row r="2719" spans="1:6" x14ac:dyDescent="0.25">
      <c r="A2719" s="21" t="s">
        <v>2755</v>
      </c>
      <c r="B2719" s="21" t="s">
        <v>22</v>
      </c>
      <c r="C2719" s="21">
        <v>20</v>
      </c>
      <c r="D2719" s="21">
        <v>600</v>
      </c>
      <c r="E2719" s="21">
        <v>30</v>
      </c>
      <c r="F2719" s="21"/>
    </row>
    <row r="2720" spans="1:6" x14ac:dyDescent="0.25">
      <c r="A2720" s="21" t="s">
        <v>2756</v>
      </c>
      <c r="B2720" s="21" t="s">
        <v>22</v>
      </c>
      <c r="C2720" s="21">
        <v>20</v>
      </c>
      <c r="D2720" s="21">
        <v>400</v>
      </c>
      <c r="E2720" s="21">
        <v>20</v>
      </c>
      <c r="F2720" s="21"/>
    </row>
    <row r="2721" spans="1:6" x14ac:dyDescent="0.25">
      <c r="A2721" s="21" t="s">
        <v>2757</v>
      </c>
      <c r="B2721" s="21" t="s">
        <v>22</v>
      </c>
      <c r="C2721" s="21">
        <v>10</v>
      </c>
      <c r="D2721" s="21">
        <v>400</v>
      </c>
      <c r="E2721" s="21">
        <v>40</v>
      </c>
      <c r="F2721" s="21"/>
    </row>
    <row r="2722" spans="1:6" x14ac:dyDescent="0.25">
      <c r="A2722" s="21" t="s">
        <v>2758</v>
      </c>
      <c r="B2722" s="21" t="s">
        <v>22</v>
      </c>
      <c r="C2722" s="21">
        <v>20</v>
      </c>
      <c r="D2722" s="21">
        <v>360</v>
      </c>
      <c r="E2722" s="21">
        <v>18</v>
      </c>
      <c r="F2722" s="21"/>
    </row>
    <row r="2723" spans="1:6" x14ac:dyDescent="0.25">
      <c r="A2723" s="21" t="s">
        <v>2759</v>
      </c>
      <c r="B2723" s="21" t="s">
        <v>22</v>
      </c>
      <c r="C2723" s="21">
        <v>20</v>
      </c>
      <c r="D2723" s="21">
        <v>360</v>
      </c>
      <c r="E2723" s="21">
        <v>18</v>
      </c>
      <c r="F2723" s="21"/>
    </row>
    <row r="2724" spans="1:6" x14ac:dyDescent="0.25">
      <c r="A2724" s="21" t="s">
        <v>2760</v>
      </c>
      <c r="B2724" s="21" t="s">
        <v>22</v>
      </c>
      <c r="C2724" s="21">
        <v>20</v>
      </c>
      <c r="D2724" s="21">
        <v>600</v>
      </c>
      <c r="E2724" s="21">
        <v>30</v>
      </c>
      <c r="F2724" s="21"/>
    </row>
    <row r="2725" spans="1:6" x14ac:dyDescent="0.25">
      <c r="A2725" s="21" t="s">
        <v>2761</v>
      </c>
      <c r="B2725" s="21" t="s">
        <v>22</v>
      </c>
      <c r="C2725" s="21">
        <v>20</v>
      </c>
      <c r="D2725" s="21">
        <v>600</v>
      </c>
      <c r="E2725" s="21">
        <v>30</v>
      </c>
      <c r="F2725" s="21"/>
    </row>
    <row r="2726" spans="1:6" x14ac:dyDescent="0.25">
      <c r="A2726" s="21" t="s">
        <v>2762</v>
      </c>
      <c r="B2726" s="21" t="s">
        <v>22</v>
      </c>
      <c r="C2726" s="21">
        <v>20</v>
      </c>
      <c r="D2726" s="21">
        <v>600</v>
      </c>
      <c r="E2726" s="21">
        <v>30</v>
      </c>
      <c r="F2726" s="21"/>
    </row>
    <row r="2727" spans="1:6" x14ac:dyDescent="0.25">
      <c r="A2727" s="21" t="s">
        <v>2763</v>
      </c>
      <c r="B2727" s="21" t="s">
        <v>22</v>
      </c>
      <c r="C2727" s="21">
        <v>20</v>
      </c>
      <c r="D2727" s="21">
        <v>600</v>
      </c>
      <c r="E2727" s="21">
        <v>30</v>
      </c>
      <c r="F2727" s="21"/>
    </row>
    <row r="2728" spans="1:6" x14ac:dyDescent="0.25">
      <c r="A2728" s="21" t="s">
        <v>2764</v>
      </c>
      <c r="B2728" s="21" t="s">
        <v>22</v>
      </c>
      <c r="C2728" s="21">
        <v>20</v>
      </c>
      <c r="D2728" s="21">
        <v>600</v>
      </c>
      <c r="E2728" s="21">
        <v>30</v>
      </c>
      <c r="F2728" s="21"/>
    </row>
    <row r="2729" spans="1:6" x14ac:dyDescent="0.25">
      <c r="A2729" s="21" t="s">
        <v>2765</v>
      </c>
      <c r="B2729" s="21" t="s">
        <v>22</v>
      </c>
      <c r="C2729" s="21">
        <v>20</v>
      </c>
      <c r="D2729" s="21">
        <v>600</v>
      </c>
      <c r="E2729" s="21">
        <v>30</v>
      </c>
      <c r="F2729" s="21"/>
    </row>
    <row r="2730" spans="1:6" x14ac:dyDescent="0.25">
      <c r="A2730" s="21" t="s">
        <v>2766</v>
      </c>
      <c r="B2730" s="21" t="s">
        <v>22</v>
      </c>
      <c r="C2730" s="21">
        <v>30</v>
      </c>
      <c r="D2730" s="21">
        <v>720</v>
      </c>
      <c r="E2730" s="21">
        <v>24</v>
      </c>
      <c r="F2730" s="21"/>
    </row>
    <row r="2731" spans="1:6" x14ac:dyDescent="0.25">
      <c r="A2731" s="21" t="s">
        <v>2767</v>
      </c>
      <c r="B2731" s="21" t="s">
        <v>22</v>
      </c>
      <c r="C2731" s="21">
        <v>30</v>
      </c>
      <c r="D2731" s="21">
        <v>720</v>
      </c>
      <c r="E2731" s="21">
        <v>24</v>
      </c>
      <c r="F2731" s="21"/>
    </row>
    <row r="2732" spans="1:6" x14ac:dyDescent="0.25">
      <c r="A2732" s="21" t="s">
        <v>2768</v>
      </c>
      <c r="B2732" s="21" t="s">
        <v>22</v>
      </c>
      <c r="C2732" s="21">
        <v>30</v>
      </c>
      <c r="D2732" s="21">
        <v>720</v>
      </c>
      <c r="E2732" s="21">
        <v>24</v>
      </c>
      <c r="F2732" s="21"/>
    </row>
    <row r="2733" spans="1:6" x14ac:dyDescent="0.25">
      <c r="A2733" s="21" t="s">
        <v>2769</v>
      </c>
      <c r="B2733" s="21" t="s">
        <v>22</v>
      </c>
      <c r="C2733" s="21">
        <v>30</v>
      </c>
      <c r="D2733" s="21">
        <v>720</v>
      </c>
      <c r="E2733" s="21">
        <v>24</v>
      </c>
      <c r="F2733" s="21"/>
    </row>
    <row r="2734" spans="1:6" x14ac:dyDescent="0.25">
      <c r="A2734" s="21" t="s">
        <v>2770</v>
      </c>
      <c r="B2734" s="21" t="s">
        <v>22</v>
      </c>
      <c r="C2734" s="21">
        <v>30</v>
      </c>
      <c r="D2734" s="21">
        <v>720</v>
      </c>
      <c r="E2734" s="21">
        <v>24</v>
      </c>
      <c r="F2734" s="21"/>
    </row>
    <row r="2735" spans="1:6" x14ac:dyDescent="0.25">
      <c r="A2735" s="21" t="s">
        <v>2771</v>
      </c>
      <c r="B2735" s="21" t="s">
        <v>22</v>
      </c>
      <c r="C2735" s="21">
        <v>20</v>
      </c>
      <c r="D2735" s="21">
        <v>400</v>
      </c>
      <c r="E2735" s="21">
        <v>20</v>
      </c>
      <c r="F2735" s="21"/>
    </row>
    <row r="2736" spans="1:6" x14ac:dyDescent="0.25">
      <c r="A2736" s="21" t="s">
        <v>2772</v>
      </c>
      <c r="B2736" s="21" t="s">
        <v>22</v>
      </c>
      <c r="C2736" s="21">
        <v>20</v>
      </c>
      <c r="D2736" s="21">
        <v>600</v>
      </c>
      <c r="E2736" s="21">
        <v>30</v>
      </c>
      <c r="F2736" s="21"/>
    </row>
    <row r="2737" spans="1:6" x14ac:dyDescent="0.25">
      <c r="A2737" s="21" t="s">
        <v>2773</v>
      </c>
      <c r="B2737" s="21" t="s">
        <v>22</v>
      </c>
      <c r="C2737" s="21">
        <v>20</v>
      </c>
      <c r="D2737" s="21">
        <v>400</v>
      </c>
      <c r="E2737" s="21">
        <v>20</v>
      </c>
      <c r="F2737" s="21"/>
    </row>
    <row r="2738" spans="1:6" x14ac:dyDescent="0.25">
      <c r="A2738" s="21" t="s">
        <v>2774</v>
      </c>
      <c r="B2738" s="21" t="s">
        <v>22</v>
      </c>
      <c r="C2738" s="21">
        <v>20</v>
      </c>
      <c r="D2738" s="21">
        <v>600</v>
      </c>
      <c r="E2738" s="21">
        <v>30</v>
      </c>
      <c r="F2738" s="21"/>
    </row>
    <row r="2739" spans="1:6" x14ac:dyDescent="0.25">
      <c r="A2739" s="21" t="s">
        <v>2775</v>
      </c>
      <c r="B2739" s="21" t="s">
        <v>22</v>
      </c>
      <c r="C2739" s="21">
        <v>20</v>
      </c>
      <c r="D2739" s="21">
        <v>400</v>
      </c>
      <c r="E2739" s="21">
        <v>20</v>
      </c>
      <c r="F2739" s="21"/>
    </row>
    <row r="2740" spans="1:6" x14ac:dyDescent="0.25">
      <c r="A2740" s="21" t="s">
        <v>2776</v>
      </c>
      <c r="B2740" s="21" t="s">
        <v>22</v>
      </c>
      <c r="C2740" s="21">
        <v>10</v>
      </c>
      <c r="D2740" s="21">
        <v>240</v>
      </c>
      <c r="E2740" s="21">
        <v>24</v>
      </c>
      <c r="F2740" s="21"/>
    </row>
    <row r="2741" spans="1:6" x14ac:dyDescent="0.25">
      <c r="A2741" s="21" t="s">
        <v>2777</v>
      </c>
      <c r="B2741" s="21" t="s">
        <v>22</v>
      </c>
      <c r="C2741" s="21">
        <v>10</v>
      </c>
      <c r="D2741" s="21">
        <v>240</v>
      </c>
      <c r="E2741" s="21">
        <v>24</v>
      </c>
      <c r="F2741" s="21"/>
    </row>
    <row r="2742" spans="1:6" x14ac:dyDescent="0.25">
      <c r="A2742" s="21" t="s">
        <v>2778</v>
      </c>
      <c r="B2742" s="21" t="s">
        <v>22</v>
      </c>
      <c r="C2742" s="21">
        <v>10</v>
      </c>
      <c r="D2742" s="21">
        <v>240</v>
      </c>
      <c r="E2742" s="21">
        <v>24</v>
      </c>
      <c r="F2742" s="21"/>
    </row>
    <row r="2743" spans="1:6" x14ac:dyDescent="0.25">
      <c r="A2743" s="21" t="s">
        <v>2779</v>
      </c>
      <c r="B2743" s="21" t="s">
        <v>22</v>
      </c>
      <c r="C2743" s="21">
        <v>10</v>
      </c>
      <c r="D2743" s="21">
        <v>240</v>
      </c>
      <c r="E2743" s="21">
        <v>24</v>
      </c>
      <c r="F2743" s="21"/>
    </row>
    <row r="2744" spans="1:6" x14ac:dyDescent="0.25">
      <c r="A2744" s="21" t="s">
        <v>2780</v>
      </c>
      <c r="B2744" s="21" t="s">
        <v>22</v>
      </c>
      <c r="C2744" s="21">
        <v>10</v>
      </c>
      <c r="D2744" s="21">
        <v>240</v>
      </c>
      <c r="E2744" s="21">
        <v>24</v>
      </c>
      <c r="F2744" s="21"/>
    </row>
    <row r="2745" spans="1:6" x14ac:dyDescent="0.25">
      <c r="A2745" s="21" t="s">
        <v>2781</v>
      </c>
      <c r="B2745" s="21" t="s">
        <v>22</v>
      </c>
      <c r="C2745" s="21">
        <v>10</v>
      </c>
      <c r="D2745" s="21">
        <v>240</v>
      </c>
      <c r="E2745" s="21">
        <v>24</v>
      </c>
      <c r="F2745" s="21"/>
    </row>
    <row r="2746" spans="1:6" x14ac:dyDescent="0.25">
      <c r="A2746" s="21" t="s">
        <v>2782</v>
      </c>
      <c r="B2746" s="21" t="s">
        <v>22</v>
      </c>
      <c r="C2746" s="21">
        <v>10</v>
      </c>
      <c r="D2746" s="21">
        <v>240</v>
      </c>
      <c r="E2746" s="21">
        <v>24</v>
      </c>
      <c r="F2746" s="21"/>
    </row>
    <row r="2747" spans="1:6" x14ac:dyDescent="0.25">
      <c r="A2747" s="21" t="s">
        <v>2783</v>
      </c>
      <c r="B2747" s="21" t="s">
        <v>22</v>
      </c>
      <c r="C2747" s="21">
        <v>10</v>
      </c>
      <c r="D2747" s="21">
        <v>240</v>
      </c>
      <c r="E2747" s="21">
        <v>24</v>
      </c>
      <c r="F2747" s="21"/>
    </row>
    <row r="2748" spans="1:6" x14ac:dyDescent="0.25">
      <c r="A2748" s="21" t="s">
        <v>2784</v>
      </c>
      <c r="B2748" s="21" t="s">
        <v>22</v>
      </c>
      <c r="C2748" s="21">
        <v>10</v>
      </c>
      <c r="D2748" s="21">
        <v>280</v>
      </c>
      <c r="E2748" s="21">
        <v>28</v>
      </c>
      <c r="F2748" s="21"/>
    </row>
    <row r="2749" spans="1:6" x14ac:dyDescent="0.25">
      <c r="A2749" s="21" t="s">
        <v>2785</v>
      </c>
      <c r="B2749" s="21" t="s">
        <v>22</v>
      </c>
      <c r="C2749" s="21">
        <v>10</v>
      </c>
      <c r="D2749" s="21">
        <v>240</v>
      </c>
      <c r="E2749" s="21">
        <v>24</v>
      </c>
      <c r="F2749" s="21"/>
    </row>
    <row r="2750" spans="1:6" x14ac:dyDescent="0.25">
      <c r="A2750" s="21" t="s">
        <v>2786</v>
      </c>
      <c r="B2750" s="21" t="s">
        <v>22</v>
      </c>
      <c r="C2750" s="21">
        <v>10</v>
      </c>
      <c r="D2750" s="21">
        <v>240</v>
      </c>
      <c r="E2750" s="21">
        <v>24</v>
      </c>
      <c r="F2750" s="21"/>
    </row>
    <row r="2751" spans="1:6" x14ac:dyDescent="0.25">
      <c r="A2751" s="21" t="s">
        <v>2787</v>
      </c>
      <c r="B2751" s="21" t="s">
        <v>22</v>
      </c>
      <c r="C2751" s="21">
        <v>10</v>
      </c>
      <c r="D2751" s="21">
        <v>240</v>
      </c>
      <c r="E2751" s="21">
        <v>24</v>
      </c>
      <c r="F2751" s="21"/>
    </row>
    <row r="2752" spans="1:6" x14ac:dyDescent="0.25">
      <c r="A2752" s="21" t="s">
        <v>2788</v>
      </c>
      <c r="B2752" s="21" t="s">
        <v>22</v>
      </c>
      <c r="C2752" s="21">
        <v>10</v>
      </c>
      <c r="D2752" s="21">
        <v>240</v>
      </c>
      <c r="E2752" s="21">
        <v>24</v>
      </c>
      <c r="F2752" s="21"/>
    </row>
    <row r="2753" spans="1:6" x14ac:dyDescent="0.25">
      <c r="A2753" s="21" t="s">
        <v>2789</v>
      </c>
      <c r="B2753" s="21" t="s">
        <v>22</v>
      </c>
      <c r="C2753" s="21">
        <v>10</v>
      </c>
      <c r="D2753" s="21">
        <v>240</v>
      </c>
      <c r="E2753" s="21">
        <v>24</v>
      </c>
      <c r="F2753" s="21"/>
    </row>
    <row r="2754" spans="1:6" x14ac:dyDescent="0.25">
      <c r="A2754" s="21" t="s">
        <v>2790</v>
      </c>
      <c r="B2754" s="21" t="s">
        <v>22</v>
      </c>
      <c r="C2754" s="21">
        <v>40</v>
      </c>
      <c r="D2754" s="21">
        <v>1280</v>
      </c>
      <c r="E2754" s="21">
        <v>32</v>
      </c>
      <c r="F2754" s="21"/>
    </row>
    <row r="2755" spans="1:6" x14ac:dyDescent="0.25">
      <c r="A2755" s="21" t="s">
        <v>2791</v>
      </c>
      <c r="B2755" s="21" t="s">
        <v>22</v>
      </c>
      <c r="C2755" s="21">
        <v>40</v>
      </c>
      <c r="D2755" s="21">
        <v>1800</v>
      </c>
      <c r="E2755" s="21">
        <v>45</v>
      </c>
      <c r="F2755" s="21"/>
    </row>
    <row r="2756" spans="1:6" x14ac:dyDescent="0.25">
      <c r="A2756" s="21" t="s">
        <v>2792</v>
      </c>
      <c r="B2756" s="21" t="s">
        <v>22</v>
      </c>
      <c r="C2756" s="21">
        <v>40</v>
      </c>
      <c r="D2756" s="21">
        <v>1280</v>
      </c>
      <c r="E2756" s="21">
        <v>32</v>
      </c>
      <c r="F2756" s="21"/>
    </row>
    <row r="2757" spans="1:6" x14ac:dyDescent="0.25">
      <c r="A2757" s="21" t="s">
        <v>2793</v>
      </c>
      <c r="B2757" s="21" t="s">
        <v>22</v>
      </c>
      <c r="C2757" s="21">
        <v>40</v>
      </c>
      <c r="D2757" s="21">
        <v>1800</v>
      </c>
      <c r="E2757" s="21">
        <v>45</v>
      </c>
      <c r="F2757" s="21"/>
    </row>
    <row r="2758" spans="1:6" x14ac:dyDescent="0.25">
      <c r="A2758" s="21" t="s">
        <v>2794</v>
      </c>
      <c r="B2758" s="21" t="s">
        <v>22</v>
      </c>
      <c r="C2758" s="21">
        <v>40</v>
      </c>
      <c r="D2758" s="21">
        <v>1280</v>
      </c>
      <c r="E2758" s="21">
        <v>32</v>
      </c>
      <c r="F2758" s="21"/>
    </row>
    <row r="2759" spans="1:6" x14ac:dyDescent="0.25">
      <c r="A2759" s="21" t="s">
        <v>2795</v>
      </c>
      <c r="B2759" s="21" t="s">
        <v>22</v>
      </c>
      <c r="C2759" s="21">
        <v>40</v>
      </c>
      <c r="D2759" s="21">
        <v>1800</v>
      </c>
      <c r="E2759" s="21">
        <v>45</v>
      </c>
      <c r="F2759" s="21"/>
    </row>
    <row r="2760" spans="1:6" x14ac:dyDescent="0.25">
      <c r="A2760" s="21" t="s">
        <v>2796</v>
      </c>
      <c r="B2760" s="21" t="s">
        <v>22</v>
      </c>
      <c r="C2760" s="21">
        <v>30</v>
      </c>
      <c r="D2760" s="21">
        <v>900</v>
      </c>
      <c r="E2760" s="21">
        <v>30</v>
      </c>
      <c r="F2760" s="21"/>
    </row>
    <row r="2761" spans="1:6" x14ac:dyDescent="0.25">
      <c r="A2761" s="21" t="s">
        <v>2797</v>
      </c>
      <c r="B2761" s="21" t="s">
        <v>22</v>
      </c>
      <c r="C2761" s="21">
        <v>30</v>
      </c>
      <c r="D2761" s="21">
        <v>900</v>
      </c>
      <c r="E2761" s="21">
        <v>30</v>
      </c>
      <c r="F2761" s="21"/>
    </row>
    <row r="2762" spans="1:6" x14ac:dyDescent="0.25">
      <c r="A2762" s="21" t="s">
        <v>2798</v>
      </c>
      <c r="B2762" s="21" t="s">
        <v>22</v>
      </c>
      <c r="C2762" s="21">
        <v>30</v>
      </c>
      <c r="D2762" s="21">
        <v>900</v>
      </c>
      <c r="E2762" s="21">
        <v>30</v>
      </c>
      <c r="F2762" s="21"/>
    </row>
    <row r="2763" spans="1:6" x14ac:dyDescent="0.25">
      <c r="A2763" s="21" t="s">
        <v>2799</v>
      </c>
      <c r="B2763" s="21" t="s">
        <v>22</v>
      </c>
      <c r="C2763" s="21">
        <v>20</v>
      </c>
      <c r="D2763" s="21">
        <v>600</v>
      </c>
      <c r="E2763" s="21">
        <v>30</v>
      </c>
      <c r="F2763" s="21"/>
    </row>
    <row r="2764" spans="1:6" x14ac:dyDescent="0.25">
      <c r="A2764" s="21" t="s">
        <v>2800</v>
      </c>
      <c r="B2764" s="21" t="s">
        <v>22</v>
      </c>
      <c r="C2764" s="21">
        <v>20</v>
      </c>
      <c r="D2764" s="21">
        <v>600</v>
      </c>
      <c r="E2764" s="21">
        <v>30</v>
      </c>
      <c r="F2764" s="21"/>
    </row>
    <row r="2765" spans="1:6" x14ac:dyDescent="0.25">
      <c r="A2765" s="21" t="s">
        <v>2801</v>
      </c>
      <c r="B2765" s="21" t="s">
        <v>22</v>
      </c>
      <c r="C2765" s="21">
        <v>20</v>
      </c>
      <c r="D2765" s="21">
        <v>600</v>
      </c>
      <c r="E2765" s="21">
        <v>30</v>
      </c>
      <c r="F2765" s="21"/>
    </row>
    <row r="2766" spans="1:6" x14ac:dyDescent="0.25">
      <c r="A2766" s="21" t="s">
        <v>2802</v>
      </c>
      <c r="B2766" s="21" t="s">
        <v>22</v>
      </c>
      <c r="C2766" s="21">
        <v>30</v>
      </c>
      <c r="D2766" s="21">
        <v>720</v>
      </c>
      <c r="E2766" s="21">
        <v>24</v>
      </c>
      <c r="F2766" s="21"/>
    </row>
    <row r="2767" spans="1:6" x14ac:dyDescent="0.25">
      <c r="A2767" s="21" t="s">
        <v>2803</v>
      </c>
      <c r="B2767" s="21" t="s">
        <v>22</v>
      </c>
      <c r="C2767" s="21">
        <v>30</v>
      </c>
      <c r="D2767" s="21">
        <v>720</v>
      </c>
      <c r="E2767" s="21">
        <v>24</v>
      </c>
      <c r="F2767" s="21"/>
    </row>
    <row r="2768" spans="1:6" x14ac:dyDescent="0.25">
      <c r="A2768" s="21" t="s">
        <v>2804</v>
      </c>
      <c r="B2768" s="21" t="s">
        <v>22</v>
      </c>
      <c r="C2768" s="21">
        <v>30</v>
      </c>
      <c r="D2768" s="21">
        <v>720</v>
      </c>
      <c r="E2768" s="21">
        <v>24</v>
      </c>
      <c r="F2768" s="21"/>
    </row>
    <row r="2769" spans="1:6" x14ac:dyDescent="0.25">
      <c r="A2769" s="21" t="s">
        <v>2805</v>
      </c>
      <c r="B2769" s="21" t="s">
        <v>22</v>
      </c>
      <c r="C2769" s="21">
        <v>20</v>
      </c>
      <c r="D2769" s="21">
        <v>400</v>
      </c>
      <c r="E2769" s="21">
        <v>20</v>
      </c>
      <c r="F2769" s="21"/>
    </row>
    <row r="2770" spans="1:6" x14ac:dyDescent="0.25">
      <c r="A2770" s="21" t="s">
        <v>2806</v>
      </c>
      <c r="B2770" s="21" t="s">
        <v>22</v>
      </c>
      <c r="C2770" s="21">
        <v>20</v>
      </c>
      <c r="D2770" s="21">
        <v>400</v>
      </c>
      <c r="E2770" s="21">
        <v>20</v>
      </c>
      <c r="F2770" s="21"/>
    </row>
    <row r="2771" spans="1:6" x14ac:dyDescent="0.25">
      <c r="A2771" s="21" t="s">
        <v>2807</v>
      </c>
      <c r="B2771" s="21" t="s">
        <v>22</v>
      </c>
      <c r="C2771" s="21">
        <v>20</v>
      </c>
      <c r="D2771" s="21">
        <v>400</v>
      </c>
      <c r="E2771" s="21">
        <v>20</v>
      </c>
      <c r="F2771" s="21"/>
    </row>
    <row r="2772" spans="1:6" x14ac:dyDescent="0.25">
      <c r="A2772" s="21" t="s">
        <v>2808</v>
      </c>
      <c r="B2772" s="21" t="s">
        <v>22</v>
      </c>
      <c r="C2772" s="21">
        <v>10</v>
      </c>
      <c r="D2772" s="21">
        <v>240</v>
      </c>
      <c r="E2772" s="21">
        <v>24</v>
      </c>
      <c r="F2772" s="21"/>
    </row>
    <row r="2773" spans="1:6" x14ac:dyDescent="0.25">
      <c r="A2773" s="21" t="s">
        <v>2809</v>
      </c>
      <c r="B2773" s="21" t="s">
        <v>22</v>
      </c>
      <c r="C2773" s="21">
        <v>10</v>
      </c>
      <c r="D2773" s="21">
        <v>240</v>
      </c>
      <c r="E2773" s="21">
        <v>24</v>
      </c>
      <c r="F2773" s="21"/>
    </row>
    <row r="2774" spans="1:6" x14ac:dyDescent="0.25">
      <c r="A2774" s="21" t="s">
        <v>2810</v>
      </c>
      <c r="B2774" s="21" t="s">
        <v>22</v>
      </c>
      <c r="C2774" s="21">
        <v>10</v>
      </c>
      <c r="D2774" s="21">
        <v>240</v>
      </c>
      <c r="E2774" s="21">
        <v>24</v>
      </c>
      <c r="F2774" s="21"/>
    </row>
    <row r="2775" spans="1:6" x14ac:dyDescent="0.25">
      <c r="A2775" s="21" t="s">
        <v>2811</v>
      </c>
      <c r="B2775" s="21" t="s">
        <v>22</v>
      </c>
      <c r="C2775" s="21">
        <v>10</v>
      </c>
      <c r="D2775" s="21">
        <v>240</v>
      </c>
      <c r="E2775" s="21">
        <v>24</v>
      </c>
      <c r="F2775" s="21"/>
    </row>
    <row r="2776" spans="1:6" x14ac:dyDescent="0.25">
      <c r="A2776" s="21" t="s">
        <v>2812</v>
      </c>
      <c r="B2776" s="21" t="s">
        <v>22</v>
      </c>
      <c r="C2776" s="21">
        <v>10</v>
      </c>
      <c r="D2776" s="21">
        <v>240</v>
      </c>
      <c r="E2776" s="21">
        <v>24</v>
      </c>
      <c r="F2776" s="21"/>
    </row>
    <row r="2777" spans="1:6" x14ac:dyDescent="0.25">
      <c r="A2777" s="21" t="s">
        <v>2813</v>
      </c>
      <c r="B2777" s="21" t="s">
        <v>22</v>
      </c>
      <c r="C2777" s="21">
        <v>10</v>
      </c>
      <c r="D2777" s="21">
        <v>240</v>
      </c>
      <c r="E2777" s="21">
        <v>24</v>
      </c>
      <c r="F2777" s="21"/>
    </row>
    <row r="2778" spans="1:6" x14ac:dyDescent="0.25">
      <c r="A2778" s="21" t="s">
        <v>2814</v>
      </c>
      <c r="B2778" s="21" t="s">
        <v>22</v>
      </c>
      <c r="C2778" s="21">
        <v>40</v>
      </c>
      <c r="D2778" s="21">
        <v>1600</v>
      </c>
      <c r="E2778" s="21">
        <v>40</v>
      </c>
      <c r="F2778" s="21"/>
    </row>
    <row r="2779" spans="1:6" x14ac:dyDescent="0.25">
      <c r="A2779" s="21" t="s">
        <v>2815</v>
      </c>
      <c r="B2779" s="21" t="s">
        <v>22</v>
      </c>
      <c r="C2779" s="21">
        <v>40</v>
      </c>
      <c r="D2779" s="21">
        <v>1600</v>
      </c>
      <c r="E2779" s="21">
        <v>40</v>
      </c>
      <c r="F2779" s="21"/>
    </row>
    <row r="2780" spans="1:6" x14ac:dyDescent="0.25">
      <c r="A2780" s="21" t="s">
        <v>2816</v>
      </c>
      <c r="B2780" s="21" t="s">
        <v>22</v>
      </c>
      <c r="C2780" s="21">
        <v>40</v>
      </c>
      <c r="D2780" s="21">
        <v>1600</v>
      </c>
      <c r="E2780" s="21">
        <v>40</v>
      </c>
      <c r="F2780" s="21"/>
    </row>
    <row r="2781" spans="1:6" x14ac:dyDescent="0.25">
      <c r="A2781" s="21" t="s">
        <v>2817</v>
      </c>
      <c r="B2781" s="21" t="s">
        <v>22</v>
      </c>
      <c r="C2781" s="21">
        <v>40</v>
      </c>
      <c r="D2781" s="21">
        <v>1600</v>
      </c>
      <c r="E2781" s="21">
        <v>40</v>
      </c>
      <c r="F2781" s="21"/>
    </row>
    <row r="2782" spans="1:6" x14ac:dyDescent="0.25">
      <c r="A2782" s="21" t="s">
        <v>2818</v>
      </c>
      <c r="B2782" s="21" t="s">
        <v>22</v>
      </c>
      <c r="C2782" s="21">
        <v>20</v>
      </c>
      <c r="D2782" s="21">
        <v>720</v>
      </c>
      <c r="E2782" s="21">
        <v>36</v>
      </c>
      <c r="F2782" s="21"/>
    </row>
    <row r="2783" spans="1:6" x14ac:dyDescent="0.25">
      <c r="A2783" s="21" t="s">
        <v>2819</v>
      </c>
      <c r="B2783" s="21" t="s">
        <v>22</v>
      </c>
      <c r="C2783" s="21">
        <v>20</v>
      </c>
      <c r="D2783" s="21">
        <v>720</v>
      </c>
      <c r="E2783" s="21">
        <v>36</v>
      </c>
      <c r="F2783" s="21"/>
    </row>
    <row r="2784" spans="1:6" x14ac:dyDescent="0.25">
      <c r="A2784" s="21" t="s">
        <v>2820</v>
      </c>
      <c r="B2784" s="21" t="s">
        <v>22</v>
      </c>
      <c r="C2784" s="21">
        <v>20</v>
      </c>
      <c r="D2784" s="21">
        <v>720</v>
      </c>
      <c r="E2784" s="21">
        <v>36</v>
      </c>
      <c r="F2784" s="21"/>
    </row>
    <row r="2785" spans="1:6" x14ac:dyDescent="0.25">
      <c r="A2785" s="21" t="s">
        <v>2821</v>
      </c>
      <c r="B2785" s="21" t="s">
        <v>22</v>
      </c>
      <c r="C2785" s="21">
        <v>20</v>
      </c>
      <c r="D2785" s="21">
        <v>720</v>
      </c>
      <c r="E2785" s="21">
        <v>36</v>
      </c>
      <c r="F2785" s="21"/>
    </row>
    <row r="2786" spans="1:6" x14ac:dyDescent="0.25">
      <c r="A2786" s="21" t="s">
        <v>2822</v>
      </c>
      <c r="B2786" s="21" t="s">
        <v>22</v>
      </c>
      <c r="C2786" s="21">
        <v>10</v>
      </c>
      <c r="D2786" s="21">
        <v>400</v>
      </c>
      <c r="E2786" s="21">
        <v>40</v>
      </c>
      <c r="F2786" s="21"/>
    </row>
    <row r="2787" spans="1:6" x14ac:dyDescent="0.25">
      <c r="A2787" s="21" t="s">
        <v>2823</v>
      </c>
      <c r="B2787" s="21" t="s">
        <v>22</v>
      </c>
      <c r="C2787" s="21">
        <v>10</v>
      </c>
      <c r="D2787" s="21">
        <v>400</v>
      </c>
      <c r="E2787" s="21">
        <v>40</v>
      </c>
      <c r="F2787" s="21"/>
    </row>
    <row r="2788" spans="1:6" x14ac:dyDescent="0.25">
      <c r="A2788" s="21" t="s">
        <v>2824</v>
      </c>
      <c r="B2788" s="21" t="s">
        <v>22</v>
      </c>
      <c r="C2788" s="21">
        <v>10</v>
      </c>
      <c r="D2788" s="21">
        <v>400</v>
      </c>
      <c r="E2788" s="21">
        <v>40</v>
      </c>
      <c r="F2788" s="21"/>
    </row>
    <row r="2789" spans="1:6" x14ac:dyDescent="0.25">
      <c r="A2789" s="21" t="s">
        <v>2825</v>
      </c>
      <c r="B2789" s="21" t="s">
        <v>22</v>
      </c>
      <c r="C2789" s="21">
        <v>10</v>
      </c>
      <c r="D2789" s="21">
        <v>400</v>
      </c>
      <c r="E2789" s="21">
        <v>40</v>
      </c>
      <c r="F2789" s="21"/>
    </row>
    <row r="2790" spans="1:6" x14ac:dyDescent="0.25">
      <c r="A2790" s="21" t="s">
        <v>2826</v>
      </c>
      <c r="B2790" s="21" t="s">
        <v>22</v>
      </c>
      <c r="C2790" s="21">
        <v>8</v>
      </c>
      <c r="D2790" s="21">
        <v>288</v>
      </c>
      <c r="E2790" s="21">
        <v>36</v>
      </c>
      <c r="F2790" s="21"/>
    </row>
    <row r="2791" spans="1:6" x14ac:dyDescent="0.25">
      <c r="A2791" s="21" t="s">
        <v>2827</v>
      </c>
      <c r="B2791" s="21" t="s">
        <v>22</v>
      </c>
      <c r="C2791" s="21">
        <v>8</v>
      </c>
      <c r="D2791" s="21">
        <v>288</v>
      </c>
      <c r="E2791" s="21">
        <v>36</v>
      </c>
      <c r="F2791" s="21"/>
    </row>
    <row r="2792" spans="1:6" x14ac:dyDescent="0.25">
      <c r="A2792" s="21" t="s">
        <v>2828</v>
      </c>
      <c r="B2792" s="21" t="s">
        <v>22</v>
      </c>
      <c r="C2792" s="21">
        <v>8</v>
      </c>
      <c r="D2792" s="21">
        <v>288</v>
      </c>
      <c r="E2792" s="21">
        <v>36</v>
      </c>
      <c r="F2792" s="21"/>
    </row>
    <row r="2793" spans="1:6" x14ac:dyDescent="0.25">
      <c r="A2793" s="21" t="s">
        <v>2829</v>
      </c>
      <c r="B2793" s="21" t="s">
        <v>22</v>
      </c>
      <c r="C2793" s="21">
        <v>8</v>
      </c>
      <c r="D2793" s="21">
        <v>288</v>
      </c>
      <c r="E2793" s="21">
        <v>36</v>
      </c>
      <c r="F2793" s="21"/>
    </row>
    <row r="2794" spans="1:6" x14ac:dyDescent="0.25">
      <c r="A2794" s="21" t="s">
        <v>2830</v>
      </c>
      <c r="B2794" s="21" t="s">
        <v>22</v>
      </c>
      <c r="C2794" s="21">
        <v>40</v>
      </c>
      <c r="D2794" s="21">
        <v>1600</v>
      </c>
      <c r="E2794" s="21">
        <v>40</v>
      </c>
      <c r="F2794" s="21"/>
    </row>
    <row r="2795" spans="1:6" x14ac:dyDescent="0.25">
      <c r="A2795" s="21" t="s">
        <v>2831</v>
      </c>
      <c r="B2795" s="21" t="s">
        <v>22</v>
      </c>
      <c r="C2795" s="21">
        <v>40</v>
      </c>
      <c r="D2795" s="21">
        <v>1600</v>
      </c>
      <c r="E2795" s="21">
        <v>40</v>
      </c>
      <c r="F2795" s="21"/>
    </row>
    <row r="2796" spans="1:6" x14ac:dyDescent="0.25">
      <c r="A2796" s="21" t="s">
        <v>2832</v>
      </c>
      <c r="B2796" s="21" t="s">
        <v>22</v>
      </c>
      <c r="C2796" s="21">
        <v>40</v>
      </c>
      <c r="D2796" s="21">
        <v>1600</v>
      </c>
      <c r="E2796" s="21">
        <v>40</v>
      </c>
      <c r="F2796" s="21"/>
    </row>
    <row r="2797" spans="1:6" x14ac:dyDescent="0.25">
      <c r="A2797" s="21" t="s">
        <v>2833</v>
      </c>
      <c r="B2797" s="21" t="s">
        <v>22</v>
      </c>
      <c r="C2797" s="21">
        <v>40</v>
      </c>
      <c r="D2797" s="21">
        <v>1600</v>
      </c>
      <c r="E2797" s="21">
        <v>40</v>
      </c>
      <c r="F2797" s="21"/>
    </row>
    <row r="2798" spans="1:6" x14ac:dyDescent="0.25">
      <c r="A2798" s="21" t="s">
        <v>2834</v>
      </c>
      <c r="B2798" s="21" t="s">
        <v>22</v>
      </c>
      <c r="C2798" s="21">
        <v>20</v>
      </c>
      <c r="D2798" s="21">
        <v>720</v>
      </c>
      <c r="E2798" s="21">
        <v>36</v>
      </c>
      <c r="F2798" s="21"/>
    </row>
    <row r="2799" spans="1:6" x14ac:dyDescent="0.25">
      <c r="A2799" s="21" t="s">
        <v>2835</v>
      </c>
      <c r="B2799" s="21" t="s">
        <v>22</v>
      </c>
      <c r="C2799" s="21">
        <v>20</v>
      </c>
      <c r="D2799" s="21">
        <v>720</v>
      </c>
      <c r="E2799" s="21">
        <v>36</v>
      </c>
      <c r="F2799" s="21"/>
    </row>
    <row r="2800" spans="1:6" x14ac:dyDescent="0.25">
      <c r="A2800" s="21" t="s">
        <v>2836</v>
      </c>
      <c r="B2800" s="21" t="s">
        <v>22</v>
      </c>
      <c r="C2800" s="21">
        <v>20</v>
      </c>
      <c r="D2800" s="21">
        <v>720</v>
      </c>
      <c r="E2800" s="21">
        <v>36</v>
      </c>
      <c r="F2800" s="21"/>
    </row>
    <row r="2801" spans="1:6" x14ac:dyDescent="0.25">
      <c r="A2801" s="21" t="s">
        <v>2837</v>
      </c>
      <c r="B2801" s="21" t="s">
        <v>22</v>
      </c>
      <c r="C2801" s="21">
        <v>20</v>
      </c>
      <c r="D2801" s="21">
        <v>720</v>
      </c>
      <c r="E2801" s="21">
        <v>36</v>
      </c>
      <c r="F2801" s="21"/>
    </row>
    <row r="2802" spans="1:6" x14ac:dyDescent="0.25">
      <c r="A2802" s="21" t="s">
        <v>2838</v>
      </c>
      <c r="B2802" s="21" t="s">
        <v>22</v>
      </c>
      <c r="C2802" s="21">
        <v>10</v>
      </c>
      <c r="D2802" s="21">
        <v>400</v>
      </c>
      <c r="E2802" s="21">
        <v>40</v>
      </c>
      <c r="F2802" s="21"/>
    </row>
    <row r="2803" spans="1:6" x14ac:dyDescent="0.25">
      <c r="A2803" s="21" t="s">
        <v>2839</v>
      </c>
      <c r="B2803" s="21" t="s">
        <v>22</v>
      </c>
      <c r="C2803" s="21">
        <v>10</v>
      </c>
      <c r="D2803" s="21">
        <v>400</v>
      </c>
      <c r="E2803" s="21">
        <v>40</v>
      </c>
      <c r="F2803" s="21"/>
    </row>
    <row r="2804" spans="1:6" x14ac:dyDescent="0.25">
      <c r="A2804" s="21" t="s">
        <v>2840</v>
      </c>
      <c r="B2804" s="21" t="s">
        <v>22</v>
      </c>
      <c r="C2804" s="21">
        <v>10</v>
      </c>
      <c r="D2804" s="21">
        <v>400</v>
      </c>
      <c r="E2804" s="21">
        <v>40</v>
      </c>
      <c r="F2804" s="21"/>
    </row>
    <row r="2805" spans="1:6" x14ac:dyDescent="0.25">
      <c r="A2805" s="21" t="s">
        <v>2841</v>
      </c>
      <c r="B2805" s="21" t="s">
        <v>22</v>
      </c>
      <c r="C2805" s="21">
        <v>10</v>
      </c>
      <c r="D2805" s="21">
        <v>400</v>
      </c>
      <c r="E2805" s="21">
        <v>40</v>
      </c>
      <c r="F2805" s="21"/>
    </row>
    <row r="2806" spans="1:6" x14ac:dyDescent="0.25">
      <c r="A2806" s="21" t="s">
        <v>2842</v>
      </c>
      <c r="B2806" s="21" t="s">
        <v>22</v>
      </c>
      <c r="C2806" s="21">
        <v>8</v>
      </c>
      <c r="D2806" s="21">
        <v>288</v>
      </c>
      <c r="E2806" s="21">
        <v>36</v>
      </c>
      <c r="F2806" s="21"/>
    </row>
    <row r="2807" spans="1:6" x14ac:dyDescent="0.25">
      <c r="A2807" s="21" t="s">
        <v>2843</v>
      </c>
      <c r="B2807" s="21" t="s">
        <v>22</v>
      </c>
      <c r="C2807" s="21">
        <v>8</v>
      </c>
      <c r="D2807" s="21">
        <v>288</v>
      </c>
      <c r="E2807" s="21">
        <v>36</v>
      </c>
      <c r="F2807" s="21"/>
    </row>
    <row r="2808" spans="1:6" x14ac:dyDescent="0.25">
      <c r="A2808" s="21" t="s">
        <v>2844</v>
      </c>
      <c r="B2808" s="21" t="s">
        <v>22</v>
      </c>
      <c r="C2808" s="21">
        <v>8</v>
      </c>
      <c r="D2808" s="21">
        <v>288</v>
      </c>
      <c r="E2808" s="21">
        <v>36</v>
      </c>
      <c r="F2808" s="21"/>
    </row>
    <row r="2809" spans="1:6" x14ac:dyDescent="0.25">
      <c r="A2809" s="21" t="s">
        <v>2845</v>
      </c>
      <c r="B2809" s="21" t="s">
        <v>22</v>
      </c>
      <c r="C2809" s="21">
        <v>8</v>
      </c>
      <c r="D2809" s="21">
        <v>288</v>
      </c>
      <c r="E2809" s="21">
        <v>36</v>
      </c>
      <c r="F2809" s="21"/>
    </row>
    <row r="2810" spans="1:6" x14ac:dyDescent="0.25">
      <c r="A2810" s="21" t="s">
        <v>2846</v>
      </c>
      <c r="B2810" s="21" t="s">
        <v>22</v>
      </c>
      <c r="C2810" s="21">
        <v>40</v>
      </c>
      <c r="D2810" s="21">
        <v>640</v>
      </c>
      <c r="E2810" s="21">
        <v>16</v>
      </c>
      <c r="F2810" s="21"/>
    </row>
    <row r="2811" spans="1:6" x14ac:dyDescent="0.25">
      <c r="A2811" s="21" t="s">
        <v>2847</v>
      </c>
      <c r="B2811" s="21" t="s">
        <v>22</v>
      </c>
      <c r="C2811" s="21">
        <v>20</v>
      </c>
      <c r="D2811" s="21">
        <v>200</v>
      </c>
      <c r="E2811" s="21">
        <v>10</v>
      </c>
      <c r="F2811" s="21"/>
    </row>
    <row r="2812" spans="1:6" x14ac:dyDescent="0.25">
      <c r="A2812" s="21" t="s">
        <v>2848</v>
      </c>
      <c r="B2812" s="21" t="s">
        <v>22</v>
      </c>
      <c r="C2812" s="21">
        <v>20</v>
      </c>
      <c r="D2812" s="21">
        <v>200</v>
      </c>
      <c r="E2812" s="21">
        <v>10</v>
      </c>
      <c r="F2812" s="21"/>
    </row>
    <row r="2813" spans="1:6" x14ac:dyDescent="0.25">
      <c r="A2813" s="21" t="s">
        <v>2849</v>
      </c>
      <c r="B2813" s="21" t="s">
        <v>22</v>
      </c>
      <c r="C2813" s="21">
        <v>20</v>
      </c>
      <c r="D2813" s="21">
        <v>200</v>
      </c>
      <c r="E2813" s="21">
        <v>10</v>
      </c>
      <c r="F2813" s="21"/>
    </row>
    <row r="2814" spans="1:6" x14ac:dyDescent="0.25">
      <c r="A2814" s="21" t="s">
        <v>2850</v>
      </c>
      <c r="B2814" s="21" t="s">
        <v>22</v>
      </c>
      <c r="C2814" s="21">
        <v>10</v>
      </c>
      <c r="D2814" s="21">
        <v>150</v>
      </c>
      <c r="E2814" s="21">
        <v>15</v>
      </c>
      <c r="F2814" s="21"/>
    </row>
    <row r="2815" spans="1:6" x14ac:dyDescent="0.25">
      <c r="A2815" s="21" t="s">
        <v>2851</v>
      </c>
      <c r="B2815" s="21" t="s">
        <v>22</v>
      </c>
      <c r="C2815" s="21">
        <v>10</v>
      </c>
      <c r="D2815" s="21">
        <v>150</v>
      </c>
      <c r="E2815" s="21">
        <v>15</v>
      </c>
      <c r="F2815" s="21"/>
    </row>
    <row r="2816" spans="1:6" x14ac:dyDescent="0.25">
      <c r="A2816" s="21" t="s">
        <v>2852</v>
      </c>
      <c r="B2816" s="21" t="s">
        <v>22</v>
      </c>
      <c r="C2816" s="21">
        <v>40</v>
      </c>
      <c r="D2816" s="21">
        <v>640</v>
      </c>
      <c r="E2816" s="21">
        <v>16</v>
      </c>
      <c r="F2816" s="21"/>
    </row>
    <row r="2817" spans="1:6" x14ac:dyDescent="0.25">
      <c r="A2817" s="21" t="s">
        <v>2853</v>
      </c>
      <c r="B2817" s="21" t="s">
        <v>22</v>
      </c>
      <c r="C2817" s="21">
        <v>30</v>
      </c>
      <c r="D2817" s="21">
        <v>720</v>
      </c>
      <c r="E2817" s="21">
        <v>24</v>
      </c>
      <c r="F2817" s="21"/>
    </row>
    <row r="2818" spans="1:6" x14ac:dyDescent="0.25">
      <c r="A2818" s="21" t="s">
        <v>2854</v>
      </c>
      <c r="B2818" s="21" t="s">
        <v>22</v>
      </c>
      <c r="C2818" s="21">
        <v>30</v>
      </c>
      <c r="D2818" s="21">
        <v>900</v>
      </c>
      <c r="E2818" s="21">
        <v>30</v>
      </c>
      <c r="F2818" s="21"/>
    </row>
    <row r="2819" spans="1:6" x14ac:dyDescent="0.25">
      <c r="A2819" s="21" t="s">
        <v>2855</v>
      </c>
      <c r="B2819" s="21" t="s">
        <v>22</v>
      </c>
      <c r="C2819" s="21">
        <v>40</v>
      </c>
      <c r="D2819" s="21">
        <v>600</v>
      </c>
      <c r="E2819" s="21">
        <v>15</v>
      </c>
      <c r="F2819" s="21"/>
    </row>
    <row r="2820" spans="1:6" x14ac:dyDescent="0.25">
      <c r="A2820" s="21" t="s">
        <v>2856</v>
      </c>
      <c r="B2820" s="21" t="s">
        <v>22</v>
      </c>
      <c r="C2820" s="21">
        <v>30</v>
      </c>
      <c r="D2820" s="21">
        <v>540</v>
      </c>
      <c r="E2820" s="21">
        <v>18</v>
      </c>
      <c r="F2820" s="21"/>
    </row>
    <row r="2821" spans="1:6" x14ac:dyDescent="0.25">
      <c r="A2821" s="21" t="s">
        <v>2857</v>
      </c>
      <c r="B2821" s="21" t="s">
        <v>22</v>
      </c>
      <c r="C2821" s="21">
        <v>30</v>
      </c>
      <c r="D2821" s="21">
        <v>720</v>
      </c>
      <c r="E2821" s="21">
        <v>24</v>
      </c>
      <c r="F2821" s="21"/>
    </row>
    <row r="2822" spans="1:6" x14ac:dyDescent="0.25">
      <c r="A2822" s="21" t="s">
        <v>2858</v>
      </c>
      <c r="B2822" s="21" t="s">
        <v>22</v>
      </c>
      <c r="C2822" s="21">
        <v>30</v>
      </c>
      <c r="D2822" s="21">
        <v>900</v>
      </c>
      <c r="E2822" s="21">
        <v>30</v>
      </c>
      <c r="F2822" s="21"/>
    </row>
    <row r="2823" spans="1:6" x14ac:dyDescent="0.25">
      <c r="A2823" s="21" t="s">
        <v>2859</v>
      </c>
      <c r="B2823" s="21" t="s">
        <v>22</v>
      </c>
      <c r="C2823" s="21">
        <v>30</v>
      </c>
      <c r="D2823" s="21">
        <v>720</v>
      </c>
      <c r="E2823" s="21">
        <v>24</v>
      </c>
      <c r="F2823" s="21"/>
    </row>
    <row r="2824" spans="1:6" x14ac:dyDescent="0.25">
      <c r="A2824" s="21" t="s">
        <v>2860</v>
      </c>
      <c r="B2824" s="21" t="s">
        <v>22</v>
      </c>
      <c r="C2824" s="21">
        <v>30</v>
      </c>
      <c r="D2824" s="21">
        <v>900</v>
      </c>
      <c r="E2824" s="21">
        <v>30</v>
      </c>
      <c r="F2824" s="21"/>
    </row>
    <row r="2825" spans="1:6" x14ac:dyDescent="0.25">
      <c r="A2825" s="21" t="s">
        <v>2861</v>
      </c>
      <c r="B2825" s="21" t="s">
        <v>22</v>
      </c>
      <c r="C2825" s="21">
        <v>20</v>
      </c>
      <c r="D2825" s="21">
        <v>600</v>
      </c>
      <c r="E2825" s="21">
        <v>30</v>
      </c>
      <c r="F2825" s="21"/>
    </row>
    <row r="2826" spans="1:6" x14ac:dyDescent="0.25">
      <c r="A2826" s="21" t="s">
        <v>2862</v>
      </c>
      <c r="B2826" s="21" t="s">
        <v>22</v>
      </c>
      <c r="C2826" s="21">
        <v>20</v>
      </c>
      <c r="D2826" s="21">
        <v>600</v>
      </c>
      <c r="E2826" s="21">
        <v>30</v>
      </c>
      <c r="F2826" s="21"/>
    </row>
    <row r="2827" spans="1:6" x14ac:dyDescent="0.25">
      <c r="A2827" s="21" t="s">
        <v>2863</v>
      </c>
      <c r="B2827" s="21" t="s">
        <v>22</v>
      </c>
      <c r="C2827" s="21">
        <v>20</v>
      </c>
      <c r="D2827" s="21">
        <v>400</v>
      </c>
      <c r="E2827" s="21">
        <v>20</v>
      </c>
      <c r="F2827" s="21"/>
    </row>
    <row r="2828" spans="1:6" x14ac:dyDescent="0.25">
      <c r="A2828" s="21" t="s">
        <v>2864</v>
      </c>
      <c r="B2828" s="21" t="s">
        <v>22</v>
      </c>
      <c r="C2828" s="21">
        <v>20</v>
      </c>
      <c r="D2828" s="21">
        <v>360</v>
      </c>
      <c r="E2828" s="21">
        <v>18</v>
      </c>
      <c r="F2828" s="21"/>
    </row>
    <row r="2829" spans="1:6" x14ac:dyDescent="0.25">
      <c r="A2829" s="21" t="s">
        <v>2865</v>
      </c>
      <c r="B2829" s="21" t="s">
        <v>22</v>
      </c>
      <c r="C2829" s="21">
        <v>20</v>
      </c>
      <c r="D2829" s="21">
        <v>600</v>
      </c>
      <c r="E2829" s="21">
        <v>30</v>
      </c>
      <c r="F2829" s="21"/>
    </row>
    <row r="2830" spans="1:6" x14ac:dyDescent="0.25">
      <c r="A2830" s="21" t="s">
        <v>2866</v>
      </c>
      <c r="B2830" s="21" t="s">
        <v>22</v>
      </c>
      <c r="C2830" s="21">
        <v>20</v>
      </c>
      <c r="D2830" s="21">
        <v>600</v>
      </c>
      <c r="E2830" s="21">
        <v>30</v>
      </c>
      <c r="F2830" s="21"/>
    </row>
    <row r="2831" spans="1:6" x14ac:dyDescent="0.25">
      <c r="A2831" s="21" t="s">
        <v>2867</v>
      </c>
      <c r="B2831" s="21" t="s">
        <v>22</v>
      </c>
      <c r="C2831" s="21">
        <v>20</v>
      </c>
      <c r="D2831" s="21">
        <v>600</v>
      </c>
      <c r="E2831" s="21">
        <v>30</v>
      </c>
      <c r="F2831" s="21"/>
    </row>
    <row r="2832" spans="1:6" x14ac:dyDescent="0.25">
      <c r="A2832" s="21" t="s">
        <v>2868</v>
      </c>
      <c r="B2832" s="21" t="s">
        <v>22</v>
      </c>
      <c r="C2832" s="21">
        <v>20</v>
      </c>
      <c r="D2832" s="21">
        <v>600</v>
      </c>
      <c r="E2832" s="21">
        <v>30</v>
      </c>
      <c r="F2832" s="21"/>
    </row>
    <row r="2833" spans="1:6" x14ac:dyDescent="0.25">
      <c r="A2833" s="21" t="s">
        <v>2869</v>
      </c>
      <c r="B2833" s="21" t="s">
        <v>22</v>
      </c>
      <c r="C2833" s="21">
        <v>30</v>
      </c>
      <c r="D2833" s="21">
        <v>720</v>
      </c>
      <c r="E2833" s="21">
        <v>24</v>
      </c>
      <c r="F2833" s="21"/>
    </row>
    <row r="2834" spans="1:6" x14ac:dyDescent="0.25">
      <c r="A2834" s="21" t="s">
        <v>2870</v>
      </c>
      <c r="B2834" s="21" t="s">
        <v>22</v>
      </c>
      <c r="C2834" s="21">
        <v>30</v>
      </c>
      <c r="D2834" s="21">
        <v>720</v>
      </c>
      <c r="E2834" s="21">
        <v>24</v>
      </c>
      <c r="F2834" s="21"/>
    </row>
    <row r="2835" spans="1:6" x14ac:dyDescent="0.25">
      <c r="A2835" s="21" t="s">
        <v>2871</v>
      </c>
      <c r="B2835" s="21" t="s">
        <v>22</v>
      </c>
      <c r="C2835" s="21">
        <v>30</v>
      </c>
      <c r="D2835" s="21">
        <v>720</v>
      </c>
      <c r="E2835" s="21">
        <v>24</v>
      </c>
      <c r="F2835" s="21"/>
    </row>
    <row r="2836" spans="1:6" x14ac:dyDescent="0.25">
      <c r="A2836" s="21" t="s">
        <v>2872</v>
      </c>
      <c r="B2836" s="21" t="s">
        <v>22</v>
      </c>
      <c r="C2836" s="21">
        <v>30</v>
      </c>
      <c r="D2836" s="21">
        <v>720</v>
      </c>
      <c r="E2836" s="21">
        <v>24</v>
      </c>
      <c r="F2836" s="21"/>
    </row>
    <row r="2837" spans="1:6" x14ac:dyDescent="0.25">
      <c r="A2837" s="21" t="s">
        <v>2873</v>
      </c>
      <c r="B2837" s="21" t="s">
        <v>22</v>
      </c>
      <c r="C2837" s="21">
        <v>30</v>
      </c>
      <c r="D2837" s="21">
        <v>720</v>
      </c>
      <c r="E2837" s="21">
        <v>24</v>
      </c>
      <c r="F2837" s="21"/>
    </row>
    <row r="2838" spans="1:6" x14ac:dyDescent="0.25">
      <c r="A2838" s="21" t="s">
        <v>2874</v>
      </c>
      <c r="B2838" s="21" t="s">
        <v>22</v>
      </c>
      <c r="C2838" s="21">
        <v>20</v>
      </c>
      <c r="D2838" s="21">
        <v>400</v>
      </c>
      <c r="E2838" s="21">
        <v>20</v>
      </c>
      <c r="F2838" s="21"/>
    </row>
    <row r="2839" spans="1:6" x14ac:dyDescent="0.25">
      <c r="A2839" s="21" t="s">
        <v>2875</v>
      </c>
      <c r="B2839" s="21" t="s">
        <v>22</v>
      </c>
      <c r="C2839" s="21">
        <v>20</v>
      </c>
      <c r="D2839" s="21">
        <v>600</v>
      </c>
      <c r="E2839" s="21">
        <v>30</v>
      </c>
      <c r="F2839" s="21"/>
    </row>
    <row r="2840" spans="1:6" x14ac:dyDescent="0.25">
      <c r="A2840" s="21" t="s">
        <v>2876</v>
      </c>
      <c r="B2840" s="21" t="s">
        <v>22</v>
      </c>
      <c r="C2840" s="21">
        <v>20</v>
      </c>
      <c r="D2840" s="21">
        <v>400</v>
      </c>
      <c r="E2840" s="21">
        <v>20</v>
      </c>
      <c r="F2840" s="21"/>
    </row>
    <row r="2841" spans="1:6" x14ac:dyDescent="0.25">
      <c r="A2841" s="21" t="s">
        <v>2877</v>
      </c>
      <c r="B2841" s="21" t="s">
        <v>22</v>
      </c>
      <c r="C2841" s="21">
        <v>20</v>
      </c>
      <c r="D2841" s="21">
        <v>600</v>
      </c>
      <c r="E2841" s="21">
        <v>30</v>
      </c>
      <c r="F2841" s="21"/>
    </row>
    <row r="2842" spans="1:6" x14ac:dyDescent="0.25">
      <c r="A2842" s="21" t="s">
        <v>2878</v>
      </c>
      <c r="B2842" s="21" t="s">
        <v>22</v>
      </c>
      <c r="C2842" s="21">
        <v>20</v>
      </c>
      <c r="D2842" s="21">
        <v>400</v>
      </c>
      <c r="E2842" s="21">
        <v>20</v>
      </c>
      <c r="F2842" s="21"/>
    </row>
    <row r="2843" spans="1:6" x14ac:dyDescent="0.25">
      <c r="A2843" s="21" t="s">
        <v>2879</v>
      </c>
      <c r="B2843" s="21" t="s">
        <v>22</v>
      </c>
      <c r="C2843" s="21">
        <v>10</v>
      </c>
      <c r="D2843" s="21">
        <v>240</v>
      </c>
      <c r="E2843" s="21">
        <v>24</v>
      </c>
      <c r="F2843" s="21"/>
    </row>
    <row r="2844" spans="1:6" x14ac:dyDescent="0.25">
      <c r="A2844" s="21" t="s">
        <v>2880</v>
      </c>
      <c r="B2844" s="21" t="s">
        <v>22</v>
      </c>
      <c r="C2844" s="21">
        <v>10</v>
      </c>
      <c r="D2844" s="21">
        <v>240</v>
      </c>
      <c r="E2844" s="21">
        <v>24</v>
      </c>
      <c r="F2844" s="21"/>
    </row>
    <row r="2845" spans="1:6" x14ac:dyDescent="0.25">
      <c r="A2845" s="21" t="s">
        <v>2881</v>
      </c>
      <c r="B2845" s="21" t="s">
        <v>22</v>
      </c>
      <c r="C2845" s="21">
        <v>10</v>
      </c>
      <c r="D2845" s="21">
        <v>240</v>
      </c>
      <c r="E2845" s="21">
        <v>24</v>
      </c>
      <c r="F2845" s="21"/>
    </row>
    <row r="2846" spans="1:6" x14ac:dyDescent="0.25">
      <c r="A2846" s="21" t="s">
        <v>2882</v>
      </c>
      <c r="B2846" s="21" t="s">
        <v>22</v>
      </c>
      <c r="C2846" s="21">
        <v>10</v>
      </c>
      <c r="D2846" s="21">
        <v>240</v>
      </c>
      <c r="E2846" s="21">
        <v>24</v>
      </c>
      <c r="F2846" s="21"/>
    </row>
    <row r="2847" spans="1:6" x14ac:dyDescent="0.25">
      <c r="A2847" s="21" t="s">
        <v>2883</v>
      </c>
      <c r="B2847" s="21" t="s">
        <v>22</v>
      </c>
      <c r="C2847" s="21">
        <v>10</v>
      </c>
      <c r="D2847" s="21">
        <v>240</v>
      </c>
      <c r="E2847" s="21">
        <v>24</v>
      </c>
      <c r="F2847" s="21"/>
    </row>
    <row r="2848" spans="1:6" x14ac:dyDescent="0.25">
      <c r="A2848" s="21" t="s">
        <v>2884</v>
      </c>
      <c r="B2848" s="21" t="s">
        <v>22</v>
      </c>
      <c r="C2848" s="21">
        <v>10</v>
      </c>
      <c r="D2848" s="21">
        <v>240</v>
      </c>
      <c r="E2848" s="21">
        <v>24</v>
      </c>
      <c r="F2848" s="21"/>
    </row>
    <row r="2849" spans="1:6" x14ac:dyDescent="0.25">
      <c r="A2849" s="21" t="s">
        <v>2885</v>
      </c>
      <c r="B2849" s="21" t="s">
        <v>22</v>
      </c>
      <c r="C2849" s="21">
        <v>10</v>
      </c>
      <c r="D2849" s="21">
        <v>240</v>
      </c>
      <c r="E2849" s="21">
        <v>24</v>
      </c>
      <c r="F2849" s="21"/>
    </row>
    <row r="2850" spans="1:6" x14ac:dyDescent="0.25">
      <c r="A2850" s="21" t="s">
        <v>2886</v>
      </c>
      <c r="B2850" s="21" t="s">
        <v>22</v>
      </c>
      <c r="C2850" s="21">
        <v>10</v>
      </c>
      <c r="D2850" s="21">
        <v>240</v>
      </c>
      <c r="E2850" s="21">
        <v>24</v>
      </c>
      <c r="F2850" s="21"/>
    </row>
    <row r="2851" spans="1:6" x14ac:dyDescent="0.25">
      <c r="A2851" s="21" t="s">
        <v>2887</v>
      </c>
      <c r="B2851" s="21" t="s">
        <v>22</v>
      </c>
      <c r="C2851" s="21">
        <v>10</v>
      </c>
      <c r="D2851" s="21">
        <v>240</v>
      </c>
      <c r="E2851" s="21">
        <v>24</v>
      </c>
      <c r="F2851" s="21"/>
    </row>
    <row r="2852" spans="1:6" x14ac:dyDescent="0.25">
      <c r="A2852" s="21" t="s">
        <v>2888</v>
      </c>
      <c r="B2852" s="21" t="s">
        <v>22</v>
      </c>
      <c r="C2852" s="21">
        <v>10</v>
      </c>
      <c r="D2852" s="21">
        <v>240</v>
      </c>
      <c r="E2852" s="21">
        <v>24</v>
      </c>
      <c r="F2852" s="21"/>
    </row>
    <row r="2853" spans="1:6" x14ac:dyDescent="0.25">
      <c r="A2853" s="21" t="s">
        <v>2889</v>
      </c>
      <c r="B2853" s="21" t="s">
        <v>22</v>
      </c>
      <c r="C2853" s="21">
        <v>10</v>
      </c>
      <c r="D2853" s="21">
        <v>240</v>
      </c>
      <c r="E2853" s="21">
        <v>24</v>
      </c>
      <c r="F2853" s="21"/>
    </row>
    <row r="2854" spans="1:6" x14ac:dyDescent="0.25">
      <c r="A2854" s="21" t="s">
        <v>2890</v>
      </c>
      <c r="B2854" s="21" t="s">
        <v>22</v>
      </c>
      <c r="C2854" s="21">
        <v>40</v>
      </c>
      <c r="D2854" s="21">
        <v>1280</v>
      </c>
      <c r="E2854" s="21">
        <v>32</v>
      </c>
      <c r="F2854" s="21"/>
    </row>
    <row r="2855" spans="1:6" x14ac:dyDescent="0.25">
      <c r="A2855" s="21" t="s">
        <v>2891</v>
      </c>
      <c r="B2855" s="21" t="s">
        <v>22</v>
      </c>
      <c r="C2855" s="21">
        <v>40</v>
      </c>
      <c r="D2855" s="21">
        <v>1800</v>
      </c>
      <c r="E2855" s="21">
        <v>45</v>
      </c>
      <c r="F2855" s="21"/>
    </row>
    <row r="2856" spans="1:6" x14ac:dyDescent="0.25">
      <c r="A2856" s="21" t="s">
        <v>2892</v>
      </c>
      <c r="B2856" s="21" t="s">
        <v>22</v>
      </c>
      <c r="C2856" s="21">
        <v>40</v>
      </c>
      <c r="D2856" s="21">
        <v>1280</v>
      </c>
      <c r="E2856" s="21">
        <v>32</v>
      </c>
      <c r="F2856" s="21"/>
    </row>
    <row r="2857" spans="1:6" x14ac:dyDescent="0.25">
      <c r="A2857" s="21" t="s">
        <v>2893</v>
      </c>
      <c r="B2857" s="21" t="s">
        <v>22</v>
      </c>
      <c r="C2857" s="21">
        <v>40</v>
      </c>
      <c r="D2857" s="21">
        <v>1800</v>
      </c>
      <c r="E2857" s="21">
        <v>45</v>
      </c>
      <c r="F2857" s="21"/>
    </row>
    <row r="2858" spans="1:6" x14ac:dyDescent="0.25">
      <c r="A2858" s="21" t="s">
        <v>2894</v>
      </c>
      <c r="B2858" s="21" t="s">
        <v>22</v>
      </c>
      <c r="C2858" s="21">
        <v>40</v>
      </c>
      <c r="D2858" s="21">
        <v>1280</v>
      </c>
      <c r="E2858" s="21">
        <v>32</v>
      </c>
      <c r="F2858" s="21"/>
    </row>
    <row r="2859" spans="1:6" x14ac:dyDescent="0.25">
      <c r="A2859" s="21" t="s">
        <v>2895</v>
      </c>
      <c r="B2859" s="21" t="s">
        <v>22</v>
      </c>
      <c r="C2859" s="21">
        <v>40</v>
      </c>
      <c r="D2859" s="21">
        <v>1800</v>
      </c>
      <c r="E2859" s="21">
        <v>45</v>
      </c>
      <c r="F2859" s="21"/>
    </row>
    <row r="2860" spans="1:6" x14ac:dyDescent="0.25">
      <c r="A2860" s="21" t="s">
        <v>2896</v>
      </c>
      <c r="B2860" s="21" t="s">
        <v>22</v>
      </c>
      <c r="C2860" s="21">
        <v>30</v>
      </c>
      <c r="D2860" s="21">
        <v>900</v>
      </c>
      <c r="E2860" s="21">
        <v>30</v>
      </c>
      <c r="F2860" s="21"/>
    </row>
    <row r="2861" spans="1:6" x14ac:dyDescent="0.25">
      <c r="A2861" s="21" t="s">
        <v>2897</v>
      </c>
      <c r="B2861" s="21" t="s">
        <v>22</v>
      </c>
      <c r="C2861" s="21">
        <v>30</v>
      </c>
      <c r="D2861" s="21">
        <v>900</v>
      </c>
      <c r="E2861" s="21">
        <v>30</v>
      </c>
      <c r="F2861" s="21"/>
    </row>
    <row r="2862" spans="1:6" x14ac:dyDescent="0.25">
      <c r="A2862" s="21" t="s">
        <v>2898</v>
      </c>
      <c r="B2862" s="21" t="s">
        <v>22</v>
      </c>
      <c r="C2862" s="21">
        <v>30</v>
      </c>
      <c r="D2862" s="21">
        <v>900</v>
      </c>
      <c r="E2862" s="21">
        <v>30</v>
      </c>
      <c r="F2862" s="21"/>
    </row>
    <row r="2863" spans="1:6" x14ac:dyDescent="0.25">
      <c r="A2863" s="21" t="s">
        <v>2899</v>
      </c>
      <c r="B2863" s="21" t="s">
        <v>22</v>
      </c>
      <c r="C2863" s="21">
        <v>20</v>
      </c>
      <c r="D2863" s="21">
        <v>600</v>
      </c>
      <c r="E2863" s="21">
        <v>30</v>
      </c>
      <c r="F2863" s="21"/>
    </row>
    <row r="2864" spans="1:6" x14ac:dyDescent="0.25">
      <c r="A2864" s="21" t="s">
        <v>2900</v>
      </c>
      <c r="B2864" s="21" t="s">
        <v>22</v>
      </c>
      <c r="C2864" s="21">
        <v>20</v>
      </c>
      <c r="D2864" s="21">
        <v>600</v>
      </c>
      <c r="E2864" s="21">
        <v>30</v>
      </c>
      <c r="F2864" s="21"/>
    </row>
    <row r="2865" spans="1:6" x14ac:dyDescent="0.25">
      <c r="A2865" s="21" t="s">
        <v>2901</v>
      </c>
      <c r="B2865" s="21" t="s">
        <v>22</v>
      </c>
      <c r="C2865" s="21">
        <v>20</v>
      </c>
      <c r="D2865" s="21">
        <v>600</v>
      </c>
      <c r="E2865" s="21">
        <v>30</v>
      </c>
      <c r="F2865" s="21"/>
    </row>
    <row r="2866" spans="1:6" x14ac:dyDescent="0.25">
      <c r="A2866" s="21" t="s">
        <v>2902</v>
      </c>
      <c r="B2866" s="21" t="s">
        <v>22</v>
      </c>
      <c r="C2866" s="21">
        <v>30</v>
      </c>
      <c r="D2866" s="21">
        <v>720</v>
      </c>
      <c r="E2866" s="21">
        <v>24</v>
      </c>
      <c r="F2866" s="21"/>
    </row>
    <row r="2867" spans="1:6" x14ac:dyDescent="0.25">
      <c r="A2867" s="21" t="s">
        <v>2903</v>
      </c>
      <c r="B2867" s="21" t="s">
        <v>22</v>
      </c>
      <c r="C2867" s="21">
        <v>30</v>
      </c>
      <c r="D2867" s="21">
        <v>720</v>
      </c>
      <c r="E2867" s="21">
        <v>24</v>
      </c>
      <c r="F2867" s="21"/>
    </row>
    <row r="2868" spans="1:6" x14ac:dyDescent="0.25">
      <c r="A2868" s="21" t="s">
        <v>2904</v>
      </c>
      <c r="B2868" s="21" t="s">
        <v>22</v>
      </c>
      <c r="C2868" s="21">
        <v>30</v>
      </c>
      <c r="D2868" s="21">
        <v>720</v>
      </c>
      <c r="E2868" s="21">
        <v>24</v>
      </c>
      <c r="F2868" s="21"/>
    </row>
    <row r="2869" spans="1:6" x14ac:dyDescent="0.25">
      <c r="A2869" s="21" t="s">
        <v>2905</v>
      </c>
      <c r="B2869" s="21" t="s">
        <v>22</v>
      </c>
      <c r="C2869" s="21">
        <v>20</v>
      </c>
      <c r="D2869" s="21">
        <v>400</v>
      </c>
      <c r="E2869" s="21">
        <v>20</v>
      </c>
      <c r="F2869" s="21"/>
    </row>
    <row r="2870" spans="1:6" x14ac:dyDescent="0.25">
      <c r="A2870" s="21" t="s">
        <v>2906</v>
      </c>
      <c r="B2870" s="21" t="s">
        <v>22</v>
      </c>
      <c r="C2870" s="21">
        <v>20</v>
      </c>
      <c r="D2870" s="21">
        <v>400</v>
      </c>
      <c r="E2870" s="21">
        <v>20</v>
      </c>
      <c r="F2870" s="21"/>
    </row>
    <row r="2871" spans="1:6" x14ac:dyDescent="0.25">
      <c r="A2871" s="21" t="s">
        <v>2907</v>
      </c>
      <c r="B2871" s="21" t="s">
        <v>22</v>
      </c>
      <c r="C2871" s="21">
        <v>20</v>
      </c>
      <c r="D2871" s="21">
        <v>400</v>
      </c>
      <c r="E2871" s="21">
        <v>20</v>
      </c>
      <c r="F2871" s="21"/>
    </row>
    <row r="2872" spans="1:6" x14ac:dyDescent="0.25">
      <c r="A2872" s="21" t="s">
        <v>2908</v>
      </c>
      <c r="B2872" s="21" t="s">
        <v>22</v>
      </c>
      <c r="C2872" s="21">
        <v>10</v>
      </c>
      <c r="D2872" s="21">
        <v>240</v>
      </c>
      <c r="E2872" s="21">
        <v>24</v>
      </c>
      <c r="F2872" s="21"/>
    </row>
    <row r="2873" spans="1:6" x14ac:dyDescent="0.25">
      <c r="A2873" s="21" t="s">
        <v>2909</v>
      </c>
      <c r="B2873" s="21" t="s">
        <v>22</v>
      </c>
      <c r="C2873" s="21">
        <v>10</v>
      </c>
      <c r="D2873" s="21">
        <v>240</v>
      </c>
      <c r="E2873" s="21">
        <v>24</v>
      </c>
      <c r="F2873" s="21"/>
    </row>
    <row r="2874" spans="1:6" x14ac:dyDescent="0.25">
      <c r="A2874" s="21" t="s">
        <v>2910</v>
      </c>
      <c r="B2874" s="21" t="s">
        <v>22</v>
      </c>
      <c r="C2874" s="21">
        <v>10</v>
      </c>
      <c r="D2874" s="21">
        <v>240</v>
      </c>
      <c r="E2874" s="21">
        <v>24</v>
      </c>
      <c r="F2874" s="21"/>
    </row>
    <row r="2875" spans="1:6" x14ac:dyDescent="0.25">
      <c r="A2875" s="21" t="s">
        <v>2911</v>
      </c>
      <c r="B2875" s="21" t="s">
        <v>22</v>
      </c>
      <c r="C2875" s="21">
        <v>10</v>
      </c>
      <c r="D2875" s="21">
        <v>240</v>
      </c>
      <c r="E2875" s="21">
        <v>24</v>
      </c>
      <c r="F2875" s="21"/>
    </row>
    <row r="2876" spans="1:6" x14ac:dyDescent="0.25">
      <c r="A2876" s="21" t="s">
        <v>2912</v>
      </c>
      <c r="B2876" s="21" t="s">
        <v>22</v>
      </c>
      <c r="C2876" s="21">
        <v>10</v>
      </c>
      <c r="D2876" s="21">
        <v>240</v>
      </c>
      <c r="E2876" s="21">
        <v>24</v>
      </c>
      <c r="F2876" s="21"/>
    </row>
    <row r="2877" spans="1:6" x14ac:dyDescent="0.25">
      <c r="A2877" s="21" t="s">
        <v>2913</v>
      </c>
      <c r="B2877" s="21" t="s">
        <v>22</v>
      </c>
      <c r="C2877" s="21">
        <v>10</v>
      </c>
      <c r="D2877" s="21">
        <v>240</v>
      </c>
      <c r="E2877" s="21">
        <v>24</v>
      </c>
      <c r="F2877" s="21"/>
    </row>
    <row r="2878" spans="1:6" x14ac:dyDescent="0.25">
      <c r="A2878" s="21" t="s">
        <v>2914</v>
      </c>
      <c r="B2878" s="21" t="s">
        <v>22</v>
      </c>
      <c r="C2878" s="21">
        <v>1</v>
      </c>
      <c r="D2878" s="21">
        <v>8</v>
      </c>
      <c r="E2878" s="21">
        <v>8</v>
      </c>
      <c r="F2878" s="21"/>
    </row>
    <row r="2879" spans="1:6" x14ac:dyDescent="0.25">
      <c r="A2879" s="21" t="s">
        <v>2915</v>
      </c>
      <c r="B2879" s="21" t="s">
        <v>22</v>
      </c>
      <c r="C2879" s="21">
        <v>0</v>
      </c>
      <c r="D2879" s="52">
        <v>0</v>
      </c>
      <c r="E2879" s="21"/>
      <c r="F2879" s="21"/>
    </row>
    <row r="2880" spans="1:6" x14ac:dyDescent="0.25">
      <c r="A2880" s="21" t="s">
        <v>2916</v>
      </c>
      <c r="B2880" s="21" t="s">
        <v>22</v>
      </c>
      <c r="C2880" s="21">
        <v>1</v>
      </c>
      <c r="D2880" s="21">
        <v>1</v>
      </c>
      <c r="E2880" s="21">
        <v>1</v>
      </c>
      <c r="F2880" s="21"/>
    </row>
    <row r="2881" spans="1:6" x14ac:dyDescent="0.25">
      <c r="A2881" s="21" t="s">
        <v>2917</v>
      </c>
      <c r="B2881" s="21" t="s">
        <v>22</v>
      </c>
      <c r="C2881" s="21">
        <v>1</v>
      </c>
      <c r="D2881" s="21">
        <v>3</v>
      </c>
      <c r="E2881" s="21">
        <v>3</v>
      </c>
      <c r="F2881" s="21"/>
    </row>
    <row r="2882" spans="1:6" x14ac:dyDescent="0.25">
      <c r="A2882" s="21" t="s">
        <v>2918</v>
      </c>
      <c r="B2882" s="21" t="s">
        <v>22</v>
      </c>
      <c r="C2882" s="21">
        <v>1</v>
      </c>
      <c r="D2882" s="21">
        <v>3</v>
      </c>
      <c r="E2882" s="21">
        <v>3</v>
      </c>
      <c r="F2882" s="21"/>
    </row>
    <row r="2883" spans="1:6" x14ac:dyDescent="0.25">
      <c r="A2883" s="21" t="s">
        <v>2919</v>
      </c>
      <c r="B2883" s="21" t="s">
        <v>22</v>
      </c>
      <c r="C2883" s="21">
        <v>1</v>
      </c>
      <c r="D2883" s="21">
        <v>6</v>
      </c>
      <c r="E2883" s="21">
        <v>6</v>
      </c>
      <c r="F2883" s="21"/>
    </row>
    <row r="2884" spans="1:6" x14ac:dyDescent="0.25">
      <c r="A2884" s="21" t="s">
        <v>2920</v>
      </c>
      <c r="B2884" s="21" t="s">
        <v>22</v>
      </c>
      <c r="C2884" s="21">
        <v>50</v>
      </c>
      <c r="D2884" s="21">
        <v>1200</v>
      </c>
      <c r="E2884" s="21">
        <v>24</v>
      </c>
      <c r="F2884" s="21"/>
    </row>
    <row r="2885" spans="1:6" x14ac:dyDescent="0.25">
      <c r="A2885" s="21" t="s">
        <v>2921</v>
      </c>
      <c r="B2885" s="21" t="s">
        <v>22</v>
      </c>
      <c r="C2885" s="21">
        <v>50</v>
      </c>
      <c r="D2885" s="21">
        <v>1200</v>
      </c>
      <c r="E2885" s="21">
        <v>24</v>
      </c>
      <c r="F2885" s="21"/>
    </row>
    <row r="2886" spans="1:6" x14ac:dyDescent="0.25">
      <c r="A2886" s="21" t="s">
        <v>2922</v>
      </c>
      <c r="B2886" s="21" t="s">
        <v>22</v>
      </c>
      <c r="C2886" s="21">
        <v>24</v>
      </c>
      <c r="D2886" s="21">
        <v>720</v>
      </c>
      <c r="E2886" s="21">
        <v>30</v>
      </c>
      <c r="F2886" s="21"/>
    </row>
    <row r="2887" spans="1:6" x14ac:dyDescent="0.25">
      <c r="A2887" s="21" t="s">
        <v>2923</v>
      </c>
      <c r="B2887" s="21" t="s">
        <v>22</v>
      </c>
      <c r="C2887" s="21">
        <v>24</v>
      </c>
      <c r="D2887" s="21">
        <v>720</v>
      </c>
      <c r="E2887" s="21">
        <v>30</v>
      </c>
      <c r="F2887" s="21"/>
    </row>
    <row r="2888" spans="1:6" x14ac:dyDescent="0.25">
      <c r="A2888" s="21" t="s">
        <v>2924</v>
      </c>
      <c r="B2888" s="21" t="s">
        <v>22</v>
      </c>
      <c r="C2888" s="21">
        <v>50</v>
      </c>
      <c r="D2888" s="21">
        <v>1200</v>
      </c>
      <c r="E2888" s="21">
        <v>24</v>
      </c>
      <c r="F2888" s="21"/>
    </row>
    <row r="2889" spans="1:6" x14ac:dyDescent="0.25">
      <c r="A2889" s="21" t="s">
        <v>2925</v>
      </c>
      <c r="B2889" s="21" t="s">
        <v>22</v>
      </c>
      <c r="C2889" s="21">
        <v>50</v>
      </c>
      <c r="D2889" s="21">
        <v>1200</v>
      </c>
      <c r="E2889" s="21">
        <v>24</v>
      </c>
      <c r="F2889" s="21"/>
    </row>
    <row r="2890" spans="1:6" x14ac:dyDescent="0.25">
      <c r="A2890" s="21" t="s">
        <v>2926</v>
      </c>
      <c r="B2890" s="21" t="s">
        <v>22</v>
      </c>
      <c r="C2890" s="21">
        <v>24</v>
      </c>
      <c r="D2890" s="21">
        <v>720</v>
      </c>
      <c r="E2890" s="21">
        <v>30</v>
      </c>
      <c r="F2890" s="21"/>
    </row>
    <row r="2891" spans="1:6" x14ac:dyDescent="0.25">
      <c r="A2891" s="21" t="s">
        <v>2927</v>
      </c>
      <c r="B2891" s="21" t="s">
        <v>22</v>
      </c>
      <c r="C2891" s="21">
        <v>24</v>
      </c>
      <c r="D2891" s="21">
        <v>720</v>
      </c>
      <c r="E2891" s="21">
        <v>30</v>
      </c>
      <c r="F2891" s="21"/>
    </row>
    <row r="2892" spans="1:6" x14ac:dyDescent="0.25">
      <c r="A2892" s="21" t="s">
        <v>2928</v>
      </c>
      <c r="B2892" s="21" t="s">
        <v>22</v>
      </c>
      <c r="C2892" s="21">
        <v>24</v>
      </c>
      <c r="D2892" s="21">
        <v>720</v>
      </c>
      <c r="E2892" s="21">
        <v>30</v>
      </c>
      <c r="F2892" s="21"/>
    </row>
    <row r="2893" spans="1:6" x14ac:dyDescent="0.25">
      <c r="A2893" s="21" t="s">
        <v>2929</v>
      </c>
      <c r="B2893" s="21" t="s">
        <v>22</v>
      </c>
      <c r="C2893" s="21">
        <v>50</v>
      </c>
      <c r="D2893" s="21">
        <v>1200</v>
      </c>
      <c r="E2893" s="21">
        <v>24</v>
      </c>
      <c r="F2893" s="21"/>
    </row>
    <row r="2894" spans="1:6" x14ac:dyDescent="0.25">
      <c r="A2894" s="21" t="s">
        <v>2930</v>
      </c>
      <c r="B2894" s="21" t="s">
        <v>22</v>
      </c>
      <c r="C2894" s="21">
        <v>50</v>
      </c>
      <c r="D2894" s="21">
        <v>1200</v>
      </c>
      <c r="E2894" s="21">
        <v>24</v>
      </c>
      <c r="F2894" s="21"/>
    </row>
    <row r="2895" spans="1:6" x14ac:dyDescent="0.25">
      <c r="A2895" s="21" t="s">
        <v>2931</v>
      </c>
      <c r="B2895" s="21" t="s">
        <v>22</v>
      </c>
      <c r="C2895" s="21">
        <v>24</v>
      </c>
      <c r="D2895" s="21">
        <v>720</v>
      </c>
      <c r="E2895" s="21">
        <v>30</v>
      </c>
      <c r="F2895" s="21"/>
    </row>
    <row r="2896" spans="1:6" x14ac:dyDescent="0.25">
      <c r="A2896" s="21" t="s">
        <v>2932</v>
      </c>
      <c r="B2896" s="21" t="s">
        <v>22</v>
      </c>
      <c r="C2896" s="21">
        <v>24</v>
      </c>
      <c r="D2896" s="21">
        <v>720</v>
      </c>
      <c r="E2896" s="21">
        <v>30</v>
      </c>
      <c r="F2896" s="21"/>
    </row>
    <row r="2897" spans="1:6" x14ac:dyDescent="0.25">
      <c r="A2897" s="21" t="s">
        <v>2933</v>
      </c>
      <c r="B2897" s="21" t="s">
        <v>22</v>
      </c>
      <c r="C2897" s="21">
        <v>24</v>
      </c>
      <c r="D2897" s="21">
        <v>720</v>
      </c>
      <c r="E2897" s="21">
        <v>30</v>
      </c>
      <c r="F2897" s="21"/>
    </row>
    <row r="2898" spans="1:6" x14ac:dyDescent="0.25">
      <c r="A2898" s="21" t="s">
        <v>2934</v>
      </c>
      <c r="B2898" s="21" t="s">
        <v>22</v>
      </c>
      <c r="C2898" s="21">
        <v>24</v>
      </c>
      <c r="D2898" s="21">
        <v>720</v>
      </c>
      <c r="E2898" s="21">
        <v>30</v>
      </c>
      <c r="F2898" s="21"/>
    </row>
    <row r="2899" spans="1:6" x14ac:dyDescent="0.25">
      <c r="A2899" s="21" t="s">
        <v>2935</v>
      </c>
      <c r="B2899" s="21" t="s">
        <v>22</v>
      </c>
      <c r="C2899" s="21">
        <v>50</v>
      </c>
      <c r="D2899" s="21">
        <v>1200</v>
      </c>
      <c r="E2899" s="21">
        <v>24</v>
      </c>
      <c r="F2899" s="21"/>
    </row>
    <row r="2900" spans="1:6" x14ac:dyDescent="0.25">
      <c r="A2900" s="21" t="s">
        <v>2936</v>
      </c>
      <c r="B2900" s="21" t="s">
        <v>22</v>
      </c>
      <c r="C2900" s="21">
        <v>200</v>
      </c>
      <c r="D2900" s="21">
        <v>4800</v>
      </c>
      <c r="E2900" s="21">
        <v>24</v>
      </c>
      <c r="F2900" s="21"/>
    </row>
    <row r="2901" spans="1:6" x14ac:dyDescent="0.25">
      <c r="A2901" s="21" t="s">
        <v>2937</v>
      </c>
      <c r="B2901" s="21" t="s">
        <v>22</v>
      </c>
      <c r="C2901" s="21">
        <v>50</v>
      </c>
      <c r="D2901" s="21">
        <v>1600</v>
      </c>
      <c r="E2901" s="21">
        <v>32</v>
      </c>
      <c r="F2901" s="21"/>
    </row>
    <row r="2902" spans="1:6" x14ac:dyDescent="0.25">
      <c r="A2902" s="21" t="s">
        <v>2938</v>
      </c>
      <c r="B2902" s="21" t="s">
        <v>22</v>
      </c>
      <c r="C2902" s="21">
        <v>200</v>
      </c>
      <c r="D2902" s="21">
        <v>4800</v>
      </c>
      <c r="E2902" s="21">
        <v>24</v>
      </c>
      <c r="F2902" s="21"/>
    </row>
    <row r="2903" spans="1:6" x14ac:dyDescent="0.25">
      <c r="A2903" s="21" t="s">
        <v>2939</v>
      </c>
      <c r="B2903" s="21" t="s">
        <v>22</v>
      </c>
      <c r="C2903" s="21">
        <v>50</v>
      </c>
      <c r="D2903" s="21">
        <v>1600</v>
      </c>
      <c r="E2903" s="21">
        <v>32</v>
      </c>
      <c r="F2903" s="21"/>
    </row>
    <row r="2904" spans="1:6" x14ac:dyDescent="0.25">
      <c r="A2904" s="21" t="s">
        <v>2940</v>
      </c>
      <c r="B2904" s="21" t="s">
        <v>22</v>
      </c>
      <c r="C2904" s="21">
        <v>200</v>
      </c>
      <c r="D2904" s="21">
        <v>4800</v>
      </c>
      <c r="E2904" s="21">
        <v>24</v>
      </c>
      <c r="F2904" s="21"/>
    </row>
    <row r="2905" spans="1:6" x14ac:dyDescent="0.25">
      <c r="A2905" s="21" t="s">
        <v>2941</v>
      </c>
      <c r="B2905" s="21" t="s">
        <v>22</v>
      </c>
      <c r="C2905" s="21">
        <v>50</v>
      </c>
      <c r="D2905" s="21">
        <v>1600</v>
      </c>
      <c r="E2905" s="21">
        <v>32</v>
      </c>
      <c r="F2905" s="21"/>
    </row>
    <row r="2906" spans="1:6" x14ac:dyDescent="0.25">
      <c r="A2906" s="21" t="s">
        <v>2942</v>
      </c>
      <c r="B2906" s="21" t="s">
        <v>22</v>
      </c>
      <c r="C2906" s="21">
        <v>200</v>
      </c>
      <c r="D2906" s="21">
        <v>4800</v>
      </c>
      <c r="E2906" s="21">
        <v>24</v>
      </c>
      <c r="F2906" s="21"/>
    </row>
    <row r="2907" spans="1:6" x14ac:dyDescent="0.25">
      <c r="A2907" s="21" t="s">
        <v>2943</v>
      </c>
      <c r="B2907" s="21" t="s">
        <v>22</v>
      </c>
      <c r="C2907" s="21">
        <v>50</v>
      </c>
      <c r="D2907" s="21">
        <v>1600</v>
      </c>
      <c r="E2907" s="21">
        <v>32</v>
      </c>
      <c r="F2907" s="21"/>
    </row>
    <row r="2908" spans="1:6" x14ac:dyDescent="0.25">
      <c r="A2908" s="21" t="s">
        <v>2944</v>
      </c>
      <c r="B2908" s="21" t="s">
        <v>22</v>
      </c>
      <c r="C2908" s="21">
        <v>200</v>
      </c>
      <c r="D2908" s="21">
        <v>3600</v>
      </c>
      <c r="E2908" s="21">
        <v>18</v>
      </c>
      <c r="F2908" s="21"/>
    </row>
    <row r="2909" spans="1:6" x14ac:dyDescent="0.25">
      <c r="A2909" s="21" t="s">
        <v>2945</v>
      </c>
      <c r="B2909" s="21" t="s">
        <v>22</v>
      </c>
      <c r="C2909" s="21">
        <v>200</v>
      </c>
      <c r="D2909" s="21">
        <v>3600</v>
      </c>
      <c r="E2909" s="21">
        <v>18</v>
      </c>
      <c r="F2909" s="21"/>
    </row>
    <row r="2910" spans="1:6" x14ac:dyDescent="0.25">
      <c r="A2910" s="21" t="s">
        <v>2946</v>
      </c>
      <c r="B2910" s="21" t="s">
        <v>22</v>
      </c>
      <c r="C2910" s="21">
        <v>200</v>
      </c>
      <c r="D2910" s="21">
        <v>3600</v>
      </c>
      <c r="E2910" s="21">
        <v>18</v>
      </c>
      <c r="F2910" s="21"/>
    </row>
    <row r="2911" spans="1:6" x14ac:dyDescent="0.25">
      <c r="A2911" s="21" t="s">
        <v>2947</v>
      </c>
      <c r="B2911" s="21" t="s">
        <v>22</v>
      </c>
      <c r="C2911" s="21">
        <v>200</v>
      </c>
      <c r="D2911" s="21">
        <v>8000</v>
      </c>
      <c r="E2911" s="21">
        <v>40</v>
      </c>
      <c r="F2911" s="21"/>
    </row>
    <row r="2912" spans="1:6" x14ac:dyDescent="0.25">
      <c r="A2912" s="21" t="s">
        <v>2948</v>
      </c>
      <c r="B2912" s="21" t="s">
        <v>22</v>
      </c>
      <c r="C2912" s="21">
        <v>60</v>
      </c>
      <c r="D2912" s="21">
        <v>1920</v>
      </c>
      <c r="E2912" s="21">
        <v>32</v>
      </c>
      <c r="F2912" s="21"/>
    </row>
    <row r="2913" spans="1:6" x14ac:dyDescent="0.25">
      <c r="A2913" s="21" t="s">
        <v>2949</v>
      </c>
      <c r="B2913" s="21" t="s">
        <v>22</v>
      </c>
      <c r="C2913" s="21">
        <v>50</v>
      </c>
      <c r="D2913" s="21">
        <v>1200</v>
      </c>
      <c r="E2913" s="21">
        <v>24</v>
      </c>
      <c r="F2913" s="21"/>
    </row>
    <row r="2914" spans="1:6" x14ac:dyDescent="0.25">
      <c r="A2914" s="21" t="s">
        <v>2950</v>
      </c>
      <c r="B2914" s="21" t="s">
        <v>22</v>
      </c>
      <c r="C2914" s="21">
        <v>60</v>
      </c>
      <c r="D2914" s="21">
        <v>1920</v>
      </c>
      <c r="E2914" s="21">
        <v>32</v>
      </c>
      <c r="F2914" s="21"/>
    </row>
    <row r="2915" spans="1:6" x14ac:dyDescent="0.25">
      <c r="A2915" s="21" t="s">
        <v>2951</v>
      </c>
      <c r="B2915" s="21" t="s">
        <v>22</v>
      </c>
      <c r="C2915" s="21">
        <v>50</v>
      </c>
      <c r="D2915" s="21">
        <v>1200</v>
      </c>
      <c r="E2915" s="21">
        <v>24</v>
      </c>
      <c r="F2915" s="21"/>
    </row>
    <row r="2916" spans="1:6" x14ac:dyDescent="0.25">
      <c r="A2916" s="21" t="s">
        <v>2952</v>
      </c>
      <c r="B2916" s="21" t="s">
        <v>22</v>
      </c>
      <c r="C2916" s="21">
        <v>60</v>
      </c>
      <c r="D2916" s="21">
        <v>1920</v>
      </c>
      <c r="E2916" s="21">
        <v>32</v>
      </c>
      <c r="F2916" s="21"/>
    </row>
    <row r="2917" spans="1:6" x14ac:dyDescent="0.25">
      <c r="A2917" s="21" t="s">
        <v>2953</v>
      </c>
      <c r="B2917" s="21" t="s">
        <v>22</v>
      </c>
      <c r="C2917" s="21">
        <v>50</v>
      </c>
      <c r="D2917" s="21">
        <v>1200</v>
      </c>
      <c r="E2917" s="21">
        <v>24</v>
      </c>
      <c r="F2917" s="21"/>
    </row>
    <row r="2918" spans="1:6" x14ac:dyDescent="0.25">
      <c r="A2918" s="21" t="s">
        <v>2954</v>
      </c>
      <c r="B2918" s="21" t="s">
        <v>22</v>
      </c>
      <c r="C2918" s="21">
        <v>50</v>
      </c>
      <c r="D2918" s="21">
        <v>1600</v>
      </c>
      <c r="E2918" s="21">
        <v>32</v>
      </c>
      <c r="F2918" s="21"/>
    </row>
    <row r="2919" spans="1:6" x14ac:dyDescent="0.25">
      <c r="A2919" s="21" t="s">
        <v>2955</v>
      </c>
      <c r="B2919" s="21" t="s">
        <v>22</v>
      </c>
      <c r="C2919" s="21">
        <v>50</v>
      </c>
      <c r="D2919" s="21">
        <v>1600</v>
      </c>
      <c r="E2919" s="21">
        <v>32</v>
      </c>
      <c r="F2919" s="21"/>
    </row>
    <row r="2920" spans="1:6" x14ac:dyDescent="0.25">
      <c r="A2920" s="21" t="s">
        <v>2956</v>
      </c>
      <c r="B2920" s="21" t="s">
        <v>22</v>
      </c>
      <c r="C2920" s="21">
        <v>50</v>
      </c>
      <c r="D2920" s="21">
        <v>1600</v>
      </c>
      <c r="E2920" s="21">
        <v>32</v>
      </c>
      <c r="F2920" s="21"/>
    </row>
    <row r="2921" spans="1:6" x14ac:dyDescent="0.25">
      <c r="A2921" s="21" t="s">
        <v>2957</v>
      </c>
      <c r="B2921" s="21" t="s">
        <v>22</v>
      </c>
      <c r="C2921" s="21">
        <v>50</v>
      </c>
      <c r="D2921" s="21">
        <v>1600</v>
      </c>
      <c r="E2921" s="21">
        <v>32</v>
      </c>
      <c r="F2921" s="21"/>
    </row>
    <row r="2922" spans="1:6" x14ac:dyDescent="0.25">
      <c r="A2922" s="21" t="s">
        <v>2958</v>
      </c>
      <c r="B2922" s="21" t="s">
        <v>22</v>
      </c>
      <c r="C2922" s="21">
        <v>50</v>
      </c>
      <c r="D2922" s="21">
        <v>1600</v>
      </c>
      <c r="E2922" s="21">
        <v>32</v>
      </c>
      <c r="F2922" s="21"/>
    </row>
    <row r="2923" spans="1:6" x14ac:dyDescent="0.25">
      <c r="A2923" s="21" t="s">
        <v>2959</v>
      </c>
      <c r="B2923" s="21" t="s">
        <v>22</v>
      </c>
      <c r="C2923" s="21">
        <v>200</v>
      </c>
      <c r="D2923" s="21">
        <v>4800</v>
      </c>
      <c r="E2923" s="21">
        <v>24</v>
      </c>
      <c r="F2923" s="21"/>
    </row>
    <row r="2924" spans="1:6" x14ac:dyDescent="0.25">
      <c r="A2924" s="21" t="s">
        <v>2960</v>
      </c>
      <c r="B2924" s="21" t="s">
        <v>22</v>
      </c>
      <c r="C2924" s="21">
        <v>50</v>
      </c>
      <c r="D2924" s="21">
        <v>1600</v>
      </c>
      <c r="E2924" s="21">
        <v>32</v>
      </c>
      <c r="F2924" s="21"/>
    </row>
    <row r="2925" spans="1:6" x14ac:dyDescent="0.25">
      <c r="A2925" s="21" t="s">
        <v>2961</v>
      </c>
      <c r="B2925" s="21" t="s">
        <v>22</v>
      </c>
      <c r="C2925" s="21">
        <v>50</v>
      </c>
      <c r="D2925" s="21">
        <v>8000</v>
      </c>
      <c r="E2925" s="21">
        <v>160</v>
      </c>
      <c r="F2925" s="21"/>
    </row>
    <row r="2926" spans="1:6" x14ac:dyDescent="0.25">
      <c r="A2926" s="21" t="s">
        <v>2962</v>
      </c>
      <c r="B2926" s="21" t="s">
        <v>22</v>
      </c>
      <c r="C2926" s="21">
        <v>0</v>
      </c>
      <c r="D2926" s="52">
        <v>0</v>
      </c>
      <c r="E2926" s="21"/>
      <c r="F2926" s="21"/>
    </row>
    <row r="2927" spans="1:6" x14ac:dyDescent="0.25">
      <c r="A2927" s="21" t="s">
        <v>2963</v>
      </c>
      <c r="B2927" s="21" t="s">
        <v>22</v>
      </c>
      <c r="C2927" s="21">
        <v>18</v>
      </c>
      <c r="D2927" s="21">
        <v>72</v>
      </c>
      <c r="E2927" s="21">
        <v>4</v>
      </c>
      <c r="F2927" s="21"/>
    </row>
    <row r="2928" spans="1:6" x14ac:dyDescent="0.25">
      <c r="A2928" s="21" t="s">
        <v>2964</v>
      </c>
      <c r="B2928" s="21" t="s">
        <v>22</v>
      </c>
      <c r="C2928" s="21">
        <v>0</v>
      </c>
      <c r="D2928" s="52">
        <v>0</v>
      </c>
      <c r="E2928" s="21"/>
      <c r="F2928" s="21"/>
    </row>
    <row r="2929" spans="1:6" x14ac:dyDescent="0.25">
      <c r="A2929" s="21" t="s">
        <v>2965</v>
      </c>
      <c r="B2929" s="21" t="s">
        <v>22</v>
      </c>
      <c r="C2929" s="21">
        <v>12</v>
      </c>
      <c r="D2929" s="21">
        <v>96</v>
      </c>
      <c r="E2929" s="21">
        <v>8</v>
      </c>
      <c r="F2929" s="21"/>
    </row>
    <row r="2930" spans="1:6" x14ac:dyDescent="0.25">
      <c r="A2930" s="21" t="s">
        <v>2966</v>
      </c>
      <c r="B2930" s="21" t="s">
        <v>22</v>
      </c>
      <c r="C2930" s="21">
        <v>0</v>
      </c>
      <c r="D2930" s="52">
        <v>0</v>
      </c>
      <c r="E2930" s="21"/>
      <c r="F2930" s="21"/>
    </row>
    <row r="2931" spans="1:6" x14ac:dyDescent="0.25">
      <c r="A2931" s="21" t="s">
        <v>2967</v>
      </c>
      <c r="B2931" s="21" t="s">
        <v>22</v>
      </c>
      <c r="C2931" s="21">
        <v>6</v>
      </c>
      <c r="D2931" s="21">
        <v>72</v>
      </c>
      <c r="E2931" s="21">
        <v>12</v>
      </c>
      <c r="F2931" s="21"/>
    </row>
    <row r="2932" spans="1:6" x14ac:dyDescent="0.25">
      <c r="A2932" s="21" t="s">
        <v>2968</v>
      </c>
      <c r="B2932" s="21" t="s">
        <v>22</v>
      </c>
      <c r="C2932" s="21">
        <v>6</v>
      </c>
      <c r="D2932" s="21">
        <v>72</v>
      </c>
      <c r="E2932" s="21">
        <v>12</v>
      </c>
      <c r="F2932" s="21"/>
    </row>
    <row r="2933" spans="1:6" x14ac:dyDescent="0.25">
      <c r="A2933" s="21" t="s">
        <v>2969</v>
      </c>
      <c r="B2933" s="21" t="s">
        <v>22</v>
      </c>
      <c r="C2933" s="21">
        <v>4</v>
      </c>
      <c r="D2933" s="21">
        <v>48</v>
      </c>
      <c r="E2933" s="21">
        <v>12</v>
      </c>
      <c r="F2933" s="21"/>
    </row>
    <row r="2934" spans="1:6" x14ac:dyDescent="0.25">
      <c r="A2934" s="21" t="s">
        <v>2970</v>
      </c>
      <c r="B2934" s="21" t="s">
        <v>22</v>
      </c>
      <c r="C2934" s="21">
        <v>0</v>
      </c>
      <c r="D2934" s="52">
        <v>0</v>
      </c>
      <c r="E2934" s="21"/>
      <c r="F2934" s="21"/>
    </row>
    <row r="2935" spans="1:6" x14ac:dyDescent="0.25">
      <c r="A2935" s="21" t="s">
        <v>2971</v>
      </c>
      <c r="B2935" s="21" t="s">
        <v>22</v>
      </c>
      <c r="C2935" s="21">
        <v>0</v>
      </c>
      <c r="D2935" s="52">
        <v>0</v>
      </c>
      <c r="E2935" s="21"/>
      <c r="F2935" s="21"/>
    </row>
    <row r="2936" spans="1:6" x14ac:dyDescent="0.25">
      <c r="A2936" s="21" t="s">
        <v>2972</v>
      </c>
      <c r="B2936" s="21" t="s">
        <v>22</v>
      </c>
      <c r="C2936" s="21">
        <v>20</v>
      </c>
      <c r="D2936" s="21">
        <v>360</v>
      </c>
      <c r="E2936" s="21">
        <v>18</v>
      </c>
      <c r="F2936" s="21"/>
    </row>
    <row r="2937" spans="1:6" x14ac:dyDescent="0.25">
      <c r="A2937" s="21" t="s">
        <v>2973</v>
      </c>
      <c r="B2937" s="21" t="s">
        <v>22</v>
      </c>
      <c r="C2937" s="21">
        <v>3</v>
      </c>
      <c r="D2937" s="52">
        <v>0</v>
      </c>
      <c r="E2937" s="21"/>
      <c r="F2937" s="21"/>
    </row>
    <row r="2938" spans="1:6" x14ac:dyDescent="0.25">
      <c r="A2938" s="21" t="s">
        <v>2974</v>
      </c>
      <c r="B2938" s="21" t="s">
        <v>22</v>
      </c>
      <c r="C2938" s="21">
        <v>18</v>
      </c>
      <c r="D2938" s="21">
        <v>216</v>
      </c>
      <c r="E2938" s="21">
        <v>12</v>
      </c>
      <c r="F2938" s="21"/>
    </row>
    <row r="2939" spans="1:6" x14ac:dyDescent="0.25">
      <c r="A2939" s="21" t="s">
        <v>2975</v>
      </c>
      <c r="B2939" s="21" t="s">
        <v>22</v>
      </c>
      <c r="C2939" s="21">
        <v>100</v>
      </c>
      <c r="D2939" s="21">
        <v>1800</v>
      </c>
      <c r="E2939" s="21">
        <v>18</v>
      </c>
      <c r="F2939" s="21"/>
    </row>
    <row r="2940" spans="1:6" x14ac:dyDescent="0.25">
      <c r="A2940" s="21" t="s">
        <v>2976</v>
      </c>
      <c r="B2940" s="21" t="s">
        <v>22</v>
      </c>
      <c r="C2940" s="21">
        <v>100</v>
      </c>
      <c r="D2940" s="21">
        <v>2400</v>
      </c>
      <c r="E2940" s="21">
        <v>24</v>
      </c>
      <c r="F2940" s="21"/>
    </row>
    <row r="2941" spans="1:6" x14ac:dyDescent="0.25">
      <c r="A2941" s="21" t="s">
        <v>2977</v>
      </c>
      <c r="B2941" s="21" t="s">
        <v>22</v>
      </c>
      <c r="C2941" s="21">
        <v>100</v>
      </c>
      <c r="D2941" s="21">
        <v>2400</v>
      </c>
      <c r="E2941" s="21">
        <v>24</v>
      </c>
      <c r="F2941" s="21"/>
    </row>
    <row r="2942" spans="1:6" x14ac:dyDescent="0.25">
      <c r="A2942" s="21" t="s">
        <v>2978</v>
      </c>
      <c r="B2942" s="21" t="s">
        <v>22</v>
      </c>
      <c r="C2942" s="21">
        <v>100</v>
      </c>
      <c r="D2942" s="21">
        <v>2400</v>
      </c>
      <c r="E2942" s="21">
        <v>24</v>
      </c>
      <c r="F2942" s="21"/>
    </row>
    <row r="2943" spans="1:6" x14ac:dyDescent="0.25">
      <c r="A2943" s="21" t="s">
        <v>2979</v>
      </c>
      <c r="B2943" s="21" t="s">
        <v>22</v>
      </c>
      <c r="C2943" s="21">
        <v>50</v>
      </c>
      <c r="D2943" s="21">
        <v>750</v>
      </c>
      <c r="E2943" s="21">
        <v>15</v>
      </c>
      <c r="F2943" s="21"/>
    </row>
    <row r="2944" spans="1:6" x14ac:dyDescent="0.25">
      <c r="A2944" s="21" t="s">
        <v>2980</v>
      </c>
      <c r="B2944" s="21" t="s">
        <v>22</v>
      </c>
      <c r="C2944" s="21">
        <v>40</v>
      </c>
      <c r="D2944" s="21">
        <v>1600</v>
      </c>
      <c r="E2944" s="21">
        <v>40</v>
      </c>
      <c r="F2944" s="21"/>
    </row>
    <row r="2945" spans="1:6" x14ac:dyDescent="0.25">
      <c r="A2945" s="21" t="s">
        <v>2981</v>
      </c>
      <c r="B2945" s="21" t="s">
        <v>22</v>
      </c>
      <c r="C2945" s="21">
        <v>40</v>
      </c>
      <c r="D2945" s="21">
        <v>1200</v>
      </c>
      <c r="E2945" s="21">
        <v>30</v>
      </c>
      <c r="F2945" s="21"/>
    </row>
    <row r="2946" spans="1:6" x14ac:dyDescent="0.25">
      <c r="A2946" s="21" t="s">
        <v>2982</v>
      </c>
      <c r="B2946" s="21" t="s">
        <v>22</v>
      </c>
      <c r="C2946" s="21">
        <v>40</v>
      </c>
      <c r="D2946" s="21">
        <v>1200</v>
      </c>
      <c r="E2946" s="21">
        <v>30</v>
      </c>
      <c r="F2946" s="21"/>
    </row>
    <row r="2947" spans="1:6" x14ac:dyDescent="0.25">
      <c r="A2947" s="21" t="s">
        <v>2983</v>
      </c>
      <c r="B2947" s="21" t="s">
        <v>22</v>
      </c>
      <c r="C2947" s="21">
        <v>50</v>
      </c>
      <c r="D2947" s="21">
        <v>8000</v>
      </c>
      <c r="E2947" s="21">
        <v>160</v>
      </c>
      <c r="F2947" s="21"/>
    </row>
    <row r="2948" spans="1:6" x14ac:dyDescent="0.25">
      <c r="A2948" s="21" t="s">
        <v>2984</v>
      </c>
      <c r="B2948" s="21" t="s">
        <v>22</v>
      </c>
      <c r="C2948" s="21">
        <v>8</v>
      </c>
      <c r="D2948" s="21">
        <v>144</v>
      </c>
      <c r="E2948" s="21">
        <v>18</v>
      </c>
      <c r="F2948" s="21"/>
    </row>
    <row r="2949" spans="1:6" x14ac:dyDescent="0.25">
      <c r="A2949" s="21" t="s">
        <v>2985</v>
      </c>
      <c r="B2949" s="21" t="s">
        <v>22</v>
      </c>
      <c r="C2949" s="21">
        <v>10</v>
      </c>
      <c r="D2949" s="21">
        <v>240</v>
      </c>
      <c r="E2949" s="21">
        <v>24</v>
      </c>
      <c r="F2949" s="21"/>
    </row>
    <row r="2950" spans="1:6" x14ac:dyDescent="0.25">
      <c r="A2950" s="21" t="s">
        <v>2986</v>
      </c>
      <c r="B2950" s="21" t="s">
        <v>22</v>
      </c>
      <c r="C2950" s="21">
        <v>6</v>
      </c>
      <c r="D2950" s="21">
        <v>108</v>
      </c>
      <c r="E2950" s="21">
        <v>18</v>
      </c>
      <c r="F2950" s="21"/>
    </row>
    <row r="2951" spans="1:6" x14ac:dyDescent="0.25">
      <c r="A2951" s="21" t="s">
        <v>2987</v>
      </c>
      <c r="B2951" s="21" t="s">
        <v>22</v>
      </c>
      <c r="C2951" s="21">
        <v>10</v>
      </c>
      <c r="D2951" s="21">
        <v>120</v>
      </c>
      <c r="E2951" s="21">
        <v>12</v>
      </c>
      <c r="F2951" s="21"/>
    </row>
    <row r="2952" spans="1:6" x14ac:dyDescent="0.25">
      <c r="A2952" s="21" t="s">
        <v>2988</v>
      </c>
      <c r="B2952" s="21" t="s">
        <v>22</v>
      </c>
      <c r="C2952" s="21">
        <v>10</v>
      </c>
      <c r="D2952" s="21">
        <v>300</v>
      </c>
      <c r="E2952" s="21">
        <v>30</v>
      </c>
      <c r="F2952" s="21"/>
    </row>
    <row r="2953" spans="1:6" x14ac:dyDescent="0.25">
      <c r="A2953" s="21" t="s">
        <v>2989</v>
      </c>
      <c r="B2953" s="21" t="s">
        <v>22</v>
      </c>
      <c r="C2953" s="21">
        <v>10</v>
      </c>
      <c r="D2953" s="21">
        <v>120</v>
      </c>
      <c r="E2953" s="21">
        <v>12</v>
      </c>
      <c r="F2953" s="21"/>
    </row>
    <row r="2954" spans="1:6" x14ac:dyDescent="0.25">
      <c r="A2954" s="21" t="s">
        <v>2990</v>
      </c>
      <c r="B2954" s="21" t="s">
        <v>22</v>
      </c>
      <c r="C2954" s="21">
        <v>10</v>
      </c>
      <c r="D2954" s="21">
        <v>120</v>
      </c>
      <c r="E2954" s="21">
        <v>12</v>
      </c>
      <c r="F2954" s="21"/>
    </row>
    <row r="2955" spans="1:6" x14ac:dyDescent="0.25">
      <c r="A2955" s="21" t="s">
        <v>2991</v>
      </c>
      <c r="B2955" s="21" t="s">
        <v>22</v>
      </c>
      <c r="C2955" s="21">
        <v>4</v>
      </c>
      <c r="D2955" s="21">
        <v>36</v>
      </c>
      <c r="E2955" s="21">
        <v>9</v>
      </c>
      <c r="F2955" s="21"/>
    </row>
    <row r="2956" spans="1:6" x14ac:dyDescent="0.25">
      <c r="A2956" s="21" t="s">
        <v>2992</v>
      </c>
      <c r="B2956" s="21" t="s">
        <v>22</v>
      </c>
      <c r="C2956" s="21">
        <v>0</v>
      </c>
      <c r="D2956" s="52">
        <v>0</v>
      </c>
      <c r="E2956" s="21"/>
      <c r="F2956" s="21"/>
    </row>
    <row r="2957" spans="1:6" x14ac:dyDescent="0.25">
      <c r="A2957" s="21" t="s">
        <v>2993</v>
      </c>
      <c r="B2957" s="21" t="s">
        <v>22</v>
      </c>
      <c r="C2957" s="21">
        <v>0</v>
      </c>
      <c r="D2957" s="52">
        <v>0</v>
      </c>
      <c r="E2957" s="21"/>
      <c r="F2957" s="21"/>
    </row>
    <row r="2958" spans="1:6" x14ac:dyDescent="0.25">
      <c r="A2958" s="21" t="s">
        <v>2994</v>
      </c>
      <c r="B2958" s="21" t="s">
        <v>22</v>
      </c>
      <c r="C2958" s="21">
        <v>0</v>
      </c>
      <c r="D2958" s="52">
        <v>0</v>
      </c>
      <c r="E2958" s="21"/>
      <c r="F2958" s="21"/>
    </row>
    <row r="2959" spans="1:6" x14ac:dyDescent="0.25">
      <c r="A2959" s="21" t="s">
        <v>2995</v>
      </c>
      <c r="B2959" s="21" t="s">
        <v>22</v>
      </c>
      <c r="C2959" s="21">
        <v>0</v>
      </c>
      <c r="D2959" s="52">
        <v>0</v>
      </c>
      <c r="E2959" s="21"/>
      <c r="F2959" s="21"/>
    </row>
    <row r="2960" spans="1:6" x14ac:dyDescent="0.25">
      <c r="A2960" s="21" t="s">
        <v>2996</v>
      </c>
      <c r="B2960" s="21" t="s">
        <v>22</v>
      </c>
      <c r="C2960" s="21">
        <v>0</v>
      </c>
      <c r="D2960" s="52">
        <v>0</v>
      </c>
      <c r="E2960" s="21"/>
      <c r="F2960" s="21"/>
    </row>
    <row r="2961" spans="1:6" x14ac:dyDescent="0.25">
      <c r="A2961" s="21" t="s">
        <v>2997</v>
      </c>
      <c r="B2961" s="21" t="s">
        <v>22</v>
      </c>
      <c r="C2961" s="21">
        <v>0</v>
      </c>
      <c r="D2961" s="52">
        <v>0</v>
      </c>
      <c r="E2961" s="21"/>
      <c r="F2961" s="21"/>
    </row>
    <row r="2962" spans="1:6" x14ac:dyDescent="0.25">
      <c r="A2962" s="21" t="s">
        <v>2998</v>
      </c>
      <c r="B2962" s="21" t="s">
        <v>22</v>
      </c>
      <c r="C2962" s="21">
        <v>0</v>
      </c>
      <c r="D2962" s="52">
        <v>0</v>
      </c>
      <c r="E2962" s="21"/>
      <c r="F2962" s="21"/>
    </row>
    <row r="2963" spans="1:6" x14ac:dyDescent="0.25">
      <c r="A2963" s="21" t="s">
        <v>2999</v>
      </c>
      <c r="B2963" s="21" t="s">
        <v>22</v>
      </c>
      <c r="C2963" s="21">
        <v>0</v>
      </c>
      <c r="D2963" s="52">
        <v>0</v>
      </c>
      <c r="E2963" s="21"/>
      <c r="F2963" s="21"/>
    </row>
    <row r="2964" spans="1:6" x14ac:dyDescent="0.25">
      <c r="A2964" s="21" t="s">
        <v>3000</v>
      </c>
      <c r="B2964" s="21" t="s">
        <v>22</v>
      </c>
      <c r="C2964" s="21">
        <v>0</v>
      </c>
      <c r="D2964" s="52">
        <v>0</v>
      </c>
      <c r="E2964" s="21"/>
      <c r="F2964" s="21"/>
    </row>
    <row r="2965" spans="1:6" x14ac:dyDescent="0.25">
      <c r="A2965" s="21" t="s">
        <v>3001</v>
      </c>
      <c r="B2965" s="21" t="s">
        <v>22</v>
      </c>
      <c r="C2965" s="21">
        <v>1</v>
      </c>
      <c r="D2965" s="21">
        <v>1</v>
      </c>
      <c r="E2965" s="21">
        <v>1</v>
      </c>
      <c r="F2965" s="21"/>
    </row>
    <row r="2966" spans="1:6" x14ac:dyDescent="0.25">
      <c r="A2966" s="21" t="s">
        <v>3002</v>
      </c>
      <c r="B2966" s="21" t="s">
        <v>22</v>
      </c>
      <c r="C2966" s="21">
        <v>1</v>
      </c>
      <c r="D2966" s="21">
        <v>1</v>
      </c>
      <c r="E2966" s="21">
        <v>1</v>
      </c>
      <c r="F2966" s="21"/>
    </row>
    <row r="2967" spans="1:6" x14ac:dyDescent="0.25">
      <c r="A2967" s="21" t="s">
        <v>3003</v>
      </c>
      <c r="B2967" s="21" t="s">
        <v>22</v>
      </c>
      <c r="C2967" s="21">
        <v>6</v>
      </c>
      <c r="D2967" s="21">
        <v>72</v>
      </c>
      <c r="E2967" s="21">
        <v>12</v>
      </c>
      <c r="F2967" s="21"/>
    </row>
    <row r="2968" spans="1:6" x14ac:dyDescent="0.25">
      <c r="A2968" s="21" t="s">
        <v>3004</v>
      </c>
      <c r="B2968" s="21" t="s">
        <v>22</v>
      </c>
      <c r="C2968" s="21">
        <v>8</v>
      </c>
      <c r="D2968" s="52">
        <v>0</v>
      </c>
      <c r="E2968" s="21"/>
      <c r="F2968" s="21"/>
    </row>
    <row r="2969" spans="1:6" x14ac:dyDescent="0.25">
      <c r="A2969" s="21" t="s">
        <v>3005</v>
      </c>
      <c r="B2969" s="21" t="s">
        <v>22</v>
      </c>
      <c r="C2969" s="21">
        <v>8</v>
      </c>
      <c r="D2969" s="21">
        <v>192</v>
      </c>
      <c r="E2969" s="21">
        <v>24</v>
      </c>
      <c r="F2969" s="21"/>
    </row>
    <row r="2970" spans="1:6" x14ac:dyDescent="0.25">
      <c r="A2970" s="21" t="s">
        <v>3006</v>
      </c>
      <c r="B2970" s="21" t="s">
        <v>22</v>
      </c>
      <c r="C2970" s="21">
        <v>6</v>
      </c>
      <c r="D2970" s="21">
        <v>144</v>
      </c>
      <c r="E2970" s="21">
        <v>24</v>
      </c>
      <c r="F2970" s="21"/>
    </row>
    <row r="2971" spans="1:6" x14ac:dyDescent="0.25">
      <c r="A2971" s="21" t="s">
        <v>3007</v>
      </c>
      <c r="B2971" s="21" t="s">
        <v>22</v>
      </c>
      <c r="C2971" s="21">
        <v>50</v>
      </c>
      <c r="D2971" s="21">
        <v>1200</v>
      </c>
      <c r="E2971" s="21">
        <v>24</v>
      </c>
      <c r="F2971" s="21"/>
    </row>
    <row r="2972" spans="1:6" x14ac:dyDescent="0.25">
      <c r="A2972" s="21" t="s">
        <v>3008</v>
      </c>
      <c r="B2972" s="21" t="s">
        <v>22</v>
      </c>
      <c r="C2972" s="21">
        <v>50</v>
      </c>
      <c r="D2972" s="21">
        <v>1200</v>
      </c>
      <c r="E2972" s="21">
        <v>24</v>
      </c>
      <c r="F2972" s="21"/>
    </row>
    <row r="2973" spans="1:6" x14ac:dyDescent="0.25">
      <c r="A2973" s="21" t="s">
        <v>3009</v>
      </c>
      <c r="B2973" s="21" t="s">
        <v>22</v>
      </c>
      <c r="C2973" s="21">
        <v>8</v>
      </c>
      <c r="D2973" s="21">
        <v>96</v>
      </c>
      <c r="E2973" s="21">
        <v>12</v>
      </c>
      <c r="F2973" s="21"/>
    </row>
    <row r="2974" spans="1:6" x14ac:dyDescent="0.25">
      <c r="A2974" s="21" t="s">
        <v>3010</v>
      </c>
      <c r="B2974" s="21" t="s">
        <v>22</v>
      </c>
      <c r="C2974" s="21">
        <v>16</v>
      </c>
      <c r="D2974" s="21">
        <v>128</v>
      </c>
      <c r="E2974" s="21">
        <v>8</v>
      </c>
      <c r="F2974" s="21"/>
    </row>
    <row r="2975" spans="1:6" x14ac:dyDescent="0.25">
      <c r="A2975" s="21" t="s">
        <v>3011</v>
      </c>
      <c r="B2975" s="21" t="s">
        <v>22</v>
      </c>
      <c r="C2975" s="21">
        <v>12</v>
      </c>
      <c r="D2975" s="21">
        <v>192</v>
      </c>
      <c r="E2975" s="21">
        <v>16</v>
      </c>
      <c r="F2975" s="21"/>
    </row>
    <row r="2976" spans="1:6" x14ac:dyDescent="0.25">
      <c r="A2976" s="21" t="s">
        <v>3012</v>
      </c>
      <c r="B2976" s="21" t="s">
        <v>22</v>
      </c>
      <c r="C2976" s="21">
        <v>6</v>
      </c>
      <c r="D2976" s="21">
        <v>144</v>
      </c>
      <c r="E2976" s="21">
        <v>24</v>
      </c>
      <c r="F2976" s="21"/>
    </row>
    <row r="2977" spans="1:6" x14ac:dyDescent="0.25">
      <c r="A2977" s="21" t="s">
        <v>3013</v>
      </c>
      <c r="B2977" s="21" t="s">
        <v>22</v>
      </c>
      <c r="C2977" s="21">
        <v>16</v>
      </c>
      <c r="D2977" s="21">
        <v>128</v>
      </c>
      <c r="E2977" s="21">
        <v>8</v>
      </c>
      <c r="F2977" s="21"/>
    </row>
    <row r="2978" spans="1:6" x14ac:dyDescent="0.25">
      <c r="A2978" s="21" t="s">
        <v>3014</v>
      </c>
      <c r="B2978" s="21" t="s">
        <v>22</v>
      </c>
      <c r="C2978" s="21">
        <v>12</v>
      </c>
      <c r="D2978" s="21">
        <v>192</v>
      </c>
      <c r="E2978" s="21">
        <v>16</v>
      </c>
      <c r="F2978" s="21"/>
    </row>
    <row r="2979" spans="1:6" x14ac:dyDescent="0.25">
      <c r="A2979" s="21" t="s">
        <v>3015</v>
      </c>
      <c r="B2979" s="21" t="s">
        <v>22</v>
      </c>
      <c r="C2979" s="21">
        <v>12</v>
      </c>
      <c r="D2979" s="21">
        <v>180</v>
      </c>
      <c r="E2979" s="21">
        <v>15</v>
      </c>
      <c r="F2979" s="21"/>
    </row>
    <row r="2980" spans="1:6" x14ac:dyDescent="0.25">
      <c r="A2980" s="21" t="s">
        <v>3016</v>
      </c>
      <c r="B2980" s="21" t="s">
        <v>22</v>
      </c>
      <c r="C2980" s="21">
        <v>12</v>
      </c>
      <c r="D2980" s="21">
        <v>180</v>
      </c>
      <c r="E2980" s="21">
        <v>15</v>
      </c>
      <c r="F2980" s="21"/>
    </row>
    <row r="2981" spans="1:6" x14ac:dyDescent="0.25">
      <c r="A2981" s="21" t="s">
        <v>3017</v>
      </c>
      <c r="B2981" s="21" t="s">
        <v>22</v>
      </c>
      <c r="C2981" s="21">
        <v>12</v>
      </c>
      <c r="D2981" s="21">
        <v>180</v>
      </c>
      <c r="E2981" s="21">
        <v>15</v>
      </c>
      <c r="F2981" s="21"/>
    </row>
    <row r="2982" spans="1:6" x14ac:dyDescent="0.25">
      <c r="A2982" s="21" t="s">
        <v>3018</v>
      </c>
      <c r="B2982" s="21" t="s">
        <v>22</v>
      </c>
      <c r="C2982" s="21">
        <v>12</v>
      </c>
      <c r="D2982" s="21">
        <v>180</v>
      </c>
      <c r="E2982" s="21">
        <v>15</v>
      </c>
      <c r="F2982" s="21"/>
    </row>
    <row r="2983" spans="1:6" x14ac:dyDescent="0.25">
      <c r="A2983" s="21" t="s">
        <v>3019</v>
      </c>
      <c r="B2983" s="21" t="s">
        <v>586</v>
      </c>
      <c r="C2983" s="21">
        <v>6</v>
      </c>
      <c r="D2983" s="21">
        <v>216</v>
      </c>
      <c r="E2983" s="21">
        <v>36</v>
      </c>
      <c r="F2983" s="21"/>
    </row>
    <row r="2984" spans="1:6" x14ac:dyDescent="0.25">
      <c r="A2984" s="21" t="s">
        <v>3020</v>
      </c>
      <c r="B2984" s="21" t="s">
        <v>22</v>
      </c>
      <c r="C2984" s="21">
        <v>0</v>
      </c>
      <c r="D2984" s="52">
        <v>0</v>
      </c>
      <c r="E2984" s="21"/>
      <c r="F2984" s="21"/>
    </row>
    <row r="2985" spans="1:6" x14ac:dyDescent="0.25">
      <c r="A2985" s="21" t="s">
        <v>3021</v>
      </c>
      <c r="B2985" s="21" t="s">
        <v>22</v>
      </c>
      <c r="C2985" s="21">
        <v>60</v>
      </c>
      <c r="D2985" s="21">
        <v>1080</v>
      </c>
      <c r="E2985" s="21">
        <v>18</v>
      </c>
      <c r="F2985" s="21"/>
    </row>
    <row r="2986" spans="1:6" x14ac:dyDescent="0.25">
      <c r="A2986" s="21" t="s">
        <v>3022</v>
      </c>
      <c r="B2986" s="21" t="s">
        <v>22</v>
      </c>
      <c r="C2986" s="21">
        <v>60</v>
      </c>
      <c r="D2986" s="21">
        <v>840</v>
      </c>
      <c r="E2986" s="21">
        <v>14</v>
      </c>
      <c r="F2986" s="21"/>
    </row>
    <row r="2987" spans="1:6" x14ac:dyDescent="0.25">
      <c r="A2987" s="21" t="s">
        <v>3023</v>
      </c>
      <c r="B2987" s="21" t="s">
        <v>22</v>
      </c>
      <c r="C2987" s="21">
        <v>40</v>
      </c>
      <c r="D2987" s="21">
        <v>480</v>
      </c>
      <c r="E2987" s="21">
        <v>12</v>
      </c>
      <c r="F2987" s="21"/>
    </row>
    <row r="2988" spans="1:6" x14ac:dyDescent="0.25">
      <c r="A2988" s="21" t="s">
        <v>3024</v>
      </c>
      <c r="B2988" s="21" t="s">
        <v>22</v>
      </c>
      <c r="C2988" s="21">
        <v>0</v>
      </c>
      <c r="D2988" s="52">
        <v>0</v>
      </c>
      <c r="E2988" s="21"/>
      <c r="F2988" s="21"/>
    </row>
    <row r="2989" spans="1:6" x14ac:dyDescent="0.25">
      <c r="A2989" s="21" t="s">
        <v>3025</v>
      </c>
      <c r="B2989" s="21" t="s">
        <v>22</v>
      </c>
      <c r="C2989" s="21">
        <v>0</v>
      </c>
      <c r="D2989" s="52">
        <v>0</v>
      </c>
      <c r="E2989" s="21"/>
      <c r="F2989" s="21"/>
    </row>
    <row r="2990" spans="1:6" x14ac:dyDescent="0.25">
      <c r="A2990" s="21" t="s">
        <v>3026</v>
      </c>
      <c r="B2990" s="21" t="s">
        <v>22</v>
      </c>
      <c r="C2990" s="21">
        <v>0</v>
      </c>
      <c r="D2990" s="52">
        <v>0</v>
      </c>
      <c r="E2990" s="21"/>
      <c r="F2990" s="21"/>
    </row>
    <row r="2991" spans="1:6" x14ac:dyDescent="0.25">
      <c r="A2991" s="30" t="s">
        <v>3027</v>
      </c>
      <c r="B2991" s="30" t="s">
        <v>22</v>
      </c>
      <c r="C2991" s="30">
        <v>20</v>
      </c>
      <c r="D2991" s="30">
        <v>1000</v>
      </c>
      <c r="E2991" s="30">
        <v>50</v>
      </c>
      <c r="F2991" s="30"/>
    </row>
    <row r="2992" spans="1:6" x14ac:dyDescent="0.25">
      <c r="A2992" s="30" t="s">
        <v>3028</v>
      </c>
      <c r="B2992" s="30" t="s">
        <v>22</v>
      </c>
      <c r="C2992" s="30">
        <v>20</v>
      </c>
      <c r="D2992" s="30">
        <v>1000</v>
      </c>
      <c r="E2992" s="30">
        <v>50</v>
      </c>
      <c r="F2992" s="30"/>
    </row>
    <row r="2993" spans="1:6" x14ac:dyDescent="0.25">
      <c r="A2993" s="21" t="s">
        <v>3029</v>
      </c>
      <c r="B2993" s="21" t="s">
        <v>22</v>
      </c>
      <c r="C2993" s="21">
        <v>0</v>
      </c>
      <c r="D2993" s="52">
        <v>0</v>
      </c>
      <c r="E2993" s="21"/>
      <c r="F2993" s="21"/>
    </row>
    <row r="2994" spans="1:6" x14ac:dyDescent="0.25">
      <c r="A2994" s="21" t="s">
        <v>3030</v>
      </c>
      <c r="B2994" s="21" t="s">
        <v>22</v>
      </c>
      <c r="C2994" s="21">
        <v>0</v>
      </c>
      <c r="D2994" s="52">
        <v>0</v>
      </c>
      <c r="E2994" s="21"/>
      <c r="F2994" s="21"/>
    </row>
    <row r="2995" spans="1:6" x14ac:dyDescent="0.25">
      <c r="A2995" s="21" t="s">
        <v>3031</v>
      </c>
      <c r="B2995" s="21" t="s">
        <v>22</v>
      </c>
      <c r="C2995" s="21">
        <v>0</v>
      </c>
      <c r="D2995" s="52">
        <v>0</v>
      </c>
      <c r="E2995" s="21"/>
      <c r="F2995" s="21"/>
    </row>
    <row r="2996" spans="1:6" x14ac:dyDescent="0.25">
      <c r="A2996" s="21" t="s">
        <v>3032</v>
      </c>
      <c r="B2996" s="21" t="s">
        <v>22</v>
      </c>
      <c r="C2996" s="21">
        <v>0</v>
      </c>
      <c r="D2996" s="52">
        <v>0</v>
      </c>
      <c r="E2996" s="21"/>
      <c r="F2996" s="21"/>
    </row>
    <row r="2997" spans="1:6" x14ac:dyDescent="0.25">
      <c r="A2997" s="21" t="s">
        <v>3033</v>
      </c>
      <c r="B2997" s="21" t="s">
        <v>22</v>
      </c>
      <c r="C2997" s="21">
        <v>0</v>
      </c>
      <c r="D2997" s="52">
        <v>0</v>
      </c>
      <c r="E2997" s="21"/>
      <c r="F2997" s="21"/>
    </row>
    <row r="2998" spans="1:6" x14ac:dyDescent="0.25">
      <c r="A2998" s="21" t="s">
        <v>3034</v>
      </c>
      <c r="B2998" s="21" t="s">
        <v>22</v>
      </c>
      <c r="C2998" s="21">
        <v>20</v>
      </c>
      <c r="D2998" s="21">
        <v>160</v>
      </c>
      <c r="E2998" s="21">
        <v>8</v>
      </c>
      <c r="F2998" s="21"/>
    </row>
    <row r="2999" spans="1:6" x14ac:dyDescent="0.25">
      <c r="A2999" s="21" t="s">
        <v>3035</v>
      </c>
      <c r="B2999" s="21" t="s">
        <v>22</v>
      </c>
      <c r="C2999" s="21">
        <v>20</v>
      </c>
      <c r="D2999" s="21">
        <v>160</v>
      </c>
      <c r="E2999" s="21">
        <v>8</v>
      </c>
      <c r="F2999" s="21"/>
    </row>
    <row r="3000" spans="1:6" x14ac:dyDescent="0.25">
      <c r="A3000" s="21" t="s">
        <v>3036</v>
      </c>
      <c r="B3000" s="21" t="s">
        <v>22</v>
      </c>
      <c r="C3000" s="21">
        <v>20</v>
      </c>
      <c r="D3000" s="21">
        <v>160</v>
      </c>
      <c r="E3000" s="21">
        <v>8</v>
      </c>
      <c r="F3000" s="21"/>
    </row>
    <row r="3001" spans="1:6" x14ac:dyDescent="0.25">
      <c r="A3001" s="21" t="s">
        <v>3037</v>
      </c>
      <c r="B3001" s="21" t="s">
        <v>22</v>
      </c>
      <c r="C3001" s="21">
        <v>20</v>
      </c>
      <c r="D3001" s="21">
        <v>160</v>
      </c>
      <c r="E3001" s="21">
        <v>8</v>
      </c>
      <c r="F3001" s="21"/>
    </row>
    <row r="3002" spans="1:6" x14ac:dyDescent="0.25">
      <c r="A3002" s="21" t="s">
        <v>3038</v>
      </c>
      <c r="B3002" s="21" t="s">
        <v>22</v>
      </c>
      <c r="C3002" s="21">
        <v>10</v>
      </c>
      <c r="D3002" s="21">
        <v>210</v>
      </c>
      <c r="E3002" s="21">
        <v>21</v>
      </c>
      <c r="F3002" s="21"/>
    </row>
    <row r="3003" spans="1:6" x14ac:dyDescent="0.25">
      <c r="A3003" s="21" t="s">
        <v>3039</v>
      </c>
      <c r="B3003" s="21" t="s">
        <v>22</v>
      </c>
      <c r="C3003" s="21">
        <v>10</v>
      </c>
      <c r="D3003" s="21">
        <v>160</v>
      </c>
      <c r="E3003" s="21">
        <v>16</v>
      </c>
      <c r="F3003" s="21"/>
    </row>
    <row r="3004" spans="1:6" x14ac:dyDescent="0.25">
      <c r="A3004" s="21" t="s">
        <v>3040</v>
      </c>
      <c r="B3004" s="21" t="s">
        <v>22</v>
      </c>
      <c r="C3004" s="21">
        <v>10</v>
      </c>
      <c r="D3004" s="21">
        <v>160</v>
      </c>
      <c r="E3004" s="21">
        <v>16</v>
      </c>
      <c r="F3004" s="21"/>
    </row>
    <row r="3005" spans="1:6" x14ac:dyDescent="0.25">
      <c r="A3005" s="21" t="s">
        <v>3041</v>
      </c>
      <c r="B3005" s="21" t="s">
        <v>22</v>
      </c>
      <c r="C3005" s="21">
        <v>10</v>
      </c>
      <c r="D3005" s="21">
        <v>120</v>
      </c>
      <c r="E3005" s="21">
        <v>12</v>
      </c>
      <c r="F3005" s="21"/>
    </row>
    <row r="3006" spans="1:6" x14ac:dyDescent="0.25">
      <c r="A3006" s="21" t="s">
        <v>3042</v>
      </c>
      <c r="B3006" s="21" t="s">
        <v>22</v>
      </c>
      <c r="C3006" s="21">
        <v>6</v>
      </c>
      <c r="D3006" s="21">
        <v>108</v>
      </c>
      <c r="E3006" s="21">
        <v>18</v>
      </c>
      <c r="F3006" s="21"/>
    </row>
    <row r="3007" spans="1:6" x14ac:dyDescent="0.25">
      <c r="A3007" s="21" t="s">
        <v>3043</v>
      </c>
      <c r="B3007" s="21" t="s">
        <v>22</v>
      </c>
      <c r="C3007" s="21">
        <v>6</v>
      </c>
      <c r="D3007" s="21">
        <v>108</v>
      </c>
      <c r="E3007" s="21">
        <v>18</v>
      </c>
      <c r="F3007" s="21"/>
    </row>
    <row r="3008" spans="1:6" x14ac:dyDescent="0.25">
      <c r="A3008" s="21" t="s">
        <v>3044</v>
      </c>
      <c r="B3008" s="21" t="s">
        <v>22</v>
      </c>
      <c r="C3008" s="21">
        <v>6</v>
      </c>
      <c r="D3008" s="21">
        <v>108</v>
      </c>
      <c r="E3008" s="21">
        <v>18</v>
      </c>
      <c r="F3008" s="21"/>
    </row>
    <row r="3009" spans="1:6" x14ac:dyDescent="0.25">
      <c r="A3009" s="21" t="s">
        <v>3045</v>
      </c>
      <c r="B3009" s="21" t="s">
        <v>22</v>
      </c>
      <c r="C3009" s="21">
        <v>6</v>
      </c>
      <c r="D3009" s="21">
        <v>108</v>
      </c>
      <c r="E3009" s="21">
        <v>18</v>
      </c>
      <c r="F3009" s="21"/>
    </row>
    <row r="3010" spans="1:6" x14ac:dyDescent="0.25">
      <c r="A3010" s="21" t="s">
        <v>3046</v>
      </c>
      <c r="B3010" s="21" t="s">
        <v>22</v>
      </c>
      <c r="C3010" s="21">
        <v>6</v>
      </c>
      <c r="D3010" s="21">
        <v>72</v>
      </c>
      <c r="E3010" s="21">
        <v>12</v>
      </c>
      <c r="F3010" s="21"/>
    </row>
    <row r="3011" spans="1:6" x14ac:dyDescent="0.25">
      <c r="A3011" s="21" t="s">
        <v>3047</v>
      </c>
      <c r="B3011" s="21" t="s">
        <v>22</v>
      </c>
      <c r="C3011" s="21">
        <v>6</v>
      </c>
      <c r="D3011" s="21">
        <v>72</v>
      </c>
      <c r="E3011" s="21">
        <v>12</v>
      </c>
      <c r="F3011" s="21"/>
    </row>
    <row r="3012" spans="1:6" x14ac:dyDescent="0.25">
      <c r="A3012" s="21" t="s">
        <v>3048</v>
      </c>
      <c r="B3012" s="21" t="s">
        <v>22</v>
      </c>
      <c r="C3012" s="21">
        <v>6</v>
      </c>
      <c r="D3012" s="21">
        <v>72</v>
      </c>
      <c r="E3012" s="21">
        <v>12</v>
      </c>
      <c r="F3012" s="21"/>
    </row>
    <row r="3013" spans="1:6" x14ac:dyDescent="0.25">
      <c r="A3013" s="21" t="s">
        <v>3049</v>
      </c>
      <c r="B3013" s="21" t="s">
        <v>22</v>
      </c>
      <c r="C3013" s="21">
        <v>4</v>
      </c>
      <c r="D3013" s="21">
        <v>32</v>
      </c>
      <c r="E3013" s="21">
        <v>8</v>
      </c>
      <c r="F3013" s="21"/>
    </row>
    <row r="3014" spans="1:6" x14ac:dyDescent="0.25">
      <c r="A3014" s="21" t="s">
        <v>3050</v>
      </c>
      <c r="B3014" s="21" t="s">
        <v>22</v>
      </c>
      <c r="C3014" s="21">
        <v>4</v>
      </c>
      <c r="D3014" s="21">
        <v>32</v>
      </c>
      <c r="E3014" s="21">
        <v>8</v>
      </c>
      <c r="F3014" s="21"/>
    </row>
    <row r="3015" spans="1:6" x14ac:dyDescent="0.25">
      <c r="A3015" s="21" t="s">
        <v>3051</v>
      </c>
      <c r="B3015" s="21" t="s">
        <v>22</v>
      </c>
      <c r="C3015" s="21">
        <v>30</v>
      </c>
      <c r="D3015" s="21">
        <v>540</v>
      </c>
      <c r="E3015" s="21">
        <v>18</v>
      </c>
      <c r="F3015" s="21"/>
    </row>
    <row r="3016" spans="1:6" x14ac:dyDescent="0.25">
      <c r="A3016" s="21" t="s">
        <v>3052</v>
      </c>
      <c r="B3016" s="21" t="s">
        <v>22</v>
      </c>
      <c r="C3016" s="21">
        <v>30</v>
      </c>
      <c r="D3016" s="21">
        <v>540</v>
      </c>
      <c r="E3016" s="21">
        <v>18</v>
      </c>
      <c r="F3016" s="21"/>
    </row>
    <row r="3017" spans="1:6" x14ac:dyDescent="0.25">
      <c r="A3017" s="21" t="s">
        <v>3053</v>
      </c>
      <c r="B3017" s="21" t="s">
        <v>22</v>
      </c>
      <c r="C3017" s="21">
        <v>30</v>
      </c>
      <c r="D3017" s="21">
        <v>540</v>
      </c>
      <c r="E3017" s="21">
        <v>18</v>
      </c>
      <c r="F3017" s="21"/>
    </row>
    <row r="3018" spans="1:6" x14ac:dyDescent="0.25">
      <c r="A3018" s="21" t="s">
        <v>3054</v>
      </c>
      <c r="B3018" s="21" t="s">
        <v>22</v>
      </c>
      <c r="C3018" s="21">
        <v>4</v>
      </c>
      <c r="D3018" s="21">
        <v>40</v>
      </c>
      <c r="E3018" s="21">
        <v>10</v>
      </c>
      <c r="F3018" s="21"/>
    </row>
    <row r="3019" spans="1:6" x14ac:dyDescent="0.25">
      <c r="A3019" s="21" t="s">
        <v>3055</v>
      </c>
      <c r="B3019" s="21" t="s">
        <v>22</v>
      </c>
      <c r="C3019" s="21">
        <v>4</v>
      </c>
      <c r="D3019" s="21">
        <v>40</v>
      </c>
      <c r="E3019" s="21">
        <v>10</v>
      </c>
      <c r="F3019" s="21"/>
    </row>
    <row r="3020" spans="1:6" x14ac:dyDescent="0.25">
      <c r="A3020" s="21" t="s">
        <v>3056</v>
      </c>
      <c r="B3020" s="21" t="s">
        <v>22</v>
      </c>
      <c r="C3020" s="21">
        <v>3</v>
      </c>
      <c r="D3020" s="21">
        <v>36</v>
      </c>
      <c r="E3020" s="21">
        <v>12</v>
      </c>
      <c r="F3020" s="21"/>
    </row>
    <row r="3021" spans="1:6" x14ac:dyDescent="0.25">
      <c r="A3021" s="21" t="s">
        <v>3057</v>
      </c>
      <c r="B3021" s="21" t="s">
        <v>22</v>
      </c>
      <c r="C3021" s="21">
        <v>3</v>
      </c>
      <c r="D3021" s="21">
        <v>36</v>
      </c>
      <c r="E3021" s="21">
        <v>12</v>
      </c>
      <c r="F3021" s="21"/>
    </row>
    <row r="3022" spans="1:6" x14ac:dyDescent="0.25">
      <c r="A3022" s="21" t="s">
        <v>3058</v>
      </c>
      <c r="B3022" s="21" t="s">
        <v>22</v>
      </c>
      <c r="C3022" s="21">
        <v>20</v>
      </c>
      <c r="D3022" s="21">
        <v>240</v>
      </c>
      <c r="E3022" s="21">
        <v>12</v>
      </c>
      <c r="F3022" s="21"/>
    </row>
    <row r="3023" spans="1:6" x14ac:dyDescent="0.25">
      <c r="A3023" s="21" t="s">
        <v>3059</v>
      </c>
      <c r="B3023" s="21" t="s">
        <v>22</v>
      </c>
      <c r="C3023" s="21">
        <v>20</v>
      </c>
      <c r="D3023" s="21">
        <v>240</v>
      </c>
      <c r="E3023" s="21">
        <v>12</v>
      </c>
      <c r="F3023" s="21"/>
    </row>
    <row r="3024" spans="1:6" x14ac:dyDescent="0.25">
      <c r="A3024" s="21" t="s">
        <v>3060</v>
      </c>
      <c r="B3024" s="21" t="s">
        <v>22</v>
      </c>
      <c r="C3024" s="21">
        <v>20</v>
      </c>
      <c r="D3024" s="21">
        <v>240</v>
      </c>
      <c r="E3024" s="21">
        <v>12</v>
      </c>
      <c r="F3024" s="21"/>
    </row>
    <row r="3025" spans="1:6" x14ac:dyDescent="0.25">
      <c r="A3025" s="21" t="s">
        <v>3061</v>
      </c>
      <c r="B3025" s="21" t="s">
        <v>22</v>
      </c>
      <c r="C3025" s="21">
        <v>3</v>
      </c>
      <c r="D3025" s="21">
        <v>27</v>
      </c>
      <c r="E3025" s="21">
        <v>9</v>
      </c>
      <c r="F3025" s="21"/>
    </row>
    <row r="3026" spans="1:6" x14ac:dyDescent="0.25">
      <c r="A3026" s="21" t="s">
        <v>3062</v>
      </c>
      <c r="B3026" s="21" t="s">
        <v>22</v>
      </c>
      <c r="C3026" s="21">
        <v>3</v>
      </c>
      <c r="D3026" s="21">
        <v>27</v>
      </c>
      <c r="E3026" s="21">
        <v>9</v>
      </c>
      <c r="F3026" s="21"/>
    </row>
    <row r="3027" spans="1:6" x14ac:dyDescent="0.25">
      <c r="A3027" s="21" t="s">
        <v>3063</v>
      </c>
      <c r="B3027" s="21" t="s">
        <v>22</v>
      </c>
      <c r="C3027" s="21">
        <v>20</v>
      </c>
      <c r="D3027" s="21">
        <v>900</v>
      </c>
      <c r="E3027" s="21">
        <v>45</v>
      </c>
      <c r="F3027" s="21"/>
    </row>
    <row r="3028" spans="1:6" x14ac:dyDescent="0.25">
      <c r="A3028" s="21" t="s">
        <v>3064</v>
      </c>
      <c r="B3028" s="21" t="s">
        <v>22</v>
      </c>
      <c r="C3028" s="21">
        <v>20</v>
      </c>
      <c r="D3028" s="21">
        <v>900</v>
      </c>
      <c r="E3028" s="21">
        <v>45</v>
      </c>
      <c r="F3028" s="21"/>
    </row>
    <row r="3029" spans="1:6" x14ac:dyDescent="0.25">
      <c r="A3029" s="21" t="s">
        <v>3065</v>
      </c>
      <c r="B3029" s="21" t="s">
        <v>22</v>
      </c>
      <c r="C3029" s="21">
        <v>20</v>
      </c>
      <c r="D3029" s="21">
        <v>720</v>
      </c>
      <c r="E3029" s="21">
        <v>36</v>
      </c>
      <c r="F3029" s="21"/>
    </row>
    <row r="3030" spans="1:6" x14ac:dyDescent="0.25">
      <c r="A3030" s="21" t="s">
        <v>3066</v>
      </c>
      <c r="B3030" s="21" t="s">
        <v>22</v>
      </c>
      <c r="C3030" s="21">
        <v>20</v>
      </c>
      <c r="D3030" s="21">
        <v>720</v>
      </c>
      <c r="E3030" s="21">
        <v>36</v>
      </c>
      <c r="F3030" s="21"/>
    </row>
    <row r="3031" spans="1:6" x14ac:dyDescent="0.25">
      <c r="A3031" s="21" t="s">
        <v>3067</v>
      </c>
      <c r="B3031" s="21" t="s">
        <v>22</v>
      </c>
      <c r="C3031" s="21">
        <v>20</v>
      </c>
      <c r="D3031" s="21">
        <v>720</v>
      </c>
      <c r="E3031" s="21">
        <v>36</v>
      </c>
      <c r="F3031" s="21"/>
    </row>
    <row r="3032" spans="1:6" x14ac:dyDescent="0.25">
      <c r="A3032" s="21" t="s">
        <v>3068</v>
      </c>
      <c r="B3032" s="21" t="s">
        <v>22</v>
      </c>
      <c r="C3032" s="21">
        <v>20</v>
      </c>
      <c r="D3032" s="21">
        <v>720</v>
      </c>
      <c r="E3032" s="21">
        <v>36</v>
      </c>
      <c r="F3032" s="21"/>
    </row>
    <row r="3033" spans="1:6" x14ac:dyDescent="0.25">
      <c r="A3033" s="21" t="s">
        <v>3069</v>
      </c>
      <c r="B3033" s="21" t="s">
        <v>22</v>
      </c>
      <c r="C3033" s="21">
        <v>10</v>
      </c>
      <c r="D3033" s="21">
        <v>780</v>
      </c>
      <c r="E3033" s="21">
        <v>78</v>
      </c>
      <c r="F3033" s="21"/>
    </row>
    <row r="3034" spans="1:6" x14ac:dyDescent="0.25">
      <c r="A3034" s="21" t="s">
        <v>3070</v>
      </c>
      <c r="B3034" s="21" t="s">
        <v>22</v>
      </c>
      <c r="C3034" s="21">
        <v>10</v>
      </c>
      <c r="D3034" s="21">
        <v>780</v>
      </c>
      <c r="E3034" s="21">
        <v>78</v>
      </c>
      <c r="F3034" s="21"/>
    </row>
    <row r="3035" spans="1:6" x14ac:dyDescent="0.25">
      <c r="A3035" s="21" t="s">
        <v>3071</v>
      </c>
      <c r="B3035" s="21" t="s">
        <v>22</v>
      </c>
      <c r="C3035" s="21">
        <v>10</v>
      </c>
      <c r="D3035" s="21">
        <v>780</v>
      </c>
      <c r="E3035" s="21">
        <v>78</v>
      </c>
      <c r="F3035" s="21"/>
    </row>
    <row r="3036" spans="1:6" x14ac:dyDescent="0.25">
      <c r="A3036" s="21" t="s">
        <v>3072</v>
      </c>
      <c r="B3036" s="21" t="s">
        <v>22</v>
      </c>
      <c r="C3036" s="21">
        <v>8</v>
      </c>
      <c r="D3036" s="21">
        <v>520</v>
      </c>
      <c r="E3036" s="21">
        <v>65</v>
      </c>
      <c r="F3036" s="21"/>
    </row>
    <row r="3037" spans="1:6" x14ac:dyDescent="0.25">
      <c r="A3037" s="21" t="s">
        <v>3073</v>
      </c>
      <c r="B3037" s="21" t="s">
        <v>22</v>
      </c>
      <c r="C3037" s="21">
        <v>8</v>
      </c>
      <c r="D3037" s="21">
        <v>520</v>
      </c>
      <c r="E3037" s="21">
        <v>65</v>
      </c>
      <c r="F3037" s="21"/>
    </row>
    <row r="3038" spans="1:6" x14ac:dyDescent="0.25">
      <c r="A3038" s="21" t="s">
        <v>3074</v>
      </c>
      <c r="B3038" s="21" t="s">
        <v>22</v>
      </c>
      <c r="C3038" s="21">
        <v>8</v>
      </c>
      <c r="D3038" s="21">
        <v>520</v>
      </c>
      <c r="E3038" s="21">
        <v>65</v>
      </c>
      <c r="F3038" s="21"/>
    </row>
    <row r="3039" spans="1:6" x14ac:dyDescent="0.25">
      <c r="A3039" s="21" t="s">
        <v>3075</v>
      </c>
      <c r="B3039" s="21" t="s">
        <v>22</v>
      </c>
      <c r="C3039" s="21">
        <v>8</v>
      </c>
      <c r="D3039" s="21">
        <v>520</v>
      </c>
      <c r="E3039" s="21">
        <v>65</v>
      </c>
      <c r="F3039" s="21"/>
    </row>
    <row r="3040" spans="1:6" x14ac:dyDescent="0.25">
      <c r="A3040" s="21" t="s">
        <v>3076</v>
      </c>
      <c r="B3040" s="21" t="s">
        <v>22</v>
      </c>
      <c r="C3040" s="21">
        <v>8</v>
      </c>
      <c r="D3040" s="21">
        <v>520</v>
      </c>
      <c r="E3040" s="21">
        <v>65</v>
      </c>
      <c r="F3040" s="21"/>
    </row>
    <row r="3041" spans="1:6" x14ac:dyDescent="0.25">
      <c r="A3041" s="21" t="s">
        <v>3077</v>
      </c>
      <c r="B3041" s="21" t="s">
        <v>22</v>
      </c>
      <c r="C3041" s="21">
        <v>8</v>
      </c>
      <c r="D3041" s="21">
        <v>520</v>
      </c>
      <c r="E3041" s="21">
        <v>65</v>
      </c>
      <c r="F3041" s="21"/>
    </row>
    <row r="3042" spans="1:6" x14ac:dyDescent="0.25">
      <c r="A3042" s="21" t="s">
        <v>3078</v>
      </c>
      <c r="B3042" s="21" t="s">
        <v>22</v>
      </c>
      <c r="C3042" s="21">
        <v>8</v>
      </c>
      <c r="D3042" s="21">
        <v>520</v>
      </c>
      <c r="E3042" s="21">
        <v>65</v>
      </c>
      <c r="F3042" s="21"/>
    </row>
    <row r="3043" spans="1:6" x14ac:dyDescent="0.25">
      <c r="A3043" s="21" t="s">
        <v>3079</v>
      </c>
      <c r="B3043" s="21" t="s">
        <v>22</v>
      </c>
      <c r="C3043" s="21">
        <v>8</v>
      </c>
      <c r="D3043" s="21">
        <v>520</v>
      </c>
      <c r="E3043" s="21">
        <v>65</v>
      </c>
      <c r="F3043" s="21"/>
    </row>
    <row r="3044" spans="1:6" x14ac:dyDescent="0.25">
      <c r="A3044" s="21" t="s">
        <v>3080</v>
      </c>
      <c r="B3044" s="21" t="s">
        <v>22</v>
      </c>
      <c r="C3044" s="21">
        <v>8</v>
      </c>
      <c r="D3044" s="21">
        <v>520</v>
      </c>
      <c r="E3044" s="21">
        <v>65</v>
      </c>
      <c r="F3044" s="21"/>
    </row>
    <row r="3045" spans="1:6" x14ac:dyDescent="0.25">
      <c r="A3045" s="21" t="s">
        <v>3081</v>
      </c>
      <c r="B3045" s="21" t="s">
        <v>22</v>
      </c>
      <c r="C3045" s="21">
        <v>10</v>
      </c>
      <c r="D3045" s="21">
        <v>420</v>
      </c>
      <c r="E3045" s="21">
        <v>42</v>
      </c>
      <c r="F3045" s="21"/>
    </row>
    <row r="3046" spans="1:6" x14ac:dyDescent="0.25">
      <c r="A3046" s="21" t="s">
        <v>3082</v>
      </c>
      <c r="B3046" s="21" t="s">
        <v>22</v>
      </c>
      <c r="C3046" s="21">
        <v>10</v>
      </c>
      <c r="D3046" s="21">
        <v>420</v>
      </c>
      <c r="E3046" s="21">
        <v>42</v>
      </c>
      <c r="F3046" s="21"/>
    </row>
    <row r="3047" spans="1:6" x14ac:dyDescent="0.25">
      <c r="A3047" s="21" t="s">
        <v>3083</v>
      </c>
      <c r="B3047" s="21" t="s">
        <v>22</v>
      </c>
      <c r="C3047" s="21">
        <v>10</v>
      </c>
      <c r="D3047" s="21">
        <v>420</v>
      </c>
      <c r="E3047" s="21">
        <v>42</v>
      </c>
      <c r="F3047" s="21"/>
    </row>
    <row r="3048" spans="1:6" x14ac:dyDescent="0.25">
      <c r="A3048" s="21" t="s">
        <v>3084</v>
      </c>
      <c r="B3048" s="21" t="s">
        <v>22</v>
      </c>
      <c r="C3048" s="21">
        <v>10</v>
      </c>
      <c r="D3048" s="21">
        <v>900</v>
      </c>
      <c r="E3048" s="21">
        <v>90</v>
      </c>
      <c r="F3048" s="21"/>
    </row>
    <row r="3049" spans="1:6" x14ac:dyDescent="0.25">
      <c r="A3049" s="21" t="s">
        <v>3085</v>
      </c>
      <c r="B3049" s="21" t="s">
        <v>22</v>
      </c>
      <c r="C3049" s="21">
        <v>10</v>
      </c>
      <c r="D3049" s="21">
        <v>900</v>
      </c>
      <c r="E3049" s="21">
        <v>90</v>
      </c>
      <c r="F3049" s="21"/>
    </row>
    <row r="3050" spans="1:6" x14ac:dyDescent="0.25">
      <c r="A3050" s="21" t="s">
        <v>3086</v>
      </c>
      <c r="B3050" s="21" t="s">
        <v>22</v>
      </c>
      <c r="C3050" s="21">
        <v>10</v>
      </c>
      <c r="D3050" s="21">
        <v>900</v>
      </c>
      <c r="E3050" s="21">
        <v>90</v>
      </c>
      <c r="F3050" s="21"/>
    </row>
    <row r="3051" spans="1:6" x14ac:dyDescent="0.25">
      <c r="A3051" s="21" t="s">
        <v>3087</v>
      </c>
      <c r="B3051" s="21" t="s">
        <v>22</v>
      </c>
      <c r="C3051" s="21">
        <v>10</v>
      </c>
      <c r="D3051" s="21">
        <v>360</v>
      </c>
      <c r="E3051" s="21">
        <v>36</v>
      </c>
      <c r="F3051" s="21"/>
    </row>
    <row r="3052" spans="1:6" x14ac:dyDescent="0.25">
      <c r="A3052" s="21" t="s">
        <v>3088</v>
      </c>
      <c r="B3052" s="21" t="s">
        <v>22</v>
      </c>
      <c r="C3052" s="21">
        <v>10</v>
      </c>
      <c r="D3052" s="21">
        <v>360</v>
      </c>
      <c r="E3052" s="21">
        <v>36</v>
      </c>
      <c r="F3052" s="21"/>
    </row>
    <row r="3053" spans="1:6" x14ac:dyDescent="0.25">
      <c r="A3053" s="21" t="s">
        <v>3089</v>
      </c>
      <c r="B3053" s="21" t="s">
        <v>22</v>
      </c>
      <c r="C3053" s="21">
        <v>10</v>
      </c>
      <c r="D3053" s="21">
        <v>360</v>
      </c>
      <c r="E3053" s="21">
        <v>36</v>
      </c>
      <c r="F3053" s="21"/>
    </row>
    <row r="3054" spans="1:6" x14ac:dyDescent="0.25">
      <c r="A3054" s="21" t="s">
        <v>3090</v>
      </c>
      <c r="B3054" s="21" t="s">
        <v>22</v>
      </c>
      <c r="C3054" s="21">
        <v>20</v>
      </c>
      <c r="D3054" s="21">
        <v>900</v>
      </c>
      <c r="E3054" s="21">
        <v>45</v>
      </c>
      <c r="F3054" s="21"/>
    </row>
    <row r="3055" spans="1:6" x14ac:dyDescent="0.25">
      <c r="A3055" s="21" t="s">
        <v>3091</v>
      </c>
      <c r="B3055" s="21" t="s">
        <v>22</v>
      </c>
      <c r="C3055" s="21">
        <v>20</v>
      </c>
      <c r="D3055" s="21">
        <v>900</v>
      </c>
      <c r="E3055" s="21">
        <v>45</v>
      </c>
      <c r="F3055" s="21"/>
    </row>
    <row r="3056" spans="1:6" x14ac:dyDescent="0.25">
      <c r="A3056" s="21" t="s">
        <v>3092</v>
      </c>
      <c r="B3056" s="21" t="s">
        <v>22</v>
      </c>
      <c r="C3056" s="21">
        <v>20</v>
      </c>
      <c r="D3056" s="21">
        <v>900</v>
      </c>
      <c r="E3056" s="21">
        <v>45</v>
      </c>
      <c r="F3056" s="21"/>
    </row>
    <row r="3057" spans="1:6" x14ac:dyDescent="0.25">
      <c r="A3057" s="21" t="s">
        <v>3093</v>
      </c>
      <c r="B3057" s="21" t="s">
        <v>22</v>
      </c>
      <c r="C3057" s="21">
        <v>20</v>
      </c>
      <c r="D3057" s="21">
        <v>900</v>
      </c>
      <c r="E3057" s="21">
        <v>45</v>
      </c>
      <c r="F3057" s="21"/>
    </row>
    <row r="3058" spans="1:6" x14ac:dyDescent="0.25">
      <c r="A3058" s="21" t="s">
        <v>3094</v>
      </c>
      <c r="B3058" s="21" t="s">
        <v>22</v>
      </c>
      <c r="C3058" s="21">
        <v>20</v>
      </c>
      <c r="D3058" s="21">
        <v>900</v>
      </c>
      <c r="E3058" s="21">
        <v>45</v>
      </c>
      <c r="F3058" s="21"/>
    </row>
    <row r="3059" spans="1:6" x14ac:dyDescent="0.25">
      <c r="A3059" s="21" t="s">
        <v>3095</v>
      </c>
      <c r="B3059" s="21" t="s">
        <v>22</v>
      </c>
      <c r="C3059" s="21">
        <v>20</v>
      </c>
      <c r="D3059" s="21">
        <v>900</v>
      </c>
      <c r="E3059" s="21">
        <v>45</v>
      </c>
      <c r="F3059" s="21"/>
    </row>
    <row r="3060" spans="1:6" x14ac:dyDescent="0.25">
      <c r="A3060" s="21" t="s">
        <v>3096</v>
      </c>
      <c r="B3060" s="21" t="s">
        <v>22</v>
      </c>
      <c r="C3060" s="21">
        <v>20</v>
      </c>
      <c r="D3060" s="21">
        <v>720</v>
      </c>
      <c r="E3060" s="21">
        <v>36</v>
      </c>
      <c r="F3060" s="21"/>
    </row>
    <row r="3061" spans="1:6" x14ac:dyDescent="0.25">
      <c r="A3061" s="21" t="s">
        <v>3097</v>
      </c>
      <c r="B3061" s="21" t="s">
        <v>22</v>
      </c>
      <c r="C3061" s="21">
        <v>20</v>
      </c>
      <c r="D3061" s="21">
        <v>720</v>
      </c>
      <c r="E3061" s="21">
        <v>36</v>
      </c>
      <c r="F3061" s="21"/>
    </row>
    <row r="3062" spans="1:6" x14ac:dyDescent="0.25">
      <c r="A3062" s="21" t="s">
        <v>3098</v>
      </c>
      <c r="B3062" s="21" t="s">
        <v>22</v>
      </c>
      <c r="C3062" s="21">
        <v>20</v>
      </c>
      <c r="D3062" s="21">
        <v>720</v>
      </c>
      <c r="E3062" s="21">
        <v>36</v>
      </c>
      <c r="F3062" s="21"/>
    </row>
    <row r="3063" spans="1:6" x14ac:dyDescent="0.25">
      <c r="A3063" s="21" t="s">
        <v>3099</v>
      </c>
      <c r="B3063" s="21" t="s">
        <v>22</v>
      </c>
      <c r="C3063" s="21">
        <v>10</v>
      </c>
      <c r="D3063" s="21">
        <v>780</v>
      </c>
      <c r="E3063" s="21">
        <v>78</v>
      </c>
      <c r="F3063" s="21"/>
    </row>
    <row r="3064" spans="1:6" x14ac:dyDescent="0.25">
      <c r="A3064" s="21" t="s">
        <v>3100</v>
      </c>
      <c r="B3064" s="21" t="s">
        <v>22</v>
      </c>
      <c r="C3064" s="21">
        <v>10</v>
      </c>
      <c r="D3064" s="21">
        <v>780</v>
      </c>
      <c r="E3064" s="21">
        <v>78</v>
      </c>
      <c r="F3064" s="21"/>
    </row>
    <row r="3065" spans="1:6" x14ac:dyDescent="0.25">
      <c r="A3065" s="21" t="s">
        <v>3101</v>
      </c>
      <c r="B3065" s="21" t="s">
        <v>22</v>
      </c>
      <c r="C3065" s="21">
        <v>10</v>
      </c>
      <c r="D3065" s="21">
        <v>780</v>
      </c>
      <c r="E3065" s="21">
        <v>78</v>
      </c>
      <c r="F3065" s="21"/>
    </row>
    <row r="3066" spans="1:6" x14ac:dyDescent="0.25">
      <c r="A3066" s="21" t="s">
        <v>3102</v>
      </c>
      <c r="B3066" s="21" t="s">
        <v>22</v>
      </c>
      <c r="C3066" s="21">
        <v>8</v>
      </c>
      <c r="D3066" s="21">
        <v>520</v>
      </c>
      <c r="E3066" s="21">
        <v>65</v>
      </c>
      <c r="F3066" s="21"/>
    </row>
    <row r="3067" spans="1:6" x14ac:dyDescent="0.25">
      <c r="A3067" s="21" t="s">
        <v>3103</v>
      </c>
      <c r="B3067" s="21" t="s">
        <v>22</v>
      </c>
      <c r="C3067" s="21">
        <v>8</v>
      </c>
      <c r="D3067" s="21">
        <v>520</v>
      </c>
      <c r="E3067" s="21">
        <v>65</v>
      </c>
      <c r="F3067" s="21"/>
    </row>
    <row r="3068" spans="1:6" x14ac:dyDescent="0.25">
      <c r="A3068" s="21" t="s">
        <v>3104</v>
      </c>
      <c r="B3068" s="21" t="s">
        <v>22</v>
      </c>
      <c r="C3068" s="21">
        <v>8</v>
      </c>
      <c r="D3068" s="21">
        <v>520</v>
      </c>
      <c r="E3068" s="21">
        <v>65</v>
      </c>
      <c r="F3068" s="21"/>
    </row>
    <row r="3069" spans="1:6" x14ac:dyDescent="0.25">
      <c r="A3069" s="21" t="s">
        <v>3105</v>
      </c>
      <c r="B3069" s="21" t="s">
        <v>22</v>
      </c>
      <c r="C3069" s="21">
        <v>8</v>
      </c>
      <c r="D3069" s="21">
        <v>520</v>
      </c>
      <c r="E3069" s="21">
        <v>65</v>
      </c>
      <c r="F3069" s="21"/>
    </row>
    <row r="3070" spans="1:6" x14ac:dyDescent="0.25">
      <c r="A3070" s="21" t="s">
        <v>3106</v>
      </c>
      <c r="B3070" s="21" t="s">
        <v>22</v>
      </c>
      <c r="C3070" s="21">
        <v>8</v>
      </c>
      <c r="D3070" s="21">
        <v>520</v>
      </c>
      <c r="E3070" s="21">
        <v>65</v>
      </c>
      <c r="F3070" s="21"/>
    </row>
    <row r="3071" spans="1:6" x14ac:dyDescent="0.25">
      <c r="A3071" s="21" t="s">
        <v>3107</v>
      </c>
      <c r="B3071" s="21" t="s">
        <v>22</v>
      </c>
      <c r="C3071" s="21">
        <v>8</v>
      </c>
      <c r="D3071" s="21">
        <v>520</v>
      </c>
      <c r="E3071" s="21">
        <v>65</v>
      </c>
      <c r="F3071" s="21"/>
    </row>
    <row r="3072" spans="1:6" x14ac:dyDescent="0.25">
      <c r="A3072" s="21" t="s">
        <v>3108</v>
      </c>
      <c r="B3072" s="21" t="s">
        <v>22</v>
      </c>
      <c r="C3072" s="21">
        <v>8</v>
      </c>
      <c r="D3072" s="21">
        <v>520</v>
      </c>
      <c r="E3072" s="21">
        <v>65</v>
      </c>
      <c r="F3072" s="21"/>
    </row>
    <row r="3073" spans="1:6" x14ac:dyDescent="0.25">
      <c r="A3073" s="21" t="s">
        <v>3109</v>
      </c>
      <c r="B3073" s="21" t="s">
        <v>22</v>
      </c>
      <c r="C3073" s="21">
        <v>8</v>
      </c>
      <c r="D3073" s="21">
        <v>520</v>
      </c>
      <c r="E3073" s="21">
        <v>65</v>
      </c>
      <c r="F3073" s="21"/>
    </row>
    <row r="3074" spans="1:6" x14ac:dyDescent="0.25">
      <c r="A3074" s="21" t="s">
        <v>3110</v>
      </c>
      <c r="B3074" s="21" t="s">
        <v>22</v>
      </c>
      <c r="C3074" s="21">
        <v>8</v>
      </c>
      <c r="D3074" s="21">
        <v>520</v>
      </c>
      <c r="E3074" s="21">
        <v>65</v>
      </c>
      <c r="F3074" s="21"/>
    </row>
    <row r="3075" spans="1:6" x14ac:dyDescent="0.25">
      <c r="A3075" s="21" t="s">
        <v>3111</v>
      </c>
      <c r="B3075" s="21" t="s">
        <v>22</v>
      </c>
      <c r="C3075" s="21">
        <v>8</v>
      </c>
      <c r="D3075" s="21">
        <v>520</v>
      </c>
      <c r="E3075" s="21">
        <v>65</v>
      </c>
      <c r="F3075" s="21"/>
    </row>
    <row r="3076" spans="1:6" x14ac:dyDescent="0.25">
      <c r="A3076" s="21" t="s">
        <v>3112</v>
      </c>
      <c r="B3076" s="21" t="s">
        <v>22</v>
      </c>
      <c r="C3076" s="21">
        <v>8</v>
      </c>
      <c r="D3076" s="21">
        <v>520</v>
      </c>
      <c r="E3076" s="21">
        <v>65</v>
      </c>
      <c r="F3076" s="21"/>
    </row>
    <row r="3077" spans="1:6" x14ac:dyDescent="0.25">
      <c r="A3077" s="21" t="s">
        <v>3113</v>
      </c>
      <c r="B3077" s="21" t="s">
        <v>22</v>
      </c>
      <c r="C3077" s="21">
        <v>10</v>
      </c>
      <c r="D3077" s="21">
        <v>420</v>
      </c>
      <c r="E3077" s="21">
        <v>42</v>
      </c>
      <c r="F3077" s="21"/>
    </row>
    <row r="3078" spans="1:6" x14ac:dyDescent="0.25">
      <c r="A3078" s="21" t="s">
        <v>3114</v>
      </c>
      <c r="B3078" s="21" t="s">
        <v>22</v>
      </c>
      <c r="C3078" s="21">
        <v>10</v>
      </c>
      <c r="D3078" s="21">
        <v>420</v>
      </c>
      <c r="E3078" s="21">
        <v>42</v>
      </c>
      <c r="F3078" s="21"/>
    </row>
    <row r="3079" spans="1:6" x14ac:dyDescent="0.25">
      <c r="A3079" s="21" t="s">
        <v>3115</v>
      </c>
      <c r="B3079" s="21" t="s">
        <v>22</v>
      </c>
      <c r="C3079" s="21">
        <v>10</v>
      </c>
      <c r="D3079" s="21">
        <v>420</v>
      </c>
      <c r="E3079" s="21">
        <v>42</v>
      </c>
      <c r="F3079" s="21"/>
    </row>
    <row r="3080" spans="1:6" x14ac:dyDescent="0.25">
      <c r="A3080" s="21" t="s">
        <v>3116</v>
      </c>
      <c r="B3080" s="21" t="s">
        <v>22</v>
      </c>
      <c r="C3080" s="21">
        <v>10</v>
      </c>
      <c r="D3080" s="21">
        <v>900</v>
      </c>
      <c r="E3080" s="21">
        <v>90</v>
      </c>
      <c r="F3080" s="21"/>
    </row>
    <row r="3081" spans="1:6" x14ac:dyDescent="0.25">
      <c r="A3081" s="21" t="s">
        <v>3117</v>
      </c>
      <c r="B3081" s="21" t="s">
        <v>22</v>
      </c>
      <c r="C3081" s="21">
        <v>10</v>
      </c>
      <c r="D3081" s="21">
        <v>900</v>
      </c>
      <c r="E3081" s="21">
        <v>90</v>
      </c>
      <c r="F3081" s="21"/>
    </row>
    <row r="3082" spans="1:6" x14ac:dyDescent="0.25">
      <c r="A3082" s="21" t="s">
        <v>3118</v>
      </c>
      <c r="B3082" s="21" t="s">
        <v>22</v>
      </c>
      <c r="C3082" s="21">
        <v>10</v>
      </c>
      <c r="D3082" s="21">
        <v>900</v>
      </c>
      <c r="E3082" s="21">
        <v>90</v>
      </c>
      <c r="F3082" s="21"/>
    </row>
    <row r="3083" spans="1:6" x14ac:dyDescent="0.25">
      <c r="A3083" s="21" t="s">
        <v>3119</v>
      </c>
      <c r="B3083" s="21" t="s">
        <v>22</v>
      </c>
      <c r="C3083" s="21">
        <v>10</v>
      </c>
      <c r="D3083" s="21">
        <v>360</v>
      </c>
      <c r="E3083" s="21">
        <v>36</v>
      </c>
      <c r="F3083" s="21"/>
    </row>
    <row r="3084" spans="1:6" x14ac:dyDescent="0.25">
      <c r="A3084" s="21" t="s">
        <v>3120</v>
      </c>
      <c r="B3084" s="21" t="s">
        <v>22</v>
      </c>
      <c r="C3084" s="21">
        <v>10</v>
      </c>
      <c r="D3084" s="21">
        <v>360</v>
      </c>
      <c r="E3084" s="21">
        <v>36</v>
      </c>
      <c r="F3084" s="21"/>
    </row>
    <row r="3085" spans="1:6" x14ac:dyDescent="0.25">
      <c r="A3085" s="21" t="s">
        <v>3121</v>
      </c>
      <c r="B3085" s="21" t="s">
        <v>22</v>
      </c>
      <c r="C3085" s="21">
        <v>10</v>
      </c>
      <c r="D3085" s="21">
        <v>360</v>
      </c>
      <c r="E3085" s="21">
        <v>36</v>
      </c>
      <c r="F3085" s="21"/>
    </row>
    <row r="3086" spans="1:6" x14ac:dyDescent="0.25">
      <c r="A3086" s="21" t="s">
        <v>3122</v>
      </c>
      <c r="B3086" s="21" t="s">
        <v>22</v>
      </c>
      <c r="C3086" s="21">
        <v>20</v>
      </c>
      <c r="D3086" s="21">
        <v>720</v>
      </c>
      <c r="E3086" s="21">
        <v>36</v>
      </c>
      <c r="F3086" s="21"/>
    </row>
    <row r="3087" spans="1:6" x14ac:dyDescent="0.25">
      <c r="A3087" s="21" t="s">
        <v>3123</v>
      </c>
      <c r="B3087" s="21" t="s">
        <v>22</v>
      </c>
      <c r="C3087" s="21">
        <v>20</v>
      </c>
      <c r="D3087" s="21">
        <v>720</v>
      </c>
      <c r="E3087" s="21">
        <v>36</v>
      </c>
      <c r="F3087" s="21"/>
    </row>
    <row r="3088" spans="1:6" x14ac:dyDescent="0.25">
      <c r="A3088" s="21" t="s">
        <v>3124</v>
      </c>
      <c r="B3088" s="21" t="s">
        <v>22</v>
      </c>
      <c r="C3088" s="21">
        <v>20</v>
      </c>
      <c r="D3088" s="21">
        <v>720</v>
      </c>
      <c r="E3088" s="21">
        <v>36</v>
      </c>
      <c r="F3088" s="21"/>
    </row>
    <row r="3089" spans="1:6" x14ac:dyDescent="0.25">
      <c r="A3089" s="21" t="s">
        <v>3125</v>
      </c>
      <c r="B3089" s="21" t="s">
        <v>22</v>
      </c>
      <c r="C3089" s="21">
        <v>1</v>
      </c>
      <c r="D3089" s="21">
        <v>1</v>
      </c>
      <c r="E3089" s="21">
        <v>1</v>
      </c>
      <c r="F3089" s="21"/>
    </row>
    <row r="3090" spans="1:6" x14ac:dyDescent="0.25">
      <c r="A3090" s="21" t="s">
        <v>3126</v>
      </c>
      <c r="B3090" s="21" t="s">
        <v>22</v>
      </c>
      <c r="C3090" s="21">
        <v>20</v>
      </c>
      <c r="D3090" s="21">
        <v>600</v>
      </c>
      <c r="E3090" s="21">
        <v>30</v>
      </c>
      <c r="F3090" s="21"/>
    </row>
    <row r="3091" spans="1:6" x14ac:dyDescent="0.25">
      <c r="A3091" s="21" t="s">
        <v>3370</v>
      </c>
      <c r="B3091" s="21" t="s">
        <v>22</v>
      </c>
      <c r="C3091" s="21">
        <v>20</v>
      </c>
      <c r="D3091" s="21">
        <v>960</v>
      </c>
      <c r="E3091" s="21">
        <v>48</v>
      </c>
      <c r="F3091" s="21"/>
    </row>
    <row r="3092" spans="1:6" x14ac:dyDescent="0.25">
      <c r="A3092" s="21" t="s">
        <v>3371</v>
      </c>
      <c r="B3092" s="21" t="s">
        <v>22</v>
      </c>
      <c r="C3092" s="21">
        <v>10</v>
      </c>
      <c r="D3092" s="21">
        <v>240</v>
      </c>
      <c r="E3092" s="21">
        <v>24</v>
      </c>
      <c r="F3092" s="21"/>
    </row>
    <row r="3093" spans="1:6" x14ac:dyDescent="0.25">
      <c r="A3093" s="21" t="s">
        <v>3127</v>
      </c>
      <c r="B3093" s="21" t="s">
        <v>22</v>
      </c>
      <c r="C3093" s="21">
        <v>20</v>
      </c>
      <c r="D3093" s="21">
        <v>120</v>
      </c>
      <c r="E3093" s="21">
        <v>6</v>
      </c>
      <c r="F3093" s="21"/>
    </row>
    <row r="3094" spans="1:6" x14ac:dyDescent="0.25">
      <c r="A3094" s="21" t="s">
        <v>3128</v>
      </c>
      <c r="B3094" s="21" t="s">
        <v>22</v>
      </c>
      <c r="C3094" s="21">
        <v>20</v>
      </c>
      <c r="D3094" s="21">
        <v>120</v>
      </c>
      <c r="E3094" s="21">
        <v>6</v>
      </c>
      <c r="F3094" s="21"/>
    </row>
    <row r="3095" spans="1:6" x14ac:dyDescent="0.25">
      <c r="A3095" s="21" t="s">
        <v>3129</v>
      </c>
      <c r="B3095" s="21" t="s">
        <v>22</v>
      </c>
      <c r="C3095" s="21">
        <v>20</v>
      </c>
      <c r="D3095" s="21">
        <v>500</v>
      </c>
      <c r="E3095" s="21">
        <v>25</v>
      </c>
      <c r="F3095" s="21"/>
    </row>
    <row r="3096" spans="1:6" x14ac:dyDescent="0.25">
      <c r="A3096" s="21" t="s">
        <v>3130</v>
      </c>
      <c r="B3096" s="21" t="s">
        <v>22</v>
      </c>
      <c r="C3096" s="21">
        <v>0</v>
      </c>
      <c r="D3096" s="52">
        <v>0</v>
      </c>
      <c r="E3096" s="21"/>
      <c r="F3096" s="21"/>
    </row>
    <row r="3097" spans="1:6" x14ac:dyDescent="0.25">
      <c r="A3097" s="21" t="s">
        <v>3131</v>
      </c>
      <c r="B3097" s="21" t="s">
        <v>22</v>
      </c>
      <c r="C3097" s="21">
        <v>0</v>
      </c>
      <c r="D3097" s="52">
        <v>0</v>
      </c>
      <c r="E3097" s="21"/>
      <c r="F3097" s="21"/>
    </row>
    <row r="3098" spans="1:6" x14ac:dyDescent="0.25">
      <c r="A3098" s="21" t="s">
        <v>3132</v>
      </c>
      <c r="B3098" s="21" t="s">
        <v>22</v>
      </c>
      <c r="C3098" s="21">
        <v>0</v>
      </c>
      <c r="D3098" s="52">
        <v>0</v>
      </c>
      <c r="E3098" s="21"/>
      <c r="F3098" s="21"/>
    </row>
    <row r="3099" spans="1:6" x14ac:dyDescent="0.25">
      <c r="A3099" s="21" t="s">
        <v>3133</v>
      </c>
      <c r="B3099" s="21" t="s">
        <v>22</v>
      </c>
      <c r="C3099" s="21">
        <v>1</v>
      </c>
      <c r="D3099" s="21">
        <v>1</v>
      </c>
      <c r="E3099" s="21">
        <v>1</v>
      </c>
      <c r="F3099" s="21"/>
    </row>
    <row r="3100" spans="1:6" x14ac:dyDescent="0.25">
      <c r="A3100" s="21" t="s">
        <v>3134</v>
      </c>
      <c r="B3100" s="21" t="s">
        <v>22</v>
      </c>
      <c r="C3100" s="21">
        <v>12</v>
      </c>
      <c r="D3100" s="21">
        <v>144</v>
      </c>
      <c r="E3100" s="21">
        <v>12</v>
      </c>
      <c r="F3100" s="21"/>
    </row>
    <row r="3101" spans="1:6" x14ac:dyDescent="0.25">
      <c r="A3101" s="21" t="s">
        <v>3135</v>
      </c>
      <c r="B3101" s="21" t="s">
        <v>22</v>
      </c>
      <c r="C3101" s="21">
        <v>8</v>
      </c>
      <c r="D3101" s="21">
        <v>96</v>
      </c>
      <c r="E3101" s="21">
        <v>12</v>
      </c>
      <c r="F3101" s="21"/>
    </row>
    <row r="3102" spans="1:6" x14ac:dyDescent="0.25">
      <c r="A3102" s="21" t="s">
        <v>3136</v>
      </c>
      <c r="B3102" s="21" t="s">
        <v>22</v>
      </c>
      <c r="C3102" s="21">
        <v>6</v>
      </c>
      <c r="D3102" s="21">
        <v>72</v>
      </c>
      <c r="E3102" s="21">
        <v>12</v>
      </c>
      <c r="F3102" s="21"/>
    </row>
    <row r="3103" spans="1:6" x14ac:dyDescent="0.25">
      <c r="A3103" s="21" t="s">
        <v>3137</v>
      </c>
      <c r="B3103" s="21" t="s">
        <v>22</v>
      </c>
      <c r="C3103" s="21">
        <v>6</v>
      </c>
      <c r="D3103" s="21">
        <v>54</v>
      </c>
      <c r="E3103" s="21">
        <v>9</v>
      </c>
      <c r="F3103" s="21"/>
    </row>
    <row r="3104" spans="1:6" x14ac:dyDescent="0.25">
      <c r="A3104" s="21" t="s">
        <v>3138</v>
      </c>
      <c r="B3104" s="21" t="s">
        <v>22</v>
      </c>
      <c r="C3104" s="21">
        <v>40</v>
      </c>
      <c r="D3104" s="21">
        <v>480</v>
      </c>
      <c r="E3104" s="21">
        <v>12</v>
      </c>
      <c r="F3104" s="21"/>
    </row>
    <row r="3105" spans="1:6" x14ac:dyDescent="0.25">
      <c r="A3105" s="21" t="s">
        <v>3139</v>
      </c>
      <c r="B3105" s="21" t="s">
        <v>22</v>
      </c>
      <c r="C3105" s="21">
        <v>20</v>
      </c>
      <c r="D3105" s="21">
        <v>300</v>
      </c>
      <c r="E3105" s="21">
        <v>15</v>
      </c>
      <c r="F3105" s="21"/>
    </row>
    <row r="3106" spans="1:6" x14ac:dyDescent="0.25">
      <c r="A3106" s="21" t="s">
        <v>3140</v>
      </c>
      <c r="B3106" s="21" t="s">
        <v>22</v>
      </c>
      <c r="C3106" s="21">
        <v>18</v>
      </c>
      <c r="D3106" s="21">
        <v>270</v>
      </c>
      <c r="E3106" s="21">
        <v>15</v>
      </c>
      <c r="F3106" s="21"/>
    </row>
    <row r="3107" spans="1:6" x14ac:dyDescent="0.25">
      <c r="A3107" s="21" t="s">
        <v>3141</v>
      </c>
      <c r="B3107" s="21" t="s">
        <v>22</v>
      </c>
      <c r="C3107" s="21">
        <v>50</v>
      </c>
      <c r="D3107" s="21">
        <v>2400</v>
      </c>
      <c r="E3107" s="21">
        <v>48</v>
      </c>
      <c r="F3107" s="21"/>
    </row>
    <row r="3108" spans="1:6" x14ac:dyDescent="0.25">
      <c r="A3108" s="21" t="s">
        <v>3142</v>
      </c>
      <c r="B3108" s="21" t="s">
        <v>22</v>
      </c>
      <c r="C3108" s="21">
        <v>50</v>
      </c>
      <c r="D3108" s="21">
        <v>2400</v>
      </c>
      <c r="E3108" s="21">
        <v>48</v>
      </c>
      <c r="F3108" s="21"/>
    </row>
    <row r="3109" spans="1:6" x14ac:dyDescent="0.25">
      <c r="A3109" s="21" t="s">
        <v>3143</v>
      </c>
      <c r="B3109" s="21" t="s">
        <v>22</v>
      </c>
      <c r="C3109" s="21">
        <v>50</v>
      </c>
      <c r="D3109" s="21">
        <v>2400</v>
      </c>
      <c r="E3109" s="21">
        <v>48</v>
      </c>
      <c r="F3109" s="21"/>
    </row>
    <row r="3110" spans="1:6" x14ac:dyDescent="0.25">
      <c r="A3110" s="21" t="s">
        <v>3144</v>
      </c>
      <c r="B3110" s="21" t="s">
        <v>22</v>
      </c>
      <c r="C3110" s="21">
        <v>50</v>
      </c>
      <c r="D3110" s="21">
        <v>8000</v>
      </c>
      <c r="E3110" s="21">
        <v>160</v>
      </c>
      <c r="F3110" s="21"/>
    </row>
    <row r="3111" spans="1:6" x14ac:dyDescent="0.25">
      <c r="A3111" s="21" t="s">
        <v>3145</v>
      </c>
      <c r="B3111" s="21" t="s">
        <v>22</v>
      </c>
      <c r="C3111" s="21">
        <v>50</v>
      </c>
      <c r="D3111" s="21">
        <v>8000</v>
      </c>
      <c r="E3111" s="21">
        <v>160</v>
      </c>
      <c r="F3111" s="21"/>
    </row>
    <row r="3112" spans="1:6" x14ac:dyDescent="0.25">
      <c r="A3112" s="21" t="s">
        <v>3146</v>
      </c>
      <c r="B3112" s="21" t="s">
        <v>22</v>
      </c>
      <c r="C3112" s="21">
        <v>260</v>
      </c>
      <c r="D3112" s="21">
        <v>5200</v>
      </c>
      <c r="E3112" s="21">
        <v>20</v>
      </c>
      <c r="F3112" s="21"/>
    </row>
    <row r="3113" spans="1:6" x14ac:dyDescent="0.25">
      <c r="A3113" s="21" t="s">
        <v>3147</v>
      </c>
      <c r="B3113" s="21" t="s">
        <v>22</v>
      </c>
      <c r="C3113" s="21">
        <v>260</v>
      </c>
      <c r="D3113" s="21">
        <v>5200</v>
      </c>
      <c r="E3113" s="21">
        <v>20</v>
      </c>
      <c r="F3113" s="21"/>
    </row>
    <row r="3114" spans="1:6" x14ac:dyDescent="0.25">
      <c r="A3114" s="21" t="s">
        <v>3148</v>
      </c>
      <c r="B3114" s="21" t="s">
        <v>595</v>
      </c>
      <c r="C3114" s="21">
        <v>20</v>
      </c>
      <c r="D3114" s="21">
        <v>300</v>
      </c>
      <c r="E3114" s="21">
        <v>15</v>
      </c>
      <c r="F3114" s="21"/>
    </row>
    <row r="3115" spans="1:6" x14ac:dyDescent="0.25">
      <c r="A3115" s="21" t="s">
        <v>3149</v>
      </c>
      <c r="B3115" s="21" t="s">
        <v>595</v>
      </c>
      <c r="C3115" s="21">
        <v>20</v>
      </c>
      <c r="D3115" s="21">
        <v>300</v>
      </c>
      <c r="E3115" s="21">
        <v>15</v>
      </c>
      <c r="F3115" s="21"/>
    </row>
    <row r="3116" spans="1:6" x14ac:dyDescent="0.25">
      <c r="A3116" s="21" t="s">
        <v>3150</v>
      </c>
      <c r="B3116" s="21" t="s">
        <v>595</v>
      </c>
      <c r="C3116" s="21">
        <v>20</v>
      </c>
      <c r="D3116" s="21">
        <v>720</v>
      </c>
      <c r="E3116" s="21">
        <v>36</v>
      </c>
      <c r="F3116" s="21"/>
    </row>
    <row r="3117" spans="1:6" x14ac:dyDescent="0.25">
      <c r="A3117" s="21" t="s">
        <v>3151</v>
      </c>
      <c r="B3117" s="21" t="s">
        <v>595</v>
      </c>
      <c r="C3117" s="21">
        <v>20</v>
      </c>
      <c r="D3117" s="21">
        <v>720</v>
      </c>
      <c r="E3117" s="21">
        <v>36</v>
      </c>
      <c r="F3117" s="21"/>
    </row>
    <row r="3118" spans="1:6" x14ac:dyDescent="0.25">
      <c r="A3118" s="21" t="s">
        <v>3152</v>
      </c>
      <c r="B3118" s="21" t="s">
        <v>595</v>
      </c>
      <c r="C3118" s="21">
        <v>20</v>
      </c>
      <c r="D3118" s="21">
        <v>480</v>
      </c>
      <c r="E3118" s="21">
        <v>24</v>
      </c>
      <c r="F3118" s="21"/>
    </row>
    <row r="3119" spans="1:6" x14ac:dyDescent="0.25">
      <c r="A3119" s="21" t="s">
        <v>3153</v>
      </c>
      <c r="B3119" s="21" t="s">
        <v>595</v>
      </c>
      <c r="C3119" s="21">
        <v>20</v>
      </c>
      <c r="D3119" s="21">
        <v>480</v>
      </c>
      <c r="E3119" s="21">
        <v>24</v>
      </c>
      <c r="F3119" s="21"/>
    </row>
    <row r="3120" spans="1:6" x14ac:dyDescent="0.25">
      <c r="A3120" s="21" t="s">
        <v>3154</v>
      </c>
      <c r="B3120" s="21" t="s">
        <v>595</v>
      </c>
      <c r="C3120" s="21">
        <v>20</v>
      </c>
      <c r="D3120" s="21">
        <v>480</v>
      </c>
      <c r="E3120" s="21">
        <v>24</v>
      </c>
      <c r="F3120" s="21"/>
    </row>
    <row r="3121" spans="1:6" x14ac:dyDescent="0.25">
      <c r="A3121" s="21" t="s">
        <v>3155</v>
      </c>
      <c r="B3121" s="21" t="s">
        <v>595</v>
      </c>
      <c r="C3121" s="21">
        <v>20</v>
      </c>
      <c r="D3121" s="21">
        <v>480</v>
      </c>
      <c r="E3121" s="21">
        <v>24</v>
      </c>
      <c r="F3121" s="21"/>
    </row>
    <row r="3122" spans="1:6" x14ac:dyDescent="0.25">
      <c r="A3122" s="21" t="s">
        <v>3156</v>
      </c>
      <c r="B3122" s="21" t="s">
        <v>22</v>
      </c>
      <c r="C3122" s="21">
        <v>50</v>
      </c>
      <c r="D3122" s="21">
        <v>2400</v>
      </c>
      <c r="E3122" s="21">
        <v>48</v>
      </c>
      <c r="F3122" s="21"/>
    </row>
    <row r="3123" spans="1:6" x14ac:dyDescent="0.25">
      <c r="A3123" s="21" t="s">
        <v>3157</v>
      </c>
      <c r="B3123" s="21" t="s">
        <v>22</v>
      </c>
      <c r="C3123" s="21">
        <v>50</v>
      </c>
      <c r="D3123" s="21">
        <v>2400</v>
      </c>
      <c r="E3123" s="21">
        <v>48</v>
      </c>
      <c r="F3123" s="21"/>
    </row>
    <row r="3124" spans="1:6" x14ac:dyDescent="0.25">
      <c r="A3124" s="21" t="s">
        <v>3158</v>
      </c>
      <c r="B3124" s="21" t="s">
        <v>22</v>
      </c>
      <c r="C3124" s="21">
        <v>50</v>
      </c>
      <c r="D3124" s="21">
        <v>2400</v>
      </c>
      <c r="E3124" s="21">
        <v>48</v>
      </c>
      <c r="F3124" s="21"/>
    </row>
    <row r="3125" spans="1:6" x14ac:dyDescent="0.25">
      <c r="A3125" s="21" t="s">
        <v>3159</v>
      </c>
      <c r="B3125" s="21" t="s">
        <v>22</v>
      </c>
      <c r="C3125" s="21">
        <v>50</v>
      </c>
      <c r="D3125" s="21">
        <v>2400</v>
      </c>
      <c r="E3125" s="21">
        <v>48</v>
      </c>
      <c r="F3125" s="21"/>
    </row>
    <row r="3126" spans="1:6" x14ac:dyDescent="0.25">
      <c r="A3126" s="21" t="s">
        <v>3188</v>
      </c>
      <c r="B3126" s="21" t="s">
        <v>22</v>
      </c>
      <c r="C3126" s="21">
        <v>300</v>
      </c>
      <c r="D3126" s="21">
        <v>9600</v>
      </c>
      <c r="E3126" s="21">
        <v>32</v>
      </c>
      <c r="F3126" s="21"/>
    </row>
    <row r="3127" spans="1:6" x14ac:dyDescent="0.25">
      <c r="A3127" s="13" t="s">
        <v>3185</v>
      </c>
      <c r="B3127" s="21" t="s">
        <v>22</v>
      </c>
      <c r="C3127" s="21">
        <v>300</v>
      </c>
      <c r="D3127" s="21">
        <v>9600</v>
      </c>
      <c r="E3127" s="21">
        <v>32</v>
      </c>
      <c r="F3127" s="21"/>
    </row>
    <row r="3128" spans="1:6" x14ac:dyDescent="0.25">
      <c r="A3128" s="13" t="s">
        <v>3189</v>
      </c>
      <c r="B3128" s="21" t="s">
        <v>22</v>
      </c>
      <c r="C3128" s="21">
        <v>300</v>
      </c>
      <c r="D3128" s="21">
        <v>9600</v>
      </c>
      <c r="E3128" s="21">
        <v>32</v>
      </c>
      <c r="F3128" s="21"/>
    </row>
    <row r="3129" spans="1:6" x14ac:dyDescent="0.25">
      <c r="A3129" s="13" t="s">
        <v>3186</v>
      </c>
      <c r="B3129" s="21" t="s">
        <v>22</v>
      </c>
      <c r="C3129" s="21">
        <v>300</v>
      </c>
      <c r="D3129" s="21">
        <v>9600</v>
      </c>
      <c r="E3129" s="21">
        <v>32</v>
      </c>
      <c r="F3129" s="21"/>
    </row>
    <row r="3130" spans="1:6" x14ac:dyDescent="0.25">
      <c r="A3130" s="13" t="s">
        <v>3190</v>
      </c>
      <c r="B3130" s="21" t="s">
        <v>22</v>
      </c>
      <c r="C3130" s="21">
        <v>300</v>
      </c>
      <c r="D3130" s="21">
        <v>9600</v>
      </c>
      <c r="E3130" s="21">
        <v>32</v>
      </c>
      <c r="F3130" s="21"/>
    </row>
    <row r="3131" spans="1:6" x14ac:dyDescent="0.25">
      <c r="A3131" s="13" t="s">
        <v>3187</v>
      </c>
      <c r="B3131" s="21" t="s">
        <v>22</v>
      </c>
      <c r="C3131" s="21">
        <v>300</v>
      </c>
      <c r="D3131" s="21">
        <v>9600</v>
      </c>
      <c r="E3131" s="21">
        <v>32</v>
      </c>
      <c r="F3131" s="21"/>
    </row>
    <row r="3132" spans="1:6" x14ac:dyDescent="0.25">
      <c r="A3132" s="13" t="s">
        <v>3193</v>
      </c>
      <c r="B3132" s="21" t="s">
        <v>22</v>
      </c>
      <c r="C3132" s="21">
        <v>648</v>
      </c>
      <c r="D3132" s="21">
        <v>20736</v>
      </c>
      <c r="E3132" s="21">
        <v>32</v>
      </c>
      <c r="F3132" s="21"/>
    </row>
    <row r="3133" spans="1:6" x14ac:dyDescent="0.25">
      <c r="A3133" s="13" t="s">
        <v>3184</v>
      </c>
      <c r="B3133" s="21" t="s">
        <v>22</v>
      </c>
      <c r="C3133" s="21">
        <v>648</v>
      </c>
      <c r="D3133" s="21">
        <v>20736</v>
      </c>
      <c r="E3133" s="21">
        <v>32</v>
      </c>
      <c r="F3133" s="21"/>
    </row>
    <row r="3134" spans="1:6" x14ac:dyDescent="0.25">
      <c r="A3134" s="13" t="s">
        <v>3191</v>
      </c>
      <c r="B3134" s="21" t="s">
        <v>22</v>
      </c>
      <c r="C3134" s="21">
        <v>15</v>
      </c>
      <c r="D3134" s="21">
        <v>630</v>
      </c>
      <c r="E3134" s="21">
        <v>42</v>
      </c>
      <c r="F3134" s="21"/>
    </row>
    <row r="3135" spans="1:6" x14ac:dyDescent="0.25">
      <c r="A3135" s="13" t="s">
        <v>3192</v>
      </c>
      <c r="B3135" s="21" t="s">
        <v>22</v>
      </c>
      <c r="C3135" s="21">
        <v>25</v>
      </c>
      <c r="D3135" s="21">
        <v>1500</v>
      </c>
      <c r="E3135" s="21">
        <v>60</v>
      </c>
      <c r="F3135" s="21"/>
    </row>
    <row r="3136" spans="1:6" x14ac:dyDescent="0.25">
      <c r="A3136" s="53" t="s">
        <v>3196</v>
      </c>
      <c r="B3136" s="21" t="s">
        <v>22</v>
      </c>
      <c r="C3136" s="21">
        <v>40</v>
      </c>
      <c r="D3136" s="21">
        <v>960</v>
      </c>
      <c r="E3136" s="21">
        <v>24</v>
      </c>
      <c r="F3136" s="21" t="s">
        <v>3202</v>
      </c>
    </row>
    <row r="3137" spans="1:6" x14ac:dyDescent="0.25">
      <c r="A3137" s="53" t="s">
        <v>3195</v>
      </c>
      <c r="B3137" s="21" t="s">
        <v>22</v>
      </c>
      <c r="C3137" s="21">
        <v>40</v>
      </c>
      <c r="D3137" s="21">
        <v>960</v>
      </c>
      <c r="E3137" s="21">
        <v>24</v>
      </c>
      <c r="F3137" s="21" t="s">
        <v>3202</v>
      </c>
    </row>
    <row r="3138" spans="1:6" x14ac:dyDescent="0.25">
      <c r="A3138" s="53" t="s">
        <v>3198</v>
      </c>
      <c r="B3138" s="21" t="s">
        <v>22</v>
      </c>
      <c r="C3138" s="21">
        <v>40</v>
      </c>
      <c r="D3138" s="21">
        <v>960</v>
      </c>
      <c r="E3138" s="21">
        <v>24</v>
      </c>
      <c r="F3138" s="21" t="s">
        <v>3202</v>
      </c>
    </row>
    <row r="3139" spans="1:6" x14ac:dyDescent="0.25">
      <c r="A3139" s="53" t="s">
        <v>3197</v>
      </c>
      <c r="B3139" s="21" t="s">
        <v>22</v>
      </c>
      <c r="C3139" s="21">
        <v>40</v>
      </c>
      <c r="D3139" s="21">
        <v>960</v>
      </c>
      <c r="E3139" s="21">
        <v>24</v>
      </c>
      <c r="F3139" s="21" t="s">
        <v>3202</v>
      </c>
    </row>
    <row r="3140" spans="1:6" x14ac:dyDescent="0.25">
      <c r="A3140" s="53" t="s">
        <v>3200</v>
      </c>
      <c r="B3140" s="21" t="s">
        <v>22</v>
      </c>
      <c r="C3140" s="21">
        <v>25</v>
      </c>
      <c r="D3140" s="21">
        <v>875</v>
      </c>
      <c r="E3140" s="21">
        <f>875/25</f>
        <v>35</v>
      </c>
      <c r="F3140" s="21" t="s">
        <v>3202</v>
      </c>
    </row>
    <row r="3141" spans="1:6" x14ac:dyDescent="0.25">
      <c r="A3141" s="53" t="s">
        <v>3201</v>
      </c>
      <c r="B3141" s="21" t="s">
        <v>22</v>
      </c>
      <c r="C3141" s="21">
        <v>25</v>
      </c>
      <c r="D3141" s="21">
        <v>1050</v>
      </c>
      <c r="E3141" s="21">
        <v>42</v>
      </c>
      <c r="F3141" s="21" t="s">
        <v>3202</v>
      </c>
    </row>
    <row r="3142" spans="1:6" x14ac:dyDescent="0.25">
      <c r="A3142" s="13" t="s">
        <v>3206</v>
      </c>
      <c r="B3142" s="21" t="s">
        <v>22</v>
      </c>
      <c r="C3142" s="21">
        <v>100</v>
      </c>
      <c r="D3142" s="21">
        <v>5000</v>
      </c>
      <c r="E3142" s="21">
        <v>50</v>
      </c>
      <c r="F3142" s="21" t="s">
        <v>3202</v>
      </c>
    </row>
    <row r="3143" spans="1:6" x14ac:dyDescent="0.25">
      <c r="A3143" s="13" t="s">
        <v>3207</v>
      </c>
      <c r="B3143" s="21" t="s">
        <v>22</v>
      </c>
      <c r="C3143" s="21">
        <v>100</v>
      </c>
      <c r="D3143" s="21">
        <v>3600</v>
      </c>
      <c r="E3143" s="21">
        <v>36</v>
      </c>
      <c r="F3143" s="21" t="s">
        <v>3202</v>
      </c>
    </row>
    <row r="3144" spans="1:6" x14ac:dyDescent="0.25">
      <c r="A3144" s="13" t="s">
        <v>3204</v>
      </c>
      <c r="B3144" s="21" t="s">
        <v>22</v>
      </c>
      <c r="C3144" s="21">
        <v>100</v>
      </c>
      <c r="D3144" s="21">
        <v>3600</v>
      </c>
      <c r="E3144" s="21">
        <v>36</v>
      </c>
      <c r="F3144" s="21" t="s">
        <v>3202</v>
      </c>
    </row>
    <row r="3145" spans="1:6" x14ac:dyDescent="0.25">
      <c r="A3145" s="13" t="s">
        <v>3203</v>
      </c>
      <c r="B3145" s="21" t="s">
        <v>22</v>
      </c>
      <c r="C3145" s="21">
        <v>100</v>
      </c>
      <c r="D3145" s="21">
        <v>3600</v>
      </c>
      <c r="E3145" s="21">
        <v>36</v>
      </c>
      <c r="F3145" s="21" t="s">
        <v>3202</v>
      </c>
    </row>
    <row r="3146" spans="1:6" x14ac:dyDescent="0.25">
      <c r="A3146" s="13" t="s">
        <v>3205</v>
      </c>
      <c r="B3146" s="21" t="s">
        <v>22</v>
      </c>
      <c r="C3146" s="21">
        <v>100</v>
      </c>
      <c r="D3146" s="21">
        <v>3600</v>
      </c>
      <c r="E3146" s="21">
        <v>36</v>
      </c>
      <c r="F3146" s="21" t="s">
        <v>3202</v>
      </c>
    </row>
    <row r="3147" spans="1:6" x14ac:dyDescent="0.25">
      <c r="A3147" s="13" t="s">
        <v>3208</v>
      </c>
      <c r="B3147" s="21" t="s">
        <v>22</v>
      </c>
      <c r="C3147" s="21">
        <v>60</v>
      </c>
      <c r="D3147" s="21">
        <v>1800</v>
      </c>
      <c r="E3147" s="21">
        <v>30</v>
      </c>
      <c r="F3147" s="21" t="s">
        <v>3209</v>
      </c>
    </row>
    <row r="3148" spans="1:6" x14ac:dyDescent="0.25">
      <c r="A3148" s="13" t="s">
        <v>3218</v>
      </c>
      <c r="B3148" s="21" t="s">
        <v>22</v>
      </c>
      <c r="C3148" s="21">
        <v>40</v>
      </c>
      <c r="D3148" s="21">
        <v>1600</v>
      </c>
      <c r="E3148" s="21">
        <f>1600/40</f>
        <v>40</v>
      </c>
      <c r="F3148" s="21" t="s">
        <v>3219</v>
      </c>
    </row>
    <row r="3149" spans="1:6" x14ac:dyDescent="0.25">
      <c r="A3149" s="13" t="s">
        <v>3220</v>
      </c>
      <c r="B3149" s="21" t="s">
        <v>22</v>
      </c>
      <c r="C3149" s="21">
        <v>40</v>
      </c>
      <c r="D3149" s="21">
        <v>1200</v>
      </c>
      <c r="E3149" s="21">
        <v>30</v>
      </c>
      <c r="F3149" s="21" t="s">
        <v>3221</v>
      </c>
    </row>
    <row r="3150" spans="1:6" x14ac:dyDescent="0.25">
      <c r="A3150" s="13" t="s">
        <v>3222</v>
      </c>
      <c r="B3150" s="21" t="s">
        <v>22</v>
      </c>
      <c r="C3150" s="21">
        <v>40</v>
      </c>
      <c r="D3150" s="21">
        <v>1200</v>
      </c>
      <c r="E3150" s="21">
        <v>30</v>
      </c>
      <c r="F3150" s="21" t="s">
        <v>3221</v>
      </c>
    </row>
    <row r="3151" spans="1:6" x14ac:dyDescent="0.25">
      <c r="A3151" s="13" t="s">
        <v>3223</v>
      </c>
      <c r="B3151" s="21" t="s">
        <v>22</v>
      </c>
      <c r="C3151" s="21">
        <v>20</v>
      </c>
      <c r="D3151" s="21">
        <v>1200</v>
      </c>
      <c r="E3151" s="21">
        <v>60</v>
      </c>
      <c r="F3151" s="21" t="s">
        <v>3217</v>
      </c>
    </row>
    <row r="3152" spans="1:6" x14ac:dyDescent="0.25">
      <c r="A3152" s="13" t="s">
        <v>3243</v>
      </c>
      <c r="B3152" s="21" t="s">
        <v>22</v>
      </c>
      <c r="C3152" s="21">
        <v>500</v>
      </c>
      <c r="D3152" s="21">
        <v>16000</v>
      </c>
      <c r="E3152" s="21">
        <v>32</v>
      </c>
      <c r="F3152" s="21" t="s">
        <v>3244</v>
      </c>
    </row>
    <row r="3153" spans="1:6" x14ac:dyDescent="0.25">
      <c r="A3153" s="21" t="s">
        <v>3248</v>
      </c>
      <c r="B3153" s="21" t="s">
        <v>22</v>
      </c>
      <c r="C3153" s="21">
        <v>30</v>
      </c>
      <c r="D3153" s="21">
        <v>1500</v>
      </c>
      <c r="E3153" s="21">
        <v>50</v>
      </c>
      <c r="F3153" s="21" t="s">
        <v>3244</v>
      </c>
    </row>
    <row r="3154" spans="1:6" x14ac:dyDescent="0.25">
      <c r="A3154" s="21" t="s">
        <v>3247</v>
      </c>
      <c r="B3154" s="21" t="s">
        <v>22</v>
      </c>
      <c r="C3154" s="21">
        <v>20</v>
      </c>
      <c r="D3154" s="21">
        <v>1040</v>
      </c>
      <c r="E3154" s="21">
        <v>52</v>
      </c>
      <c r="F3154" s="21" t="s">
        <v>3244</v>
      </c>
    </row>
    <row r="3155" spans="1:6" x14ac:dyDescent="0.25">
      <c r="A3155" s="21" t="s">
        <v>3246</v>
      </c>
      <c r="B3155" s="21" t="s">
        <v>22</v>
      </c>
      <c r="C3155" s="21">
        <v>30</v>
      </c>
      <c r="D3155" s="21">
        <v>1500</v>
      </c>
      <c r="E3155" s="21">
        <v>50</v>
      </c>
      <c r="F3155" s="21" t="s">
        <v>3244</v>
      </c>
    </row>
    <row r="3156" spans="1:6" x14ac:dyDescent="0.25">
      <c r="A3156" s="21" t="s">
        <v>3249</v>
      </c>
      <c r="B3156" s="21" t="s">
        <v>22</v>
      </c>
      <c r="C3156" s="21">
        <v>4</v>
      </c>
      <c r="D3156" s="21">
        <v>40</v>
      </c>
      <c r="E3156" s="21">
        <v>10</v>
      </c>
      <c r="F3156" s="21" t="s">
        <v>3251</v>
      </c>
    </row>
    <row r="3157" spans="1:6" x14ac:dyDescent="0.25">
      <c r="A3157" s="21" t="s">
        <v>3250</v>
      </c>
      <c r="B3157" s="21" t="s">
        <v>22</v>
      </c>
      <c r="C3157" s="21">
        <v>3</v>
      </c>
      <c r="D3157" s="21">
        <v>27</v>
      </c>
      <c r="E3157" s="21">
        <v>9</v>
      </c>
      <c r="F3157" s="21" t="s">
        <v>3251</v>
      </c>
    </row>
    <row r="3158" spans="1:6" x14ac:dyDescent="0.25">
      <c r="A3158" s="21" t="s">
        <v>3253</v>
      </c>
      <c r="B3158" s="21" t="s">
        <v>22</v>
      </c>
      <c r="C3158" s="21">
        <v>12</v>
      </c>
      <c r="D3158" s="21">
        <v>300</v>
      </c>
      <c r="E3158" s="21">
        <v>25</v>
      </c>
      <c r="F3158" s="21" t="s">
        <v>3259</v>
      </c>
    </row>
    <row r="3159" spans="1:6" x14ac:dyDescent="0.25">
      <c r="A3159" s="21" t="s">
        <v>3254</v>
      </c>
      <c r="B3159" s="21" t="s">
        <v>22</v>
      </c>
      <c r="C3159" s="21">
        <v>8</v>
      </c>
      <c r="D3159" s="21">
        <v>160</v>
      </c>
      <c r="E3159" s="21">
        <v>20</v>
      </c>
      <c r="F3159" s="21" t="s">
        <v>3259</v>
      </c>
    </row>
    <row r="3160" spans="1:6" x14ac:dyDescent="0.25">
      <c r="A3160" s="21" t="s">
        <v>3255</v>
      </c>
      <c r="B3160" s="21" t="s">
        <v>22</v>
      </c>
      <c r="C3160" s="21">
        <v>8</v>
      </c>
      <c r="D3160" s="21">
        <v>200</v>
      </c>
      <c r="E3160" s="21">
        <v>25</v>
      </c>
      <c r="F3160" s="21" t="s">
        <v>3259</v>
      </c>
    </row>
    <row r="3161" spans="1:6" x14ac:dyDescent="0.25">
      <c r="A3161" s="21" t="s">
        <v>3256</v>
      </c>
      <c r="B3161" s="21" t="s">
        <v>22</v>
      </c>
      <c r="C3161" s="21">
        <v>6</v>
      </c>
      <c r="D3161" s="21">
        <v>108</v>
      </c>
      <c r="E3161" s="21">
        <v>18</v>
      </c>
      <c r="F3161" s="21" t="s">
        <v>3259</v>
      </c>
    </row>
    <row r="3162" spans="1:6" x14ac:dyDescent="0.25">
      <c r="A3162" s="21" t="s">
        <v>3257</v>
      </c>
      <c r="B3162" s="21" t="s">
        <v>22</v>
      </c>
      <c r="C3162" s="21">
        <v>24</v>
      </c>
      <c r="D3162" s="21">
        <v>864</v>
      </c>
      <c r="E3162" s="21">
        <v>36</v>
      </c>
      <c r="F3162" s="21" t="s">
        <v>3259</v>
      </c>
    </row>
    <row r="3163" spans="1:6" x14ac:dyDescent="0.25">
      <c r="A3163" s="21" t="s">
        <v>3258</v>
      </c>
      <c r="B3163" s="21" t="s">
        <v>22</v>
      </c>
      <c r="C3163" s="21">
        <v>24</v>
      </c>
      <c r="D3163" s="21">
        <v>720</v>
      </c>
      <c r="E3163" s="21">
        <v>30</v>
      </c>
      <c r="F3163" s="21" t="s">
        <v>3259</v>
      </c>
    </row>
    <row r="3164" spans="1:6" x14ac:dyDescent="0.25">
      <c r="A3164" s="21" t="s">
        <v>3293</v>
      </c>
      <c r="B3164" s="21" t="s">
        <v>22</v>
      </c>
      <c r="C3164" s="21">
        <v>100</v>
      </c>
      <c r="D3164" s="21">
        <v>3600</v>
      </c>
      <c r="E3164" s="21">
        <v>36</v>
      </c>
      <c r="F3164" s="21" t="s">
        <v>3301</v>
      </c>
    </row>
    <row r="3165" spans="1:6" x14ac:dyDescent="0.25">
      <c r="A3165" s="21" t="s">
        <v>3294</v>
      </c>
      <c r="B3165" s="21" t="s">
        <v>22</v>
      </c>
      <c r="C3165" s="21">
        <v>100</v>
      </c>
      <c r="D3165" s="21">
        <v>3600</v>
      </c>
      <c r="E3165" s="21">
        <v>36</v>
      </c>
      <c r="F3165" s="21" t="s">
        <v>3301</v>
      </c>
    </row>
    <row r="3166" spans="1:6" x14ac:dyDescent="0.25">
      <c r="A3166" s="21" t="s">
        <v>3295</v>
      </c>
      <c r="B3166" s="21" t="s">
        <v>22</v>
      </c>
      <c r="C3166" s="21">
        <v>100</v>
      </c>
      <c r="D3166" s="21">
        <v>3600</v>
      </c>
      <c r="E3166" s="21">
        <v>36</v>
      </c>
      <c r="F3166" s="21" t="s">
        <v>3301</v>
      </c>
    </row>
    <row r="3167" spans="1:6" x14ac:dyDescent="0.25">
      <c r="A3167" s="21" t="s">
        <v>3296</v>
      </c>
      <c r="B3167" s="21" t="s">
        <v>22</v>
      </c>
      <c r="C3167" s="21">
        <v>100</v>
      </c>
      <c r="D3167" s="21">
        <v>6000</v>
      </c>
      <c r="E3167" s="21">
        <v>60</v>
      </c>
      <c r="F3167" s="21" t="s">
        <v>3301</v>
      </c>
    </row>
    <row r="3168" spans="1:6" x14ac:dyDescent="0.25">
      <c r="A3168" s="21" t="s">
        <v>3297</v>
      </c>
      <c r="B3168" s="21" t="s">
        <v>22</v>
      </c>
      <c r="C3168" s="21">
        <v>100</v>
      </c>
      <c r="D3168" s="21">
        <v>6000</v>
      </c>
      <c r="E3168" s="21">
        <v>60</v>
      </c>
      <c r="F3168" s="21" t="s">
        <v>3301</v>
      </c>
    </row>
    <row r="3169" spans="1:6" x14ac:dyDescent="0.25">
      <c r="A3169" s="21" t="s">
        <v>3298</v>
      </c>
      <c r="B3169" s="21" t="s">
        <v>22</v>
      </c>
      <c r="C3169" s="21">
        <v>100</v>
      </c>
      <c r="D3169" s="21">
        <v>5000</v>
      </c>
      <c r="E3169" s="21">
        <v>50</v>
      </c>
      <c r="F3169" s="21" t="s">
        <v>3301</v>
      </c>
    </row>
    <row r="3170" spans="1:6" x14ac:dyDescent="0.25">
      <c r="A3170" s="21" t="s">
        <v>3327</v>
      </c>
      <c r="B3170" s="21" t="s">
        <v>22</v>
      </c>
      <c r="C3170" s="21">
        <v>20</v>
      </c>
      <c r="D3170" s="21">
        <v>360</v>
      </c>
      <c r="E3170" s="21">
        <v>18</v>
      </c>
      <c r="F3170" s="21" t="s">
        <v>3328</v>
      </c>
    </row>
    <row r="3171" spans="1:6" x14ac:dyDescent="0.25">
      <c r="A3171" s="21" t="s">
        <v>3331</v>
      </c>
      <c r="B3171" s="21" t="s">
        <v>22</v>
      </c>
      <c r="C3171" s="21">
        <v>5</v>
      </c>
      <c r="D3171" s="21">
        <v>60</v>
      </c>
      <c r="E3171" s="21">
        <v>12</v>
      </c>
      <c r="F3171" s="21" t="s">
        <v>3328</v>
      </c>
    </row>
    <row r="3172" spans="1:6" x14ac:dyDescent="0.25">
      <c r="A3172" s="21" t="s">
        <v>3332</v>
      </c>
      <c r="B3172" s="21" t="s">
        <v>22</v>
      </c>
      <c r="C3172" s="21">
        <v>5</v>
      </c>
      <c r="D3172" s="21">
        <v>60</v>
      </c>
      <c r="E3172" s="21">
        <v>12</v>
      </c>
      <c r="F3172" s="21" t="s">
        <v>3328</v>
      </c>
    </row>
    <row r="3173" spans="1:6" x14ac:dyDescent="0.25">
      <c r="A3173" s="21" t="s">
        <v>3333</v>
      </c>
      <c r="B3173" s="21" t="s">
        <v>22</v>
      </c>
      <c r="C3173" s="21">
        <v>5</v>
      </c>
      <c r="D3173" s="21">
        <v>60</v>
      </c>
      <c r="E3173" s="21">
        <v>12</v>
      </c>
      <c r="F3173" s="21" t="s">
        <v>3328</v>
      </c>
    </row>
    <row r="3174" spans="1:6" x14ac:dyDescent="0.25">
      <c r="A3174" s="21" t="s">
        <v>3335</v>
      </c>
      <c r="B3174" s="21" t="s">
        <v>22</v>
      </c>
      <c r="C3174" s="21">
        <v>4</v>
      </c>
      <c r="D3174" s="21">
        <f>4*8</f>
        <v>32</v>
      </c>
      <c r="E3174" s="21">
        <v>8</v>
      </c>
      <c r="F3174" s="21" t="s">
        <v>3336</v>
      </c>
    </row>
    <row r="3175" spans="1:6" x14ac:dyDescent="0.25">
      <c r="A3175" s="21" t="s">
        <v>3344</v>
      </c>
      <c r="B3175" s="21" t="s">
        <v>22</v>
      </c>
      <c r="C3175" s="21">
        <v>20</v>
      </c>
      <c r="D3175" s="21">
        <v>720</v>
      </c>
      <c r="E3175" s="21">
        <v>36</v>
      </c>
      <c r="F3175" s="21" t="s">
        <v>3346</v>
      </c>
    </row>
    <row r="3176" spans="1:6" x14ac:dyDescent="0.25">
      <c r="A3176" s="21" t="s">
        <v>3345</v>
      </c>
      <c r="B3176" s="21" t="s">
        <v>22</v>
      </c>
      <c r="C3176" s="21">
        <v>20</v>
      </c>
      <c r="D3176" s="21">
        <f>48*20</f>
        <v>960</v>
      </c>
      <c r="E3176" s="21">
        <v>48</v>
      </c>
      <c r="F3176" s="21" t="s">
        <v>3346</v>
      </c>
    </row>
    <row r="3177" spans="1:6" x14ac:dyDescent="0.25">
      <c r="A3177" s="21" t="s">
        <v>3369</v>
      </c>
      <c r="B3177" s="21" t="s">
        <v>22</v>
      </c>
      <c r="C3177" s="21">
        <v>3</v>
      </c>
      <c r="D3177" s="21">
        <v>27</v>
      </c>
      <c r="E3177" s="21">
        <v>9</v>
      </c>
      <c r="F3177" s="21" t="s">
        <v>3372</v>
      </c>
    </row>
    <row r="3178" spans="1:6" x14ac:dyDescent="0.25">
      <c r="A3178" s="21" t="s">
        <v>3376</v>
      </c>
      <c r="B3178" s="21" t="s">
        <v>22</v>
      </c>
      <c r="C3178" s="21">
        <v>8</v>
      </c>
      <c r="D3178" s="21">
        <v>520</v>
      </c>
      <c r="E3178" s="21">
        <v>65</v>
      </c>
      <c r="F3178" s="21" t="s">
        <v>3372</v>
      </c>
    </row>
    <row r="3179" spans="1:6" x14ac:dyDescent="0.25">
      <c r="A3179" s="21" t="s">
        <v>3394</v>
      </c>
      <c r="B3179" s="21" t="s">
        <v>22</v>
      </c>
      <c r="C3179" s="21">
        <v>20</v>
      </c>
      <c r="D3179" s="21">
        <v>1040</v>
      </c>
      <c r="E3179" s="21">
        <v>52</v>
      </c>
      <c r="F3179" s="21" t="s">
        <v>3395</v>
      </c>
    </row>
    <row r="3180" spans="1:6" x14ac:dyDescent="0.25">
      <c r="A3180" s="21" t="s">
        <v>3406</v>
      </c>
      <c r="B3180" s="21" t="s">
        <v>22</v>
      </c>
      <c r="C3180" s="21">
        <v>8</v>
      </c>
      <c r="D3180" s="21">
        <v>160</v>
      </c>
      <c r="E3180" s="21">
        <v>20</v>
      </c>
      <c r="F3180" s="21" t="s">
        <v>3407</v>
      </c>
    </row>
    <row r="3181" spans="1:6" x14ac:dyDescent="0.25">
      <c r="A3181" s="21" t="s">
        <v>3420</v>
      </c>
      <c r="B3181" s="21" t="s">
        <v>22</v>
      </c>
      <c r="C3181" s="21">
        <v>6</v>
      </c>
      <c r="D3181" s="21">
        <v>360</v>
      </c>
      <c r="E3181" s="21">
        <v>60</v>
      </c>
      <c r="F3181" s="21" t="s">
        <v>3421</v>
      </c>
    </row>
    <row r="3182" spans="1:6" x14ac:dyDescent="0.25">
      <c r="A3182" s="21" t="s">
        <v>3431</v>
      </c>
      <c r="B3182" s="21" t="s">
        <v>22</v>
      </c>
      <c r="C3182" s="21">
        <v>5</v>
      </c>
      <c r="D3182" s="21">
        <v>60</v>
      </c>
      <c r="E3182" s="21">
        <v>12</v>
      </c>
      <c r="F3182" s="21" t="s">
        <v>3432</v>
      </c>
    </row>
    <row r="3183" spans="1:6" x14ac:dyDescent="0.25">
      <c r="A3183" s="21" t="s">
        <v>3433</v>
      </c>
      <c r="B3183" s="21" t="s">
        <v>22</v>
      </c>
      <c r="C3183" s="21">
        <v>200</v>
      </c>
      <c r="D3183" s="21">
        <v>7200</v>
      </c>
      <c r="E3183" s="21">
        <f>7200/200</f>
        <v>36</v>
      </c>
      <c r="F3183" s="21" t="s">
        <v>3432</v>
      </c>
    </row>
    <row r="3184" spans="1:6" x14ac:dyDescent="0.25">
      <c r="A3184" s="21" t="s">
        <v>3434</v>
      </c>
      <c r="B3184" s="21" t="s">
        <v>22</v>
      </c>
      <c r="C3184" s="21">
        <v>200</v>
      </c>
      <c r="D3184" s="21">
        <v>7200</v>
      </c>
      <c r="E3184" s="21">
        <f t="shared" ref="E3184:E3187" si="0">7200/200</f>
        <v>36</v>
      </c>
      <c r="F3184" s="21" t="s">
        <v>3432</v>
      </c>
    </row>
    <row r="3185" spans="1:6" x14ac:dyDescent="0.25">
      <c r="A3185" s="21" t="s">
        <v>3435</v>
      </c>
      <c r="B3185" s="21" t="s">
        <v>22</v>
      </c>
      <c r="C3185" s="21">
        <v>200</v>
      </c>
      <c r="D3185" s="21">
        <v>7200</v>
      </c>
      <c r="E3185" s="21">
        <f t="shared" si="0"/>
        <v>36</v>
      </c>
      <c r="F3185" s="21" t="s">
        <v>3432</v>
      </c>
    </row>
    <row r="3186" spans="1:6" x14ac:dyDescent="0.25">
      <c r="A3186" s="21" t="s">
        <v>3436</v>
      </c>
      <c r="B3186" s="21" t="s">
        <v>22</v>
      </c>
      <c r="C3186" s="21">
        <v>200</v>
      </c>
      <c r="D3186" s="21">
        <v>7200</v>
      </c>
      <c r="E3186" s="21">
        <f t="shared" si="0"/>
        <v>36</v>
      </c>
      <c r="F3186" s="21" t="s">
        <v>3432</v>
      </c>
    </row>
    <row r="3187" spans="1:6" x14ac:dyDescent="0.25">
      <c r="A3187" s="21" t="s">
        <v>3437</v>
      </c>
      <c r="B3187" s="21" t="s">
        <v>22</v>
      </c>
      <c r="C3187" s="21">
        <v>200</v>
      </c>
      <c r="D3187" s="21">
        <v>7200</v>
      </c>
      <c r="E3187" s="21">
        <f t="shared" si="0"/>
        <v>36</v>
      </c>
      <c r="F3187" s="21" t="s">
        <v>3432</v>
      </c>
    </row>
    <row r="3188" spans="1:6" x14ac:dyDescent="0.25">
      <c r="A3188" s="21" t="s">
        <v>3456</v>
      </c>
      <c r="B3188" s="21" t="s">
        <v>22</v>
      </c>
      <c r="C3188" s="21">
        <v>12</v>
      </c>
      <c r="D3188" s="21">
        <v>420</v>
      </c>
      <c r="E3188" s="21">
        <v>35</v>
      </c>
      <c r="F3188" s="21" t="s">
        <v>3461</v>
      </c>
    </row>
    <row r="3189" spans="1:6" x14ac:dyDescent="0.25">
      <c r="A3189" s="21" t="s">
        <v>3457</v>
      </c>
      <c r="B3189" s="21" t="s">
        <v>22</v>
      </c>
      <c r="C3189" s="21">
        <v>12</v>
      </c>
      <c r="D3189" s="21">
        <v>420</v>
      </c>
      <c r="E3189" s="21">
        <v>35</v>
      </c>
      <c r="F3189" s="21" t="s">
        <v>3461</v>
      </c>
    </row>
    <row r="3190" spans="1:6" x14ac:dyDescent="0.25">
      <c r="A3190" s="21" t="s">
        <v>3458</v>
      </c>
      <c r="B3190" s="21" t="s">
        <v>22</v>
      </c>
      <c r="C3190" s="21">
        <v>12</v>
      </c>
      <c r="D3190" s="21">
        <v>420</v>
      </c>
      <c r="E3190" s="21">
        <v>35</v>
      </c>
      <c r="F3190" s="21" t="s">
        <v>3461</v>
      </c>
    </row>
    <row r="3191" spans="1:6" x14ac:dyDescent="0.25">
      <c r="A3191" s="21" t="s">
        <v>3459</v>
      </c>
      <c r="B3191" s="21" t="s">
        <v>22</v>
      </c>
      <c r="C3191" s="21">
        <v>12</v>
      </c>
      <c r="D3191" s="21">
        <v>504</v>
      </c>
      <c r="E3191" s="21">
        <v>42</v>
      </c>
      <c r="F3191" s="21" t="s">
        <v>3461</v>
      </c>
    </row>
    <row r="3192" spans="1:6" x14ac:dyDescent="0.25">
      <c r="A3192" s="21" t="s">
        <v>3460</v>
      </c>
      <c r="B3192" s="21" t="s">
        <v>22</v>
      </c>
      <c r="C3192" s="21">
        <v>12</v>
      </c>
      <c r="D3192" s="21">
        <v>504</v>
      </c>
      <c r="E3192" s="21">
        <v>42</v>
      </c>
      <c r="F3192" s="21" t="s">
        <v>3461</v>
      </c>
    </row>
    <row r="3193" spans="1:6" x14ac:dyDescent="0.25">
      <c r="A3193" s="21" t="s">
        <v>3471</v>
      </c>
      <c r="B3193" s="21" t="s">
        <v>22</v>
      </c>
      <c r="C3193" s="21">
        <v>6</v>
      </c>
      <c r="D3193" s="21">
        <v>144</v>
      </c>
      <c r="E3193" s="21">
        <f>+D3193/C3193</f>
        <v>24</v>
      </c>
      <c r="F3193" s="21" t="s">
        <v>3473</v>
      </c>
    </row>
    <row r="3194" spans="1:6" x14ac:dyDescent="0.25">
      <c r="A3194" s="21" t="s">
        <v>3472</v>
      </c>
      <c r="B3194" s="21" t="s">
        <v>22</v>
      </c>
      <c r="C3194" s="21">
        <v>6</v>
      </c>
      <c r="D3194" s="21">
        <v>144</v>
      </c>
      <c r="E3194" s="21">
        <f>+D3194/C3194</f>
        <v>24</v>
      </c>
      <c r="F3194" s="21" t="s">
        <v>3473</v>
      </c>
    </row>
    <row r="3195" spans="1:6" x14ac:dyDescent="0.25">
      <c r="A3195" s="21" t="s">
        <v>3479</v>
      </c>
      <c r="B3195" s="21" t="s">
        <v>22</v>
      </c>
      <c r="C3195" s="21">
        <v>80</v>
      </c>
      <c r="D3195" s="21">
        <v>1600</v>
      </c>
      <c r="E3195" s="21">
        <f>1600/80</f>
        <v>20</v>
      </c>
      <c r="F3195" s="21" t="s">
        <v>3481</v>
      </c>
    </row>
    <row r="3196" spans="1:6" x14ac:dyDescent="0.25">
      <c r="A3196" s="21" t="s">
        <v>3480</v>
      </c>
      <c r="B3196" s="21" t="s">
        <v>22</v>
      </c>
      <c r="C3196" s="21">
        <v>100</v>
      </c>
      <c r="D3196" s="21">
        <v>1500</v>
      </c>
      <c r="E3196" s="21">
        <f>1500/100</f>
        <v>15</v>
      </c>
      <c r="F3196" s="21" t="s">
        <v>3481</v>
      </c>
    </row>
    <row r="3197" spans="1:6" x14ac:dyDescent="0.25">
      <c r="A3197" s="21" t="s">
        <v>3485</v>
      </c>
      <c r="B3197" s="21" t="s">
        <v>22</v>
      </c>
      <c r="C3197" s="21">
        <v>12</v>
      </c>
      <c r="D3197" s="21">
        <v>192</v>
      </c>
      <c r="E3197" s="21">
        <v>16</v>
      </c>
      <c r="F3197" s="21" t="s">
        <v>3486</v>
      </c>
    </row>
    <row r="3198" spans="1:6" x14ac:dyDescent="0.25">
      <c r="A3198" s="21" t="s">
        <v>3506</v>
      </c>
      <c r="B3198" s="21" t="s">
        <v>22</v>
      </c>
      <c r="C3198" s="21">
        <v>30</v>
      </c>
      <c r="D3198" s="21">
        <v>1800</v>
      </c>
      <c r="E3198" s="21">
        <v>60</v>
      </c>
      <c r="F3198" s="21" t="s">
        <v>3507</v>
      </c>
    </row>
    <row r="3199" spans="1:6" x14ac:dyDescent="0.25">
      <c r="A3199" s="21" t="s">
        <v>3508</v>
      </c>
      <c r="B3199" s="21" t="s">
        <v>22</v>
      </c>
      <c r="C3199" s="21">
        <v>30</v>
      </c>
      <c r="D3199" s="21">
        <v>1800</v>
      </c>
      <c r="E3199" s="21">
        <v>60</v>
      </c>
      <c r="F3199" s="21" t="s">
        <v>3507</v>
      </c>
    </row>
    <row r="3200" spans="1:6" x14ac:dyDescent="0.25">
      <c r="A3200" s="21" t="s">
        <v>3509</v>
      </c>
      <c r="B3200" s="21" t="s">
        <v>22</v>
      </c>
      <c r="C3200" s="21">
        <v>30</v>
      </c>
      <c r="D3200" s="21">
        <v>1800</v>
      </c>
      <c r="E3200" s="21">
        <v>60</v>
      </c>
      <c r="F3200" s="21" t="s">
        <v>3507</v>
      </c>
    </row>
    <row r="3201" spans="1:6" x14ac:dyDescent="0.25">
      <c r="A3201" s="21" t="s">
        <v>3510</v>
      </c>
      <c r="B3201" s="21" t="s">
        <v>22</v>
      </c>
      <c r="C3201" s="21">
        <v>30</v>
      </c>
      <c r="D3201" s="21">
        <v>1800</v>
      </c>
      <c r="E3201" s="21">
        <v>60</v>
      </c>
      <c r="F3201" s="21" t="s">
        <v>3507</v>
      </c>
    </row>
    <row r="3202" spans="1:6" x14ac:dyDescent="0.25">
      <c r="A3202" s="21" t="s">
        <v>3511</v>
      </c>
      <c r="B3202" s="21" t="s">
        <v>22</v>
      </c>
      <c r="C3202" s="21">
        <v>30</v>
      </c>
      <c r="D3202" s="21">
        <v>1800</v>
      </c>
      <c r="E3202" s="21">
        <v>60</v>
      </c>
      <c r="F3202" s="21" t="s">
        <v>3507</v>
      </c>
    </row>
    <row r="3203" spans="1:6" x14ac:dyDescent="0.25">
      <c r="A3203" s="21" t="s">
        <v>3537</v>
      </c>
      <c r="B3203" s="21" t="s">
        <v>22</v>
      </c>
      <c r="C3203" s="21">
        <v>10</v>
      </c>
      <c r="D3203" s="21">
        <v>150</v>
      </c>
      <c r="E3203" s="21">
        <f>150/10</f>
        <v>15</v>
      </c>
      <c r="F3203" s="21" t="s">
        <v>3538</v>
      </c>
    </row>
    <row r="3204" spans="1:6" x14ac:dyDescent="0.25">
      <c r="A3204" s="21" t="s">
        <v>3577</v>
      </c>
      <c r="B3204" s="21" t="s">
        <v>22</v>
      </c>
      <c r="C3204" s="21">
        <v>10</v>
      </c>
      <c r="D3204" s="21">
        <v>200</v>
      </c>
      <c r="E3204" s="21">
        <v>20</v>
      </c>
      <c r="F3204" s="21" t="s">
        <v>3578</v>
      </c>
    </row>
    <row r="3205" spans="1:6" x14ac:dyDescent="0.25">
      <c r="A3205" s="21" t="s">
        <v>3582</v>
      </c>
      <c r="B3205" s="21" t="s">
        <v>22</v>
      </c>
      <c r="C3205" s="21">
        <v>12</v>
      </c>
      <c r="D3205" s="21">
        <v>192</v>
      </c>
      <c r="E3205" s="21">
        <v>16</v>
      </c>
      <c r="F3205" s="40" t="s">
        <v>3601</v>
      </c>
    </row>
    <row r="3206" spans="1:6" x14ac:dyDescent="0.25">
      <c r="A3206" s="21" t="s">
        <v>3583</v>
      </c>
      <c r="B3206" s="21" t="s">
        <v>22</v>
      </c>
      <c r="C3206" s="130">
        <v>30</v>
      </c>
      <c r="D3206" s="130">
        <v>1440</v>
      </c>
      <c r="E3206" s="130">
        <v>48</v>
      </c>
      <c r="F3206" s="40" t="s">
        <v>3601</v>
      </c>
    </row>
    <row r="3207" spans="1:6" x14ac:dyDescent="0.25">
      <c r="A3207" s="21" t="s">
        <v>3584</v>
      </c>
      <c r="B3207" s="21" t="s">
        <v>22</v>
      </c>
      <c r="C3207" s="21">
        <v>100</v>
      </c>
      <c r="D3207" s="21">
        <v>3600</v>
      </c>
      <c r="E3207" s="21">
        <v>36</v>
      </c>
      <c r="F3207" s="21" t="s">
        <v>3601</v>
      </c>
    </row>
    <row r="3208" spans="1:6" x14ac:dyDescent="0.25">
      <c r="A3208" s="21" t="s">
        <v>3585</v>
      </c>
      <c r="B3208" s="21" t="s">
        <v>22</v>
      </c>
      <c r="C3208" s="21">
        <v>60</v>
      </c>
      <c r="D3208" s="21">
        <v>1800</v>
      </c>
      <c r="E3208" s="21">
        <v>30</v>
      </c>
      <c r="F3208" s="21" t="s">
        <v>3601</v>
      </c>
    </row>
    <row r="3209" spans="1:6" x14ac:dyDescent="0.25">
      <c r="A3209" s="21" t="s">
        <v>3586</v>
      </c>
      <c r="B3209" s="21" t="s">
        <v>22</v>
      </c>
      <c r="C3209" s="21">
        <v>40</v>
      </c>
      <c r="D3209" s="21">
        <v>1680</v>
      </c>
      <c r="E3209" s="21">
        <v>42</v>
      </c>
      <c r="F3209" s="21" t="s">
        <v>3601</v>
      </c>
    </row>
    <row r="3210" spans="1:6" x14ac:dyDescent="0.25">
      <c r="A3210" s="21" t="s">
        <v>3590</v>
      </c>
      <c r="B3210" s="21" t="s">
        <v>22</v>
      </c>
      <c r="C3210" s="21">
        <v>12</v>
      </c>
      <c r="D3210" s="21">
        <v>240</v>
      </c>
      <c r="E3210" s="21">
        <v>20</v>
      </c>
      <c r="F3210" s="21" t="s">
        <v>3601</v>
      </c>
    </row>
    <row r="3211" spans="1:6" x14ac:dyDescent="0.25">
      <c r="A3211" s="21" t="s">
        <v>3598</v>
      </c>
      <c r="B3211" s="21" t="s">
        <v>22</v>
      </c>
      <c r="C3211" s="21">
        <v>100</v>
      </c>
      <c r="D3211" s="21">
        <v>1500</v>
      </c>
      <c r="E3211" s="21">
        <v>15</v>
      </c>
      <c r="F3211" s="21" t="s">
        <v>3599</v>
      </c>
    </row>
    <row r="3212" spans="1:6" x14ac:dyDescent="0.25">
      <c r="A3212" s="21" t="s">
        <v>3600</v>
      </c>
      <c r="B3212" s="21" t="s">
        <v>22</v>
      </c>
      <c r="C3212" s="21">
        <v>40</v>
      </c>
      <c r="D3212" s="21">
        <v>1600</v>
      </c>
      <c r="E3212" s="21">
        <v>40</v>
      </c>
      <c r="F3212" s="21" t="s">
        <v>3601</v>
      </c>
    </row>
    <row r="3213" spans="1:6" x14ac:dyDescent="0.25">
      <c r="A3213" s="21" t="s">
        <v>1967</v>
      </c>
      <c r="B3213" s="21" t="s">
        <v>22</v>
      </c>
      <c r="C3213" s="21">
        <v>500</v>
      </c>
      <c r="D3213" s="21">
        <v>15000</v>
      </c>
      <c r="E3213" s="21">
        <v>30</v>
      </c>
      <c r="F3213" s="21" t="s">
        <v>3629</v>
      </c>
    </row>
    <row r="3214" spans="1:6" x14ac:dyDescent="0.25">
      <c r="A3214" s="21" t="s">
        <v>1970</v>
      </c>
      <c r="B3214" s="21" t="s">
        <v>22</v>
      </c>
      <c r="C3214" s="21">
        <v>200</v>
      </c>
      <c r="D3214" s="21">
        <v>6000</v>
      </c>
      <c r="E3214" s="21">
        <v>30</v>
      </c>
      <c r="F3214" s="21" t="s">
        <v>3629</v>
      </c>
    </row>
    <row r="3215" spans="1:6" x14ac:dyDescent="0.25">
      <c r="A3215" s="21" t="s">
        <v>3630</v>
      </c>
      <c r="B3215" s="21" t="s">
        <v>22</v>
      </c>
      <c r="C3215" s="21">
        <v>1000</v>
      </c>
      <c r="D3215" s="21">
        <v>32000</v>
      </c>
      <c r="E3215" s="21">
        <v>32</v>
      </c>
      <c r="F3215" s="21" t="s">
        <v>3631</v>
      </c>
    </row>
    <row r="3216" spans="1:6" x14ac:dyDescent="0.25">
      <c r="A3216" s="21" t="s">
        <v>3632</v>
      </c>
      <c r="B3216" s="21" t="s">
        <v>22</v>
      </c>
      <c r="C3216" s="21">
        <v>40</v>
      </c>
      <c r="D3216" s="21">
        <v>1200</v>
      </c>
      <c r="E3216" s="21">
        <v>30</v>
      </c>
      <c r="F3216" s="21" t="s">
        <v>3633</v>
      </c>
    </row>
    <row r="3217" spans="1:6" x14ac:dyDescent="0.25">
      <c r="A3217" s="21" t="s">
        <v>3634</v>
      </c>
      <c r="B3217" s="21" t="s">
        <v>22</v>
      </c>
      <c r="C3217" s="21">
        <v>50</v>
      </c>
      <c r="D3217" s="21">
        <v>1800</v>
      </c>
      <c r="E3217" s="21">
        <v>36</v>
      </c>
      <c r="F3217" s="21" t="s">
        <v>3635</v>
      </c>
    </row>
    <row r="3218" spans="1:6" x14ac:dyDescent="0.25">
      <c r="A3218" s="21" t="s">
        <v>3636</v>
      </c>
      <c r="B3218" s="21" t="s">
        <v>22</v>
      </c>
      <c r="C3218" s="21">
        <v>50</v>
      </c>
      <c r="D3218" s="21">
        <v>6000</v>
      </c>
      <c r="E3218" s="21">
        <f>+D3218/C3218</f>
        <v>120</v>
      </c>
      <c r="F3218" s="21" t="s">
        <v>3639</v>
      </c>
    </row>
    <row r="3219" spans="1:6" x14ac:dyDescent="0.25">
      <c r="A3219" s="21" t="s">
        <v>3637</v>
      </c>
      <c r="B3219" s="21" t="s">
        <v>22</v>
      </c>
      <c r="C3219" s="21">
        <v>50</v>
      </c>
      <c r="D3219" s="21">
        <v>6000</v>
      </c>
      <c r="E3219" s="21">
        <f t="shared" ref="E3219:E3220" si="1">+D3219/C3219</f>
        <v>120</v>
      </c>
      <c r="F3219" s="21" t="s">
        <v>3639</v>
      </c>
    </row>
    <row r="3220" spans="1:6" x14ac:dyDescent="0.25">
      <c r="A3220" s="21" t="s">
        <v>3638</v>
      </c>
      <c r="B3220" s="21" t="s">
        <v>22</v>
      </c>
      <c r="C3220" s="21">
        <v>100</v>
      </c>
      <c r="D3220" s="21">
        <v>4800</v>
      </c>
      <c r="E3220" s="21">
        <f t="shared" si="1"/>
        <v>48</v>
      </c>
      <c r="F3220" s="21" t="s">
        <v>3639</v>
      </c>
    </row>
    <row r="3221" spans="1:6" x14ac:dyDescent="0.25">
      <c r="A3221" s="21" t="s">
        <v>3640</v>
      </c>
      <c r="B3221" s="21" t="s">
        <v>22</v>
      </c>
      <c r="C3221" s="21">
        <v>20</v>
      </c>
      <c r="D3221" s="21">
        <v>1040</v>
      </c>
      <c r="E3221" s="21">
        <v>52</v>
      </c>
      <c r="F3221" s="21" t="s">
        <v>3639</v>
      </c>
    </row>
    <row r="3222" spans="1:6" x14ac:dyDescent="0.25">
      <c r="A3222" s="21" t="s">
        <v>3641</v>
      </c>
      <c r="B3222" s="21" t="s">
        <v>22</v>
      </c>
      <c r="C3222" s="21">
        <v>648</v>
      </c>
      <c r="D3222" s="21">
        <v>20736</v>
      </c>
      <c r="E3222" s="21">
        <v>32</v>
      </c>
      <c r="F3222" s="21" t="s">
        <v>3643</v>
      </c>
    </row>
    <row r="3223" spans="1:6" x14ac:dyDescent="0.25">
      <c r="A3223" s="21" t="s">
        <v>3642</v>
      </c>
      <c r="B3223" s="21" t="s">
        <v>22</v>
      </c>
      <c r="C3223" s="21">
        <v>648</v>
      </c>
      <c r="D3223" s="21">
        <v>20736</v>
      </c>
      <c r="E3223" s="21">
        <v>32</v>
      </c>
      <c r="F3223" s="21" t="s">
        <v>3643</v>
      </c>
    </row>
    <row r="3224" spans="1:6" x14ac:dyDescent="0.25">
      <c r="A3224" s="21" t="s">
        <v>3644</v>
      </c>
      <c r="B3224" s="21" t="s">
        <v>22</v>
      </c>
      <c r="C3224" s="21">
        <v>648</v>
      </c>
      <c r="D3224" s="21">
        <v>15552</v>
      </c>
      <c r="E3224" s="21">
        <v>24</v>
      </c>
      <c r="F3224" s="21" t="s">
        <v>3643</v>
      </c>
    </row>
    <row r="3225" spans="1:6" x14ac:dyDescent="0.25">
      <c r="A3225" s="21" t="s">
        <v>3645</v>
      </c>
      <c r="B3225" s="21" t="s">
        <v>22</v>
      </c>
      <c r="C3225" s="21">
        <v>1000</v>
      </c>
      <c r="D3225" s="21">
        <v>32000</v>
      </c>
      <c r="E3225" s="21">
        <v>32</v>
      </c>
      <c r="F3225" s="21" t="s">
        <v>3643</v>
      </c>
    </row>
    <row r="3226" spans="1:6" x14ac:dyDescent="0.25">
      <c r="A3226" s="21" t="s">
        <v>3650</v>
      </c>
      <c r="B3226" s="21" t="s">
        <v>22</v>
      </c>
      <c r="C3226" s="21">
        <v>6</v>
      </c>
      <c r="D3226" s="21">
        <v>180</v>
      </c>
      <c r="E3226" s="21">
        <v>30</v>
      </c>
      <c r="F3226" s="21" t="s">
        <v>3643</v>
      </c>
    </row>
    <row r="3227" spans="1:6" x14ac:dyDescent="0.25">
      <c r="A3227" s="21" t="s">
        <v>3653</v>
      </c>
      <c r="B3227" s="21" t="s">
        <v>22</v>
      </c>
      <c r="C3227" s="21">
        <v>5</v>
      </c>
      <c r="D3227" s="21">
        <v>60</v>
      </c>
      <c r="E3227" s="21">
        <v>12</v>
      </c>
      <c r="F3227" s="21" t="s">
        <v>3654</v>
      </c>
    </row>
    <row r="3228" spans="1:6" x14ac:dyDescent="0.25">
      <c r="A3228" s="21" t="s">
        <v>3924</v>
      </c>
      <c r="B3228" s="21" t="s">
        <v>22</v>
      </c>
      <c r="C3228" s="21">
        <v>40</v>
      </c>
      <c r="D3228" s="21">
        <v>480</v>
      </c>
      <c r="E3228" s="21">
        <v>12</v>
      </c>
      <c r="F3228" s="21" t="s">
        <v>3927</v>
      </c>
    </row>
    <row r="3229" spans="1:6" x14ac:dyDescent="0.25">
      <c r="A3229" s="21" t="s">
        <v>3925</v>
      </c>
      <c r="B3229" s="21" t="s">
        <v>22</v>
      </c>
      <c r="C3229" s="21">
        <v>40</v>
      </c>
      <c r="D3229" s="21">
        <v>1600</v>
      </c>
      <c r="E3229" s="21">
        <v>40</v>
      </c>
      <c r="F3229" s="21" t="s">
        <v>3927</v>
      </c>
    </row>
    <row r="3230" spans="1:6" x14ac:dyDescent="0.25">
      <c r="A3230" s="21" t="s">
        <v>3926</v>
      </c>
      <c r="B3230" s="21" t="s">
        <v>22</v>
      </c>
      <c r="C3230" s="21">
        <v>40</v>
      </c>
      <c r="D3230" s="21">
        <v>1600</v>
      </c>
      <c r="E3230" s="21">
        <v>40</v>
      </c>
      <c r="F3230" s="21" t="s">
        <v>3927</v>
      </c>
    </row>
    <row r="3231" spans="1:6" x14ac:dyDescent="0.25">
      <c r="A3231" s="21" t="s">
        <v>3928</v>
      </c>
      <c r="B3231" s="21" t="s">
        <v>22</v>
      </c>
      <c r="C3231" s="21">
        <v>5</v>
      </c>
      <c r="D3231" s="21">
        <v>150</v>
      </c>
      <c r="E3231" s="21">
        <v>30</v>
      </c>
      <c r="F3231" s="21" t="s">
        <v>3930</v>
      </c>
    </row>
    <row r="3232" spans="1:6" x14ac:dyDescent="0.25">
      <c r="A3232" s="21" t="s">
        <v>3929</v>
      </c>
      <c r="B3232" s="21" t="s">
        <v>22</v>
      </c>
      <c r="C3232" s="21">
        <v>12</v>
      </c>
      <c r="D3232" s="21">
        <v>324</v>
      </c>
      <c r="E3232" s="21">
        <v>27</v>
      </c>
      <c r="F3232" s="21" t="s">
        <v>3930</v>
      </c>
    </row>
    <row r="3233" spans="1:6" x14ac:dyDescent="0.25">
      <c r="A3233" s="40" t="s">
        <v>3936</v>
      </c>
      <c r="B3233" s="40" t="s">
        <v>22</v>
      </c>
      <c r="C3233" s="40">
        <v>30</v>
      </c>
      <c r="D3233" s="40">
        <v>1500</v>
      </c>
      <c r="E3233">
        <v>50</v>
      </c>
      <c r="F3233" s="40" t="s">
        <v>3937</v>
      </c>
    </row>
    <row r="3234" spans="1:6" x14ac:dyDescent="0.25">
      <c r="A3234" s="40" t="s">
        <v>3938</v>
      </c>
      <c r="B3234" s="40" t="s">
        <v>22</v>
      </c>
      <c r="C3234" s="40">
        <v>30</v>
      </c>
      <c r="D3234" s="40">
        <v>1500</v>
      </c>
      <c r="E3234">
        <v>50</v>
      </c>
      <c r="F3234" s="40" t="s">
        <v>3937</v>
      </c>
    </row>
    <row r="3235" spans="1:6" x14ac:dyDescent="0.25">
      <c r="A3235" s="40" t="s">
        <v>3939</v>
      </c>
      <c r="B3235" s="40" t="s">
        <v>22</v>
      </c>
      <c r="C3235" s="40">
        <v>30</v>
      </c>
      <c r="D3235" s="40">
        <v>1500</v>
      </c>
      <c r="E3235">
        <v>50</v>
      </c>
      <c r="F3235" s="40" t="s">
        <v>3937</v>
      </c>
    </row>
    <row r="3236" spans="1:6" x14ac:dyDescent="0.25">
      <c r="A3236" s="21" t="s">
        <v>3940</v>
      </c>
      <c r="B3236" s="40" t="s">
        <v>22</v>
      </c>
      <c r="C3236" s="40">
        <v>30</v>
      </c>
      <c r="D3236" s="40">
        <v>1500</v>
      </c>
      <c r="E3236">
        <v>50</v>
      </c>
      <c r="F3236" s="40" t="s">
        <v>3937</v>
      </c>
    </row>
    <row r="3237" spans="1:6" x14ac:dyDescent="0.25">
      <c r="A3237" s="21" t="s">
        <v>3941</v>
      </c>
      <c r="B3237" s="40" t="s">
        <v>22</v>
      </c>
      <c r="C3237" s="40">
        <v>30</v>
      </c>
      <c r="D3237" s="40">
        <v>1500</v>
      </c>
      <c r="E3237">
        <v>50</v>
      </c>
      <c r="F3237" s="40" t="s">
        <v>3937</v>
      </c>
    </row>
    <row r="3238" spans="1:6" x14ac:dyDescent="0.25">
      <c r="A3238" t="s">
        <v>3944</v>
      </c>
      <c r="B3238" s="40" t="s">
        <v>22</v>
      </c>
      <c r="C3238" s="40">
        <v>60</v>
      </c>
      <c r="D3238" s="40">
        <v>1200</v>
      </c>
      <c r="E3238">
        <v>20</v>
      </c>
      <c r="F3238" s="40" t="s">
        <v>3945</v>
      </c>
    </row>
    <row r="3239" spans="1:6" x14ac:dyDescent="0.25">
      <c r="A3239" t="s">
        <v>3946</v>
      </c>
      <c r="B3239" s="40" t="s">
        <v>22</v>
      </c>
      <c r="C3239" s="40">
        <v>60</v>
      </c>
      <c r="D3239" s="40">
        <v>1200</v>
      </c>
      <c r="E3239">
        <v>20</v>
      </c>
      <c r="F3239" s="40" t="s">
        <v>3945</v>
      </c>
    </row>
    <row r="3240" spans="1:6" x14ac:dyDescent="0.25">
      <c r="A3240" t="s">
        <v>3947</v>
      </c>
      <c r="B3240" s="40" t="s">
        <v>22</v>
      </c>
      <c r="C3240" s="40">
        <v>200</v>
      </c>
      <c r="D3240" s="40">
        <v>6000</v>
      </c>
      <c r="E3240">
        <v>30</v>
      </c>
      <c r="F3240" s="40" t="s">
        <v>3948</v>
      </c>
    </row>
    <row r="3241" spans="1:6" x14ac:dyDescent="0.25">
      <c r="A3241" t="s">
        <v>3958</v>
      </c>
      <c r="B3241" s="40" t="s">
        <v>22</v>
      </c>
      <c r="C3241" s="40">
        <v>30</v>
      </c>
      <c r="D3241" s="40">
        <v>1500</v>
      </c>
      <c r="E3241">
        <v>50</v>
      </c>
      <c r="F3241" s="40" t="s">
        <v>3962</v>
      </c>
    </row>
    <row r="3242" spans="1:6" x14ac:dyDescent="0.25">
      <c r="A3242" t="s">
        <v>3959</v>
      </c>
      <c r="B3242" s="40" t="s">
        <v>22</v>
      </c>
      <c r="C3242" s="40">
        <v>30</v>
      </c>
      <c r="D3242" s="40">
        <v>1500</v>
      </c>
      <c r="E3242">
        <v>50</v>
      </c>
      <c r="F3242" s="40" t="s">
        <v>3962</v>
      </c>
    </row>
    <row r="3243" spans="1:6" x14ac:dyDescent="0.25">
      <c r="A3243" t="s">
        <v>3960</v>
      </c>
      <c r="B3243" s="40" t="s">
        <v>22</v>
      </c>
      <c r="C3243" s="40">
        <v>30</v>
      </c>
      <c r="D3243" s="40">
        <v>1500</v>
      </c>
      <c r="E3243">
        <v>50</v>
      </c>
      <c r="F3243" s="40" t="s">
        <v>3962</v>
      </c>
    </row>
    <row r="3244" spans="1:6" x14ac:dyDescent="0.25">
      <c r="A3244" t="s">
        <v>3961</v>
      </c>
      <c r="B3244" s="40" t="s">
        <v>22</v>
      </c>
      <c r="C3244" s="40">
        <v>30</v>
      </c>
      <c r="D3244" s="40">
        <v>1500</v>
      </c>
      <c r="E3244">
        <v>50</v>
      </c>
      <c r="F3244" s="40" t="s">
        <v>3962</v>
      </c>
    </row>
    <row r="3245" spans="1:6" x14ac:dyDescent="0.25">
      <c r="A3245" t="s">
        <v>3971</v>
      </c>
      <c r="B3245" s="40" t="s">
        <v>22</v>
      </c>
      <c r="C3245">
        <v>8</v>
      </c>
      <c r="D3245" s="40">
        <v>480</v>
      </c>
      <c r="E3245">
        <f>+D3245/C3245</f>
        <v>60</v>
      </c>
      <c r="F3245" s="40" t="s">
        <v>3962</v>
      </c>
    </row>
    <row r="3246" spans="1:6" x14ac:dyDescent="0.25">
      <c r="A3246" t="s">
        <v>3972</v>
      </c>
      <c r="B3246" s="40" t="s">
        <v>22</v>
      </c>
      <c r="C3246">
        <v>8</v>
      </c>
      <c r="D3246" s="40">
        <v>480</v>
      </c>
      <c r="E3246">
        <f>+D3246/C3246</f>
        <v>60</v>
      </c>
      <c r="F3246" s="40" t="s">
        <v>3962</v>
      </c>
    </row>
    <row r="3247" spans="1:6" x14ac:dyDescent="0.25">
      <c r="A3247" t="s">
        <v>3963</v>
      </c>
      <c r="B3247" s="40" t="s">
        <v>22</v>
      </c>
      <c r="C3247">
        <v>40</v>
      </c>
      <c r="D3247" s="40">
        <v>3600</v>
      </c>
      <c r="E3247">
        <v>90</v>
      </c>
      <c r="F3247" s="40" t="s">
        <v>3962</v>
      </c>
    </row>
    <row r="3248" spans="1:6" x14ac:dyDescent="0.25">
      <c r="A3248" t="s">
        <v>3964</v>
      </c>
      <c r="B3248" s="40" t="s">
        <v>22</v>
      </c>
      <c r="C3248">
        <v>40</v>
      </c>
      <c r="D3248" s="40">
        <v>3600</v>
      </c>
      <c r="E3248">
        <v>90</v>
      </c>
      <c r="F3248" s="40" t="s">
        <v>3962</v>
      </c>
    </row>
    <row r="3249" spans="1:6" x14ac:dyDescent="0.25">
      <c r="A3249" t="s">
        <v>3973</v>
      </c>
      <c r="B3249" s="40" t="s">
        <v>22</v>
      </c>
      <c r="C3249">
        <v>5</v>
      </c>
      <c r="D3249" s="40">
        <v>300</v>
      </c>
      <c r="E3249">
        <v>60</v>
      </c>
      <c r="F3249" s="40" t="s">
        <v>3962</v>
      </c>
    </row>
    <row r="3250" spans="1:6" x14ac:dyDescent="0.25">
      <c r="A3250" t="s">
        <v>3974</v>
      </c>
      <c r="B3250" s="40" t="s">
        <v>22</v>
      </c>
      <c r="C3250">
        <v>5</v>
      </c>
      <c r="D3250" s="40">
        <v>300</v>
      </c>
      <c r="E3250">
        <v>60</v>
      </c>
      <c r="F3250" s="40" t="s">
        <v>3962</v>
      </c>
    </row>
    <row r="3251" spans="1:6" x14ac:dyDescent="0.25">
      <c r="A3251" t="s">
        <v>3975</v>
      </c>
      <c r="B3251" s="40" t="s">
        <v>22</v>
      </c>
      <c r="C3251">
        <v>5</v>
      </c>
      <c r="D3251" s="40">
        <v>240</v>
      </c>
      <c r="E3251">
        <v>48</v>
      </c>
      <c r="F3251" s="40" t="s">
        <v>3962</v>
      </c>
    </row>
    <row r="3252" spans="1:6" x14ac:dyDescent="0.25">
      <c r="A3252" t="s">
        <v>3976</v>
      </c>
      <c r="B3252" s="40" t="s">
        <v>22</v>
      </c>
      <c r="C3252">
        <v>5</v>
      </c>
      <c r="D3252" s="40">
        <v>240</v>
      </c>
      <c r="E3252">
        <v>48</v>
      </c>
      <c r="F3252" s="40" t="s">
        <v>3962</v>
      </c>
    </row>
    <row r="3253" spans="1:6" x14ac:dyDescent="0.25">
      <c r="A3253" t="s">
        <v>3965</v>
      </c>
      <c r="B3253" s="40" t="s">
        <v>22</v>
      </c>
      <c r="C3253">
        <v>30</v>
      </c>
      <c r="D3253" s="40">
        <v>2100</v>
      </c>
      <c r="E3253">
        <v>70</v>
      </c>
      <c r="F3253" s="40" t="s">
        <v>3962</v>
      </c>
    </row>
    <row r="3254" spans="1:6" x14ac:dyDescent="0.25">
      <c r="A3254" t="s">
        <v>3966</v>
      </c>
      <c r="B3254" s="40" t="s">
        <v>22</v>
      </c>
      <c r="C3254">
        <v>30</v>
      </c>
      <c r="D3254" s="40">
        <v>2100</v>
      </c>
      <c r="E3254">
        <v>70</v>
      </c>
      <c r="F3254" s="40" t="s">
        <v>3962</v>
      </c>
    </row>
    <row r="3255" spans="1:6" x14ac:dyDescent="0.25">
      <c r="A3255" t="s">
        <v>3967</v>
      </c>
      <c r="B3255" s="40" t="s">
        <v>22</v>
      </c>
      <c r="C3255">
        <v>20</v>
      </c>
      <c r="D3255" s="40">
        <v>1260</v>
      </c>
      <c r="E3255">
        <v>63</v>
      </c>
      <c r="F3255" s="40" t="s">
        <v>3962</v>
      </c>
    </row>
    <row r="3256" spans="1:6" x14ac:dyDescent="0.25">
      <c r="A3256" t="s">
        <v>3968</v>
      </c>
      <c r="B3256" s="40" t="s">
        <v>22</v>
      </c>
      <c r="C3256">
        <v>20</v>
      </c>
      <c r="D3256" s="40">
        <v>1260</v>
      </c>
      <c r="E3256">
        <v>63</v>
      </c>
      <c r="F3256" s="40" t="s">
        <v>3962</v>
      </c>
    </row>
    <row r="3257" spans="1:6" x14ac:dyDescent="0.25">
      <c r="A3257" t="s">
        <v>3969</v>
      </c>
      <c r="B3257" s="40" t="s">
        <v>22</v>
      </c>
      <c r="C3257">
        <v>15</v>
      </c>
      <c r="D3257" s="40">
        <v>600</v>
      </c>
      <c r="E3257">
        <v>40</v>
      </c>
      <c r="F3257" s="40" t="s">
        <v>3962</v>
      </c>
    </row>
    <row r="3258" spans="1:6" x14ac:dyDescent="0.25">
      <c r="A3258" t="s">
        <v>3970</v>
      </c>
      <c r="B3258" s="40" t="s">
        <v>22</v>
      </c>
      <c r="C3258">
        <v>15</v>
      </c>
      <c r="D3258" s="40">
        <v>600</v>
      </c>
      <c r="E3258">
        <v>40</v>
      </c>
      <c r="F3258" s="40" t="s">
        <v>3962</v>
      </c>
    </row>
    <row r="3259" spans="1:6" x14ac:dyDescent="0.25">
      <c r="A3259" t="s">
        <v>3977</v>
      </c>
      <c r="B3259" s="40" t="s">
        <v>22</v>
      </c>
      <c r="C3259">
        <v>60</v>
      </c>
      <c r="D3259" s="40">
        <v>1800</v>
      </c>
      <c r="E3259">
        <v>30</v>
      </c>
      <c r="F3259" s="40" t="s">
        <v>3962</v>
      </c>
    </row>
    <row r="3260" spans="1:6" x14ac:dyDescent="0.25">
      <c r="A3260" t="s">
        <v>3978</v>
      </c>
      <c r="B3260" s="40" t="s">
        <v>22</v>
      </c>
      <c r="C3260">
        <v>30</v>
      </c>
      <c r="D3260" s="40">
        <v>1500</v>
      </c>
      <c r="E3260">
        <v>50</v>
      </c>
      <c r="F3260" s="40" t="s">
        <v>3987</v>
      </c>
    </row>
    <row r="3261" spans="1:6" x14ac:dyDescent="0.25">
      <c r="A3261" t="s">
        <v>3979</v>
      </c>
      <c r="B3261" s="40" t="s">
        <v>22</v>
      </c>
      <c r="C3261">
        <v>30</v>
      </c>
      <c r="D3261" s="40">
        <v>1500</v>
      </c>
      <c r="E3261">
        <v>50</v>
      </c>
      <c r="F3261" s="40" t="s">
        <v>3987</v>
      </c>
    </row>
    <row r="3262" spans="1:6" x14ac:dyDescent="0.25">
      <c r="A3262" t="s">
        <v>3980</v>
      </c>
      <c r="B3262" s="40" t="s">
        <v>22</v>
      </c>
      <c r="C3262">
        <v>30</v>
      </c>
      <c r="D3262" s="40">
        <v>1500</v>
      </c>
      <c r="E3262">
        <v>50</v>
      </c>
      <c r="F3262" s="40" t="s">
        <v>3987</v>
      </c>
    </row>
    <row r="3263" spans="1:6" x14ac:dyDescent="0.25">
      <c r="A3263" t="s">
        <v>3981</v>
      </c>
      <c r="B3263" s="40" t="s">
        <v>22</v>
      </c>
      <c r="C3263">
        <v>30</v>
      </c>
      <c r="D3263" s="40">
        <v>1500</v>
      </c>
      <c r="E3263">
        <v>50</v>
      </c>
      <c r="F3263" s="40" t="s">
        <v>3987</v>
      </c>
    </row>
    <row r="3264" spans="1:6" x14ac:dyDescent="0.25">
      <c r="A3264" t="s">
        <v>3982</v>
      </c>
      <c r="B3264" s="40" t="s">
        <v>22</v>
      </c>
      <c r="C3264">
        <v>30</v>
      </c>
      <c r="D3264" s="40">
        <v>1500</v>
      </c>
      <c r="E3264">
        <v>50</v>
      </c>
      <c r="F3264" s="40" t="s">
        <v>3987</v>
      </c>
    </row>
    <row r="3265" spans="1:6" x14ac:dyDescent="0.25">
      <c r="A3265" t="s">
        <v>3983</v>
      </c>
      <c r="B3265" s="40" t="s">
        <v>22</v>
      </c>
      <c r="C3265">
        <v>30</v>
      </c>
      <c r="D3265" s="40">
        <v>1500</v>
      </c>
      <c r="E3265">
        <v>50</v>
      </c>
      <c r="F3265" s="40" t="s">
        <v>3987</v>
      </c>
    </row>
    <row r="3266" spans="1:6" x14ac:dyDescent="0.25">
      <c r="A3266" t="s">
        <v>3984</v>
      </c>
      <c r="B3266" s="40" t="s">
        <v>22</v>
      </c>
      <c r="C3266">
        <v>20</v>
      </c>
      <c r="D3266" s="40">
        <v>1040</v>
      </c>
      <c r="E3266">
        <v>52</v>
      </c>
      <c r="F3266" s="40" t="s">
        <v>3987</v>
      </c>
    </row>
    <row r="3267" spans="1:6" x14ac:dyDescent="0.25">
      <c r="A3267" t="s">
        <v>3985</v>
      </c>
      <c r="B3267" s="40" t="s">
        <v>22</v>
      </c>
      <c r="C3267">
        <v>30</v>
      </c>
      <c r="D3267" s="40">
        <v>1500</v>
      </c>
      <c r="E3267">
        <v>50</v>
      </c>
      <c r="F3267" s="40" t="s">
        <v>3987</v>
      </c>
    </row>
    <row r="3268" spans="1:6" x14ac:dyDescent="0.25">
      <c r="A3268" t="s">
        <v>3986</v>
      </c>
      <c r="B3268" s="40" t="s">
        <v>22</v>
      </c>
      <c r="C3268">
        <v>30</v>
      </c>
      <c r="D3268" s="40">
        <v>1500</v>
      </c>
      <c r="E3268">
        <v>50</v>
      </c>
      <c r="F3268" s="40" t="s">
        <v>3987</v>
      </c>
    </row>
    <row r="3269" spans="1:6" x14ac:dyDescent="0.25">
      <c r="A3269" t="s">
        <v>3988</v>
      </c>
      <c r="B3269" s="40" t="s">
        <v>22</v>
      </c>
      <c r="C3269">
        <v>20</v>
      </c>
      <c r="D3269" s="40">
        <v>1040</v>
      </c>
      <c r="E3269">
        <v>52</v>
      </c>
      <c r="F3269" s="40" t="s">
        <v>3987</v>
      </c>
    </row>
    <row r="3270" spans="1:6" x14ac:dyDescent="0.25">
      <c r="A3270" t="s">
        <v>3989</v>
      </c>
      <c r="B3270" s="40" t="s">
        <v>22</v>
      </c>
      <c r="C3270">
        <v>20</v>
      </c>
      <c r="D3270" s="40">
        <v>1040</v>
      </c>
      <c r="E3270">
        <v>52</v>
      </c>
      <c r="F3270" s="40" t="s">
        <v>3987</v>
      </c>
    </row>
    <row r="3271" spans="1:6" x14ac:dyDescent="0.25">
      <c r="A3271" t="s">
        <v>3990</v>
      </c>
      <c r="B3271" s="40" t="s">
        <v>22</v>
      </c>
      <c r="C3271">
        <v>20</v>
      </c>
      <c r="D3271" s="40">
        <v>1040</v>
      </c>
      <c r="E3271">
        <v>52</v>
      </c>
      <c r="F3271" s="40" t="s">
        <v>3987</v>
      </c>
    </row>
    <row r="3272" spans="1:6" x14ac:dyDescent="0.25">
      <c r="A3272" t="s">
        <v>3991</v>
      </c>
      <c r="B3272" s="40" t="s">
        <v>22</v>
      </c>
      <c r="C3272">
        <v>20</v>
      </c>
      <c r="D3272" s="40">
        <v>1040</v>
      </c>
      <c r="E3272">
        <v>52</v>
      </c>
      <c r="F3272" s="40" t="s">
        <v>3987</v>
      </c>
    </row>
    <row r="3273" spans="1:6" x14ac:dyDescent="0.25">
      <c r="A3273" t="s">
        <v>3992</v>
      </c>
      <c r="B3273" s="40" t="s">
        <v>22</v>
      </c>
      <c r="C3273">
        <v>20</v>
      </c>
      <c r="D3273" s="40">
        <v>1040</v>
      </c>
      <c r="E3273">
        <v>52</v>
      </c>
      <c r="F3273" s="40" t="s">
        <v>3987</v>
      </c>
    </row>
    <row r="3274" spans="1:6" x14ac:dyDescent="0.25">
      <c r="A3274" t="s">
        <v>3993</v>
      </c>
      <c r="B3274" s="40" t="s">
        <v>22</v>
      </c>
      <c r="C3274">
        <v>20</v>
      </c>
      <c r="D3274" s="40">
        <v>1040</v>
      </c>
      <c r="E3274">
        <v>52</v>
      </c>
      <c r="F3274" s="40" t="s">
        <v>3987</v>
      </c>
    </row>
    <row r="3275" spans="1:6" x14ac:dyDescent="0.25">
      <c r="A3275" t="s">
        <v>3994</v>
      </c>
      <c r="B3275" s="40" t="s">
        <v>22</v>
      </c>
      <c r="C3275">
        <v>20</v>
      </c>
      <c r="D3275" s="40">
        <v>1040</v>
      </c>
      <c r="E3275">
        <v>52</v>
      </c>
      <c r="F3275" s="40" t="s">
        <v>3987</v>
      </c>
    </row>
    <row r="3276" spans="1:6" x14ac:dyDescent="0.25">
      <c r="A3276" t="s">
        <v>3995</v>
      </c>
      <c r="B3276" s="40" t="s">
        <v>22</v>
      </c>
      <c r="C3276">
        <v>20</v>
      </c>
      <c r="D3276" s="40">
        <v>1040</v>
      </c>
      <c r="E3276">
        <v>52</v>
      </c>
      <c r="F3276" s="40" t="s">
        <v>3987</v>
      </c>
    </row>
    <row r="3277" spans="1:6" x14ac:dyDescent="0.25">
      <c r="A3277" t="s">
        <v>4014</v>
      </c>
      <c r="B3277" s="40" t="s">
        <v>22</v>
      </c>
      <c r="C3277">
        <v>12</v>
      </c>
      <c r="D3277">
        <v>432</v>
      </c>
      <c r="E3277">
        <f>432/12</f>
        <v>36</v>
      </c>
      <c r="F3277" s="40" t="s">
        <v>4016</v>
      </c>
    </row>
    <row r="3278" spans="1:6" x14ac:dyDescent="0.25">
      <c r="A3278" t="s">
        <v>4015</v>
      </c>
      <c r="B3278" s="40" t="s">
        <v>22</v>
      </c>
      <c r="C3278">
        <v>12</v>
      </c>
      <c r="D3278">
        <v>432</v>
      </c>
      <c r="E3278">
        <f>432/12</f>
        <v>36</v>
      </c>
      <c r="F3278" s="40" t="s">
        <v>4016</v>
      </c>
    </row>
    <row r="3279" spans="1:6" x14ac:dyDescent="0.25">
      <c r="A3279" t="s">
        <v>4024</v>
      </c>
      <c r="B3279" s="40" t="s">
        <v>22</v>
      </c>
      <c r="C3279">
        <v>60</v>
      </c>
      <c r="D3279">
        <v>1800</v>
      </c>
      <c r="E3279">
        <f>+D3279/C3279</f>
        <v>30</v>
      </c>
      <c r="F3279" s="40" t="s">
        <v>4039</v>
      </c>
    </row>
    <row r="3280" spans="1:6" x14ac:dyDescent="0.25">
      <c r="A3280" t="s">
        <v>4026</v>
      </c>
      <c r="B3280" s="40" t="s">
        <v>22</v>
      </c>
      <c r="C3280">
        <v>60</v>
      </c>
      <c r="D3280">
        <v>1200</v>
      </c>
      <c r="E3280">
        <f t="shared" ref="E3280:E3292" si="2">+D3280/C3280</f>
        <v>20</v>
      </c>
      <c r="F3280" s="40" t="s">
        <v>4039</v>
      </c>
    </row>
    <row r="3281" spans="1:6" x14ac:dyDescent="0.25">
      <c r="A3281" t="s">
        <v>4027</v>
      </c>
      <c r="B3281" s="40" t="s">
        <v>22</v>
      </c>
      <c r="C3281">
        <v>40</v>
      </c>
      <c r="D3281">
        <v>960</v>
      </c>
      <c r="E3281">
        <f t="shared" si="2"/>
        <v>24</v>
      </c>
      <c r="F3281" s="40" t="s">
        <v>4039</v>
      </c>
    </row>
    <row r="3282" spans="1:6" x14ac:dyDescent="0.25">
      <c r="A3282" t="s">
        <v>4028</v>
      </c>
      <c r="B3282" s="40" t="s">
        <v>22</v>
      </c>
      <c r="C3282">
        <v>40</v>
      </c>
      <c r="D3282">
        <v>960</v>
      </c>
      <c r="E3282">
        <f t="shared" si="2"/>
        <v>24</v>
      </c>
      <c r="F3282" s="40" t="s">
        <v>4039</v>
      </c>
    </row>
    <row r="3283" spans="1:6" x14ac:dyDescent="0.25">
      <c r="A3283" t="s">
        <v>4029</v>
      </c>
      <c r="B3283" s="40" t="s">
        <v>22</v>
      </c>
      <c r="C3283">
        <v>60</v>
      </c>
      <c r="D3283">
        <v>1800</v>
      </c>
      <c r="E3283">
        <f t="shared" si="2"/>
        <v>30</v>
      </c>
      <c r="F3283" s="40" t="s">
        <v>4039</v>
      </c>
    </row>
    <row r="3284" spans="1:6" x14ac:dyDescent="0.25">
      <c r="A3284" t="s">
        <v>4030</v>
      </c>
      <c r="B3284" s="40" t="s">
        <v>22</v>
      </c>
      <c r="C3284">
        <v>60</v>
      </c>
      <c r="D3284">
        <v>1200</v>
      </c>
      <c r="E3284">
        <f t="shared" si="2"/>
        <v>20</v>
      </c>
      <c r="F3284" s="40" t="s">
        <v>4039</v>
      </c>
    </row>
    <row r="3285" spans="1:6" x14ac:dyDescent="0.25">
      <c r="A3285" t="s">
        <v>4031</v>
      </c>
      <c r="B3285" s="40" t="s">
        <v>22</v>
      </c>
      <c r="C3285">
        <v>40</v>
      </c>
      <c r="D3285">
        <v>960</v>
      </c>
      <c r="E3285">
        <f t="shared" si="2"/>
        <v>24</v>
      </c>
      <c r="F3285" s="40" t="s">
        <v>4039</v>
      </c>
    </row>
    <row r="3286" spans="1:6" x14ac:dyDescent="0.25">
      <c r="A3286" t="s">
        <v>4032</v>
      </c>
      <c r="B3286" s="40" t="s">
        <v>22</v>
      </c>
      <c r="C3286">
        <v>40</v>
      </c>
      <c r="D3286">
        <v>960</v>
      </c>
      <c r="E3286">
        <f t="shared" si="2"/>
        <v>24</v>
      </c>
      <c r="F3286" s="40" t="s">
        <v>4039</v>
      </c>
    </row>
    <row r="3287" spans="1:6" x14ac:dyDescent="0.25">
      <c r="A3287" t="s">
        <v>4033</v>
      </c>
      <c r="B3287" s="40" t="s">
        <v>22</v>
      </c>
      <c r="C3287">
        <v>60</v>
      </c>
      <c r="D3287">
        <v>1200</v>
      </c>
      <c r="E3287">
        <f t="shared" si="2"/>
        <v>20</v>
      </c>
      <c r="F3287" s="40" t="s">
        <v>4039</v>
      </c>
    </row>
    <row r="3288" spans="1:6" x14ac:dyDescent="0.25">
      <c r="A3288" t="s">
        <v>4034</v>
      </c>
      <c r="B3288" s="40" t="s">
        <v>22</v>
      </c>
      <c r="C3288">
        <v>40</v>
      </c>
      <c r="D3288">
        <v>960</v>
      </c>
      <c r="E3288">
        <f t="shared" si="2"/>
        <v>24</v>
      </c>
      <c r="F3288" s="40" t="s">
        <v>4039</v>
      </c>
    </row>
    <row r="3289" spans="1:6" x14ac:dyDescent="0.25">
      <c r="A3289" t="s">
        <v>4035</v>
      </c>
      <c r="B3289" s="40" t="s">
        <v>22</v>
      </c>
      <c r="C3289">
        <v>40</v>
      </c>
      <c r="D3289">
        <v>960</v>
      </c>
      <c r="E3289">
        <f t="shared" si="2"/>
        <v>24</v>
      </c>
      <c r="F3289" s="40" t="s">
        <v>4039</v>
      </c>
    </row>
    <row r="3290" spans="1:6" x14ac:dyDescent="0.25">
      <c r="A3290" t="s">
        <v>4036</v>
      </c>
      <c r="B3290" s="40" t="s">
        <v>22</v>
      </c>
      <c r="C3290">
        <v>60</v>
      </c>
      <c r="D3290">
        <v>1800</v>
      </c>
      <c r="E3290">
        <f t="shared" si="2"/>
        <v>30</v>
      </c>
      <c r="F3290" s="40" t="s">
        <v>4039</v>
      </c>
    </row>
    <row r="3291" spans="1:6" x14ac:dyDescent="0.25">
      <c r="A3291" t="s">
        <v>4037</v>
      </c>
      <c r="B3291" s="40" t="s">
        <v>22</v>
      </c>
      <c r="C3291">
        <v>40</v>
      </c>
      <c r="D3291">
        <v>960</v>
      </c>
      <c r="E3291">
        <f t="shared" si="2"/>
        <v>24</v>
      </c>
      <c r="F3291" s="40" t="s">
        <v>4039</v>
      </c>
    </row>
    <row r="3292" spans="1:6" x14ac:dyDescent="0.25">
      <c r="A3292" t="s">
        <v>4038</v>
      </c>
      <c r="B3292" s="40" t="s">
        <v>22</v>
      </c>
      <c r="C3292">
        <v>40</v>
      </c>
      <c r="D3292">
        <v>960</v>
      </c>
      <c r="E3292">
        <f t="shared" si="2"/>
        <v>24</v>
      </c>
      <c r="F3292" s="40" t="s">
        <v>4039</v>
      </c>
    </row>
    <row r="3293" spans="1:6" x14ac:dyDescent="0.25">
      <c r="A3293" t="s">
        <v>4044</v>
      </c>
      <c r="B3293" s="40" t="s">
        <v>22</v>
      </c>
      <c r="C3293">
        <v>20</v>
      </c>
      <c r="D3293">
        <v>600</v>
      </c>
      <c r="E3293">
        <v>30</v>
      </c>
      <c r="F3293" s="40" t="s">
        <v>4039</v>
      </c>
    </row>
    <row r="3294" spans="1:6" x14ac:dyDescent="0.25">
      <c r="A3294" t="s">
        <v>4045</v>
      </c>
      <c r="B3294" s="40" t="s">
        <v>22</v>
      </c>
      <c r="C3294">
        <v>20</v>
      </c>
      <c r="D3294">
        <v>600</v>
      </c>
      <c r="E3294">
        <v>30</v>
      </c>
      <c r="F3294" s="40" t="s">
        <v>4039</v>
      </c>
    </row>
    <row r="3295" spans="1:6" x14ac:dyDescent="0.25">
      <c r="A3295" t="s">
        <v>4046</v>
      </c>
      <c r="B3295" s="40" t="s">
        <v>22</v>
      </c>
      <c r="C3295">
        <v>20</v>
      </c>
      <c r="D3295">
        <v>600</v>
      </c>
      <c r="E3295">
        <v>30</v>
      </c>
      <c r="F3295" s="40" t="s">
        <v>4039</v>
      </c>
    </row>
    <row r="3296" spans="1:6" x14ac:dyDescent="0.25">
      <c r="A3296" t="s">
        <v>4047</v>
      </c>
      <c r="B3296" s="40" t="s">
        <v>22</v>
      </c>
      <c r="C3296">
        <v>20</v>
      </c>
      <c r="D3296">
        <v>600</v>
      </c>
      <c r="E3296">
        <v>30</v>
      </c>
      <c r="F3296" s="40" t="s">
        <v>4039</v>
      </c>
    </row>
    <row r="3297" spans="1:6" x14ac:dyDescent="0.25">
      <c r="A3297" t="s">
        <v>4061</v>
      </c>
      <c r="B3297" s="40" t="s">
        <v>22</v>
      </c>
      <c r="C3297">
        <v>20</v>
      </c>
      <c r="D3297">
        <v>1040</v>
      </c>
      <c r="E3297">
        <f t="shared" ref="E3297:E3299" si="3">+D3297/C3297</f>
        <v>52</v>
      </c>
      <c r="F3297" s="40" t="s">
        <v>4039</v>
      </c>
    </row>
    <row r="3298" spans="1:6" x14ac:dyDescent="0.25">
      <c r="A3298" t="s">
        <v>4062</v>
      </c>
      <c r="B3298" s="40" t="s">
        <v>22</v>
      </c>
      <c r="C3298">
        <v>20</v>
      </c>
      <c r="D3298">
        <v>1040</v>
      </c>
      <c r="E3298">
        <f t="shared" si="3"/>
        <v>52</v>
      </c>
      <c r="F3298" s="40" t="s">
        <v>4039</v>
      </c>
    </row>
    <row r="3299" spans="1:6" x14ac:dyDescent="0.25">
      <c r="A3299" t="s">
        <v>4063</v>
      </c>
      <c r="B3299" s="40" t="s">
        <v>22</v>
      </c>
      <c r="C3299">
        <v>20</v>
      </c>
      <c r="D3299">
        <v>1040</v>
      </c>
      <c r="E3299">
        <f t="shared" si="3"/>
        <v>52</v>
      </c>
      <c r="F3299" s="40" t="s">
        <v>4039</v>
      </c>
    </row>
    <row r="3300" spans="1:6" x14ac:dyDescent="0.25">
      <c r="A3300" t="s">
        <v>4095</v>
      </c>
      <c r="B3300" s="40" t="s">
        <v>22</v>
      </c>
      <c r="C3300">
        <v>40</v>
      </c>
      <c r="D3300">
        <f>20*40</f>
        <v>800</v>
      </c>
      <c r="E3300">
        <v>20</v>
      </c>
      <c r="F3300" s="40" t="s">
        <v>4096</v>
      </c>
    </row>
    <row r="3301" spans="1:6" x14ac:dyDescent="0.25">
      <c r="A3301" t="s">
        <v>4097</v>
      </c>
      <c r="B3301" s="40" t="s">
        <v>22</v>
      </c>
      <c r="C3301">
        <v>40</v>
      </c>
      <c r="D3301">
        <f>20*40</f>
        <v>800</v>
      </c>
      <c r="E3301">
        <v>20</v>
      </c>
      <c r="F3301" s="40" t="s">
        <v>4096</v>
      </c>
    </row>
    <row r="3302" spans="1:6" x14ac:dyDescent="0.25">
      <c r="A3302" t="s">
        <v>4098</v>
      </c>
      <c r="B3302" s="40" t="s">
        <v>22</v>
      </c>
      <c r="C3302">
        <v>50</v>
      </c>
      <c r="D3302">
        <v>1000</v>
      </c>
      <c r="E3302">
        <v>20</v>
      </c>
      <c r="F3302" s="40" t="s">
        <v>4096</v>
      </c>
    </row>
    <row r="3303" spans="1:6" x14ac:dyDescent="0.25">
      <c r="A3303" t="s">
        <v>4099</v>
      </c>
      <c r="B3303" s="40" t="s">
        <v>22</v>
      </c>
      <c r="C3303">
        <v>50</v>
      </c>
      <c r="D3303">
        <v>1000</v>
      </c>
      <c r="E3303">
        <v>20</v>
      </c>
      <c r="F3303" s="40" t="s">
        <v>4096</v>
      </c>
    </row>
    <row r="3304" spans="1:6" x14ac:dyDescent="0.25">
      <c r="A3304" t="s">
        <v>4100</v>
      </c>
      <c r="B3304" s="40" t="s">
        <v>22</v>
      </c>
      <c r="C3304">
        <v>200</v>
      </c>
      <c r="D3304">
        <f>200*60</f>
        <v>12000</v>
      </c>
      <c r="E3304">
        <v>60</v>
      </c>
      <c r="F3304" s="40" t="s">
        <v>4096</v>
      </c>
    </row>
    <row r="3305" spans="1:6" x14ac:dyDescent="0.25">
      <c r="A3305" t="s">
        <v>4101</v>
      </c>
      <c r="B3305" s="40" t="s">
        <v>22</v>
      </c>
      <c r="C3305">
        <v>200</v>
      </c>
      <c r="D3305">
        <f>200*30</f>
        <v>6000</v>
      </c>
      <c r="E3305">
        <v>30</v>
      </c>
      <c r="F3305" s="40" t="s">
        <v>4096</v>
      </c>
    </row>
    <row r="3306" spans="1:6" x14ac:dyDescent="0.25">
      <c r="A3306" t="s">
        <v>4102</v>
      </c>
      <c r="B3306" s="40" t="s">
        <v>22</v>
      </c>
      <c r="C3306">
        <v>648</v>
      </c>
      <c r="D3306">
        <v>20736</v>
      </c>
      <c r="E3306">
        <f>+D3306/C3306</f>
        <v>32</v>
      </c>
      <c r="F3306" s="40" t="s">
        <v>4096</v>
      </c>
    </row>
    <row r="3307" spans="1:6" x14ac:dyDescent="0.25">
      <c r="A3307" t="s">
        <v>4129</v>
      </c>
      <c r="B3307" s="40" t="s">
        <v>22</v>
      </c>
      <c r="C3307">
        <v>80</v>
      </c>
      <c r="D3307">
        <v>2000</v>
      </c>
      <c r="E3307">
        <f>+D3307/C3307</f>
        <v>25</v>
      </c>
      <c r="F3307" s="40" t="s">
        <v>4096</v>
      </c>
    </row>
    <row r="3308" spans="1:6" x14ac:dyDescent="0.25">
      <c r="A3308" t="s">
        <v>4137</v>
      </c>
      <c r="B3308" s="40" t="s">
        <v>22</v>
      </c>
      <c r="C3308">
        <v>200</v>
      </c>
      <c r="D3308">
        <v>5000</v>
      </c>
      <c r="E3308">
        <v>25</v>
      </c>
      <c r="F3308" s="40" t="s">
        <v>4096</v>
      </c>
    </row>
    <row r="3309" spans="1:6" x14ac:dyDescent="0.25">
      <c r="A3309" t="s">
        <v>4145</v>
      </c>
      <c r="B3309" s="40" t="s">
        <v>22</v>
      </c>
      <c r="C3309">
        <v>200</v>
      </c>
      <c r="D3309">
        <v>5000</v>
      </c>
      <c r="E3309">
        <v>25</v>
      </c>
      <c r="F3309" s="40" t="s">
        <v>4096</v>
      </c>
    </row>
    <row r="3310" spans="1:6" x14ac:dyDescent="0.25">
      <c r="A3310" t="s">
        <v>4130</v>
      </c>
      <c r="B3310" s="40" t="s">
        <v>22</v>
      </c>
      <c r="C3310">
        <v>80</v>
      </c>
      <c r="D3310">
        <v>2000</v>
      </c>
      <c r="E3310">
        <f>+D3310/C3310</f>
        <v>25</v>
      </c>
      <c r="F3310" s="40" t="s">
        <v>4096</v>
      </c>
    </row>
    <row r="3311" spans="1:6" x14ac:dyDescent="0.25">
      <c r="A3311" t="s">
        <v>4138</v>
      </c>
      <c r="B3311" s="40" t="s">
        <v>22</v>
      </c>
      <c r="C3311">
        <v>200</v>
      </c>
      <c r="D3311">
        <v>5000</v>
      </c>
      <c r="E3311">
        <v>25</v>
      </c>
      <c r="F3311" s="40" t="s">
        <v>4096</v>
      </c>
    </row>
    <row r="3312" spans="1:6" x14ac:dyDescent="0.25">
      <c r="A3312" t="s">
        <v>4146</v>
      </c>
      <c r="B3312" s="40" t="s">
        <v>22</v>
      </c>
      <c r="C3312">
        <v>200</v>
      </c>
      <c r="D3312">
        <v>5000</v>
      </c>
      <c r="E3312">
        <v>25</v>
      </c>
      <c r="F3312" s="40" t="s">
        <v>4096</v>
      </c>
    </row>
    <row r="3313" spans="1:6" x14ac:dyDescent="0.25">
      <c r="A3313" t="s">
        <v>4131</v>
      </c>
      <c r="B3313" s="40" t="s">
        <v>22</v>
      </c>
      <c r="C3313">
        <v>80</v>
      </c>
      <c r="D3313">
        <v>2000</v>
      </c>
      <c r="E3313">
        <f>+D3313/C3313</f>
        <v>25</v>
      </c>
      <c r="F3313" s="40" t="s">
        <v>4096</v>
      </c>
    </row>
    <row r="3314" spans="1:6" x14ac:dyDescent="0.25">
      <c r="A3314" t="s">
        <v>4139</v>
      </c>
      <c r="B3314" s="40" t="s">
        <v>22</v>
      </c>
      <c r="C3314">
        <v>200</v>
      </c>
      <c r="D3314">
        <v>5000</v>
      </c>
      <c r="E3314">
        <v>25</v>
      </c>
      <c r="F3314" s="40" t="s">
        <v>4096</v>
      </c>
    </row>
    <row r="3315" spans="1:6" x14ac:dyDescent="0.25">
      <c r="A3315" t="s">
        <v>4147</v>
      </c>
      <c r="B3315" s="40" t="s">
        <v>22</v>
      </c>
      <c r="C3315">
        <v>200</v>
      </c>
      <c r="D3315">
        <v>5000</v>
      </c>
      <c r="E3315">
        <v>25</v>
      </c>
      <c r="F3315" s="40" t="s">
        <v>4096</v>
      </c>
    </row>
    <row r="3316" spans="1:6" x14ac:dyDescent="0.25">
      <c r="A3316" t="s">
        <v>4132</v>
      </c>
      <c r="B3316" s="40" t="s">
        <v>22</v>
      </c>
      <c r="C3316">
        <v>80</v>
      </c>
      <c r="D3316">
        <v>2000</v>
      </c>
      <c r="E3316">
        <f>+D3316/C3316</f>
        <v>25</v>
      </c>
      <c r="F3316" s="40" t="s">
        <v>4096</v>
      </c>
    </row>
    <row r="3317" spans="1:6" x14ac:dyDescent="0.25">
      <c r="A3317" t="s">
        <v>4140</v>
      </c>
      <c r="B3317" s="40" t="s">
        <v>22</v>
      </c>
      <c r="C3317">
        <v>200</v>
      </c>
      <c r="D3317">
        <v>5000</v>
      </c>
      <c r="E3317">
        <v>25</v>
      </c>
      <c r="F3317" s="40" t="s">
        <v>4096</v>
      </c>
    </row>
    <row r="3318" spans="1:6" x14ac:dyDescent="0.25">
      <c r="A3318" t="s">
        <v>4148</v>
      </c>
      <c r="B3318" s="40" t="s">
        <v>22</v>
      </c>
      <c r="C3318">
        <v>200</v>
      </c>
      <c r="D3318">
        <v>5000</v>
      </c>
      <c r="E3318">
        <v>25</v>
      </c>
      <c r="F3318" s="40" t="s">
        <v>4096</v>
      </c>
    </row>
    <row r="3319" spans="1:6" x14ac:dyDescent="0.25">
      <c r="A3319" t="s">
        <v>4133</v>
      </c>
      <c r="B3319" s="40" t="s">
        <v>22</v>
      </c>
      <c r="C3319">
        <v>80</v>
      </c>
      <c r="D3319">
        <v>2000</v>
      </c>
      <c r="E3319">
        <f>+D3319/C3319</f>
        <v>25</v>
      </c>
      <c r="F3319" s="40" t="s">
        <v>4096</v>
      </c>
    </row>
    <row r="3320" spans="1:6" x14ac:dyDescent="0.25">
      <c r="A3320" t="s">
        <v>4141</v>
      </c>
      <c r="B3320" s="40" t="s">
        <v>22</v>
      </c>
      <c r="C3320">
        <v>200</v>
      </c>
      <c r="D3320">
        <v>5000</v>
      </c>
      <c r="E3320">
        <v>25</v>
      </c>
      <c r="F3320" s="40" t="s">
        <v>4096</v>
      </c>
    </row>
    <row r="3321" spans="1:6" x14ac:dyDescent="0.25">
      <c r="A3321" t="s">
        <v>4149</v>
      </c>
      <c r="B3321" s="40" t="s">
        <v>22</v>
      </c>
      <c r="C3321">
        <v>200</v>
      </c>
      <c r="D3321">
        <v>5000</v>
      </c>
      <c r="E3321">
        <v>25</v>
      </c>
      <c r="F3321" s="40" t="s">
        <v>4096</v>
      </c>
    </row>
    <row r="3322" spans="1:6" x14ac:dyDescent="0.25">
      <c r="A3322" t="s">
        <v>4134</v>
      </c>
      <c r="B3322" s="40" t="s">
        <v>22</v>
      </c>
      <c r="C3322">
        <v>80</v>
      </c>
      <c r="D3322">
        <v>2000</v>
      </c>
      <c r="E3322">
        <f>+D3322/C3322</f>
        <v>25</v>
      </c>
      <c r="F3322" s="40" t="s">
        <v>4096</v>
      </c>
    </row>
    <row r="3323" spans="1:6" x14ac:dyDescent="0.25">
      <c r="A3323" t="s">
        <v>4142</v>
      </c>
      <c r="B3323" s="40" t="s">
        <v>22</v>
      </c>
      <c r="C3323">
        <v>200</v>
      </c>
      <c r="D3323">
        <v>5000</v>
      </c>
      <c r="E3323">
        <v>25</v>
      </c>
      <c r="F3323" s="40" t="s">
        <v>4096</v>
      </c>
    </row>
    <row r="3324" spans="1:6" x14ac:dyDescent="0.25">
      <c r="A3324" t="s">
        <v>4150</v>
      </c>
      <c r="B3324" s="40" t="s">
        <v>22</v>
      </c>
      <c r="C3324">
        <v>200</v>
      </c>
      <c r="D3324">
        <v>5000</v>
      </c>
      <c r="E3324">
        <v>25</v>
      </c>
      <c r="F3324" s="40" t="s">
        <v>4096</v>
      </c>
    </row>
    <row r="3325" spans="1:6" x14ac:dyDescent="0.25">
      <c r="A3325" t="s">
        <v>4111</v>
      </c>
      <c r="B3325" s="40" t="s">
        <v>22</v>
      </c>
      <c r="C3325">
        <v>80</v>
      </c>
      <c r="D3325">
        <v>2000</v>
      </c>
      <c r="E3325">
        <f t="shared" ref="E3325:E3336" si="4">+D3325/C3325</f>
        <v>25</v>
      </c>
      <c r="F3325" s="40" t="s">
        <v>4096</v>
      </c>
    </row>
    <row r="3326" spans="1:6" x14ac:dyDescent="0.25">
      <c r="A3326" t="s">
        <v>4124</v>
      </c>
      <c r="B3326" s="40" t="s">
        <v>22</v>
      </c>
      <c r="C3326">
        <v>80</v>
      </c>
      <c r="D3326">
        <v>2000</v>
      </c>
      <c r="E3326">
        <f t="shared" si="4"/>
        <v>25</v>
      </c>
      <c r="F3326" s="40" t="s">
        <v>4096</v>
      </c>
    </row>
    <row r="3327" spans="1:6" x14ac:dyDescent="0.25">
      <c r="A3327" t="s">
        <v>4110</v>
      </c>
      <c r="B3327" s="40" t="s">
        <v>22</v>
      </c>
      <c r="C3327">
        <v>80</v>
      </c>
      <c r="D3327">
        <v>2000</v>
      </c>
      <c r="E3327">
        <f t="shared" si="4"/>
        <v>25</v>
      </c>
      <c r="F3327" s="40" t="s">
        <v>4096</v>
      </c>
    </row>
    <row r="3328" spans="1:6" x14ac:dyDescent="0.25">
      <c r="A3328" t="s">
        <v>4123</v>
      </c>
      <c r="B3328" s="40" t="s">
        <v>22</v>
      </c>
      <c r="C3328">
        <v>80</v>
      </c>
      <c r="D3328">
        <v>2000</v>
      </c>
      <c r="E3328">
        <f t="shared" si="4"/>
        <v>25</v>
      </c>
      <c r="F3328" s="40" t="s">
        <v>4096</v>
      </c>
    </row>
    <row r="3329" spans="1:6" x14ac:dyDescent="0.25">
      <c r="A3329" t="s">
        <v>4109</v>
      </c>
      <c r="B3329" s="40" t="s">
        <v>22</v>
      </c>
      <c r="C3329">
        <v>80</v>
      </c>
      <c r="D3329">
        <v>2000</v>
      </c>
      <c r="E3329">
        <f t="shared" si="4"/>
        <v>25</v>
      </c>
      <c r="F3329" s="40" t="s">
        <v>4096</v>
      </c>
    </row>
    <row r="3330" spans="1:6" x14ac:dyDescent="0.25">
      <c r="A3330" t="s">
        <v>4122</v>
      </c>
      <c r="B3330" s="40" t="s">
        <v>22</v>
      </c>
      <c r="C3330">
        <v>80</v>
      </c>
      <c r="D3330">
        <v>2000</v>
      </c>
      <c r="E3330">
        <f t="shared" si="4"/>
        <v>25</v>
      </c>
      <c r="F3330" s="40" t="s">
        <v>4096</v>
      </c>
    </row>
    <row r="3331" spans="1:6" x14ac:dyDescent="0.25">
      <c r="A3331" t="s">
        <v>4107</v>
      </c>
      <c r="B3331" s="40" t="s">
        <v>22</v>
      </c>
      <c r="C3331">
        <v>80</v>
      </c>
      <c r="D3331">
        <v>2000</v>
      </c>
      <c r="E3331">
        <f t="shared" si="4"/>
        <v>25</v>
      </c>
      <c r="F3331" s="40" t="s">
        <v>4096</v>
      </c>
    </row>
    <row r="3332" spans="1:6" x14ac:dyDescent="0.25">
      <c r="A3332" t="s">
        <v>4120</v>
      </c>
      <c r="B3332" s="40" t="s">
        <v>22</v>
      </c>
      <c r="C3332">
        <v>80</v>
      </c>
      <c r="D3332">
        <v>2000</v>
      </c>
      <c r="E3332">
        <f t="shared" si="4"/>
        <v>25</v>
      </c>
      <c r="F3332" s="40" t="s">
        <v>4096</v>
      </c>
    </row>
    <row r="3333" spans="1:6" x14ac:dyDescent="0.25">
      <c r="A3333" t="s">
        <v>4105</v>
      </c>
      <c r="B3333" s="40" t="s">
        <v>22</v>
      </c>
      <c r="C3333">
        <v>80</v>
      </c>
      <c r="D3333">
        <v>2000</v>
      </c>
      <c r="E3333">
        <f t="shared" si="4"/>
        <v>25</v>
      </c>
      <c r="F3333" s="40" t="s">
        <v>4096</v>
      </c>
    </row>
    <row r="3334" spans="1:6" x14ac:dyDescent="0.25">
      <c r="A3334" t="s">
        <v>4118</v>
      </c>
      <c r="B3334" s="40" t="s">
        <v>22</v>
      </c>
      <c r="C3334">
        <v>80</v>
      </c>
      <c r="D3334">
        <v>2000</v>
      </c>
      <c r="E3334">
        <f t="shared" si="4"/>
        <v>25</v>
      </c>
      <c r="F3334" s="40" t="s">
        <v>4096</v>
      </c>
    </row>
    <row r="3335" spans="1:6" x14ac:dyDescent="0.25">
      <c r="A3335" t="s">
        <v>4112</v>
      </c>
      <c r="B3335" s="40" t="s">
        <v>22</v>
      </c>
      <c r="C3335">
        <v>80</v>
      </c>
      <c r="D3335">
        <v>2000</v>
      </c>
      <c r="E3335">
        <f t="shared" si="4"/>
        <v>25</v>
      </c>
      <c r="F3335" s="40" t="s">
        <v>4096</v>
      </c>
    </row>
    <row r="3336" spans="1:6" x14ac:dyDescent="0.25">
      <c r="A3336" t="s">
        <v>4125</v>
      </c>
      <c r="B3336" s="40" t="s">
        <v>22</v>
      </c>
      <c r="C3336">
        <v>80</v>
      </c>
      <c r="D3336">
        <v>2000</v>
      </c>
      <c r="E3336">
        <f t="shared" si="4"/>
        <v>25</v>
      </c>
      <c r="F3336" s="40" t="s">
        <v>4096</v>
      </c>
    </row>
    <row r="3337" spans="1:6" x14ac:dyDescent="0.25">
      <c r="A3337" t="s">
        <v>4113</v>
      </c>
      <c r="B3337" s="40" t="s">
        <v>22</v>
      </c>
      <c r="C3337">
        <v>50</v>
      </c>
      <c r="D3337">
        <v>1250</v>
      </c>
      <c r="E3337" s="21">
        <v>25</v>
      </c>
      <c r="F3337" s="40" t="s">
        <v>4096</v>
      </c>
    </row>
    <row r="3338" spans="1:6" x14ac:dyDescent="0.25">
      <c r="A3338" t="s">
        <v>4126</v>
      </c>
      <c r="B3338" s="40" t="s">
        <v>22</v>
      </c>
      <c r="C3338">
        <v>50</v>
      </c>
      <c r="D3338">
        <v>1250</v>
      </c>
      <c r="E3338" s="21">
        <v>25</v>
      </c>
      <c r="F3338" s="40" t="s">
        <v>4096</v>
      </c>
    </row>
    <row r="3339" spans="1:6" x14ac:dyDescent="0.25">
      <c r="A3339" t="s">
        <v>4103</v>
      </c>
      <c r="B3339" s="40" t="s">
        <v>22</v>
      </c>
      <c r="C3339">
        <v>80</v>
      </c>
      <c r="D3339">
        <v>2000</v>
      </c>
      <c r="E3339">
        <f t="shared" ref="E3339:E3347" si="5">+D3339/C3339</f>
        <v>25</v>
      </c>
      <c r="F3339" s="40" t="s">
        <v>4096</v>
      </c>
    </row>
    <row r="3340" spans="1:6" x14ac:dyDescent="0.25">
      <c r="A3340" t="s">
        <v>4116</v>
      </c>
      <c r="B3340" s="40" t="s">
        <v>22</v>
      </c>
      <c r="C3340">
        <v>80</v>
      </c>
      <c r="D3340">
        <v>2000</v>
      </c>
      <c r="E3340">
        <f t="shared" si="5"/>
        <v>25</v>
      </c>
      <c r="F3340" s="40" t="s">
        <v>4096</v>
      </c>
    </row>
    <row r="3341" spans="1:6" x14ac:dyDescent="0.25">
      <c r="A3341" t="s">
        <v>4108</v>
      </c>
      <c r="B3341" s="40" t="s">
        <v>22</v>
      </c>
      <c r="C3341">
        <v>80</v>
      </c>
      <c r="D3341">
        <v>2000</v>
      </c>
      <c r="E3341">
        <f t="shared" si="5"/>
        <v>25</v>
      </c>
      <c r="F3341" s="40" t="s">
        <v>4096</v>
      </c>
    </row>
    <row r="3342" spans="1:6" x14ac:dyDescent="0.25">
      <c r="A3342" t="s">
        <v>4121</v>
      </c>
      <c r="B3342" s="40" t="s">
        <v>22</v>
      </c>
      <c r="C3342">
        <v>80</v>
      </c>
      <c r="D3342">
        <v>2000</v>
      </c>
      <c r="E3342">
        <f t="shared" si="5"/>
        <v>25</v>
      </c>
      <c r="F3342" s="40" t="s">
        <v>4096</v>
      </c>
    </row>
    <row r="3343" spans="1:6" x14ac:dyDescent="0.25">
      <c r="A3343" t="s">
        <v>4106</v>
      </c>
      <c r="B3343" s="40" t="s">
        <v>22</v>
      </c>
      <c r="C3343">
        <v>80</v>
      </c>
      <c r="D3343">
        <v>2000</v>
      </c>
      <c r="E3343">
        <f t="shared" si="5"/>
        <v>25</v>
      </c>
      <c r="F3343" s="40" t="s">
        <v>4096</v>
      </c>
    </row>
    <row r="3344" spans="1:6" x14ac:dyDescent="0.25">
      <c r="A3344" t="s">
        <v>4119</v>
      </c>
      <c r="B3344" s="40" t="s">
        <v>22</v>
      </c>
      <c r="C3344">
        <v>80</v>
      </c>
      <c r="D3344">
        <v>2000</v>
      </c>
      <c r="E3344">
        <f t="shared" si="5"/>
        <v>25</v>
      </c>
      <c r="F3344" s="40" t="s">
        <v>4096</v>
      </c>
    </row>
    <row r="3345" spans="1:6" x14ac:dyDescent="0.25">
      <c r="A3345" t="s">
        <v>4104</v>
      </c>
      <c r="B3345" s="40" t="s">
        <v>22</v>
      </c>
      <c r="C3345">
        <v>80</v>
      </c>
      <c r="D3345">
        <v>2000</v>
      </c>
      <c r="E3345">
        <f t="shared" si="5"/>
        <v>25</v>
      </c>
      <c r="F3345" s="40" t="s">
        <v>4096</v>
      </c>
    </row>
    <row r="3346" spans="1:6" x14ac:dyDescent="0.25">
      <c r="A3346" t="s">
        <v>4117</v>
      </c>
      <c r="B3346" s="40" t="s">
        <v>22</v>
      </c>
      <c r="C3346">
        <v>80</v>
      </c>
      <c r="D3346">
        <v>2000</v>
      </c>
      <c r="E3346">
        <f t="shared" si="5"/>
        <v>25</v>
      </c>
      <c r="F3346" s="40" t="s">
        <v>4096</v>
      </c>
    </row>
    <row r="3347" spans="1:6" x14ac:dyDescent="0.25">
      <c r="A3347" t="s">
        <v>4135</v>
      </c>
      <c r="B3347" s="40" t="s">
        <v>22</v>
      </c>
      <c r="C3347">
        <v>80</v>
      </c>
      <c r="D3347">
        <v>2000</v>
      </c>
      <c r="E3347">
        <f t="shared" si="5"/>
        <v>25</v>
      </c>
      <c r="F3347" s="40" t="s">
        <v>4096</v>
      </c>
    </row>
    <row r="3348" spans="1:6" x14ac:dyDescent="0.25">
      <c r="A3348" t="s">
        <v>4143</v>
      </c>
      <c r="B3348" s="40" t="s">
        <v>22</v>
      </c>
      <c r="C3348">
        <v>200</v>
      </c>
      <c r="D3348">
        <v>5000</v>
      </c>
      <c r="E3348">
        <v>25</v>
      </c>
      <c r="F3348" s="40" t="s">
        <v>4096</v>
      </c>
    </row>
    <row r="3349" spans="1:6" x14ac:dyDescent="0.25">
      <c r="A3349" t="s">
        <v>4151</v>
      </c>
      <c r="B3349" s="40" t="s">
        <v>22</v>
      </c>
      <c r="C3349">
        <v>200</v>
      </c>
      <c r="D3349">
        <v>5000</v>
      </c>
      <c r="E3349">
        <v>25</v>
      </c>
      <c r="F3349" s="40" t="s">
        <v>4096</v>
      </c>
    </row>
    <row r="3350" spans="1:6" x14ac:dyDescent="0.25">
      <c r="A3350" t="s">
        <v>4114</v>
      </c>
      <c r="B3350" s="40" t="s">
        <v>22</v>
      </c>
      <c r="C3350">
        <v>80</v>
      </c>
      <c r="D3350">
        <v>2000</v>
      </c>
      <c r="E3350">
        <f t="shared" ref="E3350:E3354" si="6">+D3350/C3350</f>
        <v>25</v>
      </c>
      <c r="F3350" s="40" t="s">
        <v>4096</v>
      </c>
    </row>
    <row r="3351" spans="1:6" x14ac:dyDescent="0.25">
      <c r="A3351" t="s">
        <v>4127</v>
      </c>
      <c r="B3351" s="40" t="s">
        <v>22</v>
      </c>
      <c r="C3351">
        <v>80</v>
      </c>
      <c r="D3351">
        <v>2000</v>
      </c>
      <c r="E3351">
        <f t="shared" si="6"/>
        <v>25</v>
      </c>
      <c r="F3351" s="40" t="s">
        <v>4096</v>
      </c>
    </row>
    <row r="3352" spans="1:6" x14ac:dyDescent="0.25">
      <c r="A3352" t="s">
        <v>4115</v>
      </c>
      <c r="B3352" s="40" t="s">
        <v>22</v>
      </c>
      <c r="C3352">
        <v>80</v>
      </c>
      <c r="D3352">
        <v>2000</v>
      </c>
      <c r="E3352">
        <f t="shared" si="6"/>
        <v>25</v>
      </c>
      <c r="F3352" s="40" t="s">
        <v>4096</v>
      </c>
    </row>
    <row r="3353" spans="1:6" x14ac:dyDescent="0.25">
      <c r="A3353" t="s">
        <v>4128</v>
      </c>
      <c r="B3353" s="40" t="s">
        <v>22</v>
      </c>
      <c r="C3353">
        <v>80</v>
      </c>
      <c r="D3353">
        <v>2000</v>
      </c>
      <c r="E3353">
        <f t="shared" si="6"/>
        <v>25</v>
      </c>
      <c r="F3353" s="40" t="s">
        <v>4096</v>
      </c>
    </row>
    <row r="3354" spans="1:6" x14ac:dyDescent="0.25">
      <c r="A3354" t="s">
        <v>4136</v>
      </c>
      <c r="B3354" s="40" t="s">
        <v>22</v>
      </c>
      <c r="C3354">
        <v>80</v>
      </c>
      <c r="D3354">
        <v>2000</v>
      </c>
      <c r="E3354">
        <f t="shared" si="6"/>
        <v>25</v>
      </c>
      <c r="F3354" s="40" t="s">
        <v>4096</v>
      </c>
    </row>
    <row r="3355" spans="1:6" x14ac:dyDescent="0.25">
      <c r="A3355" t="s">
        <v>4144</v>
      </c>
      <c r="B3355" s="40" t="s">
        <v>22</v>
      </c>
      <c r="C3355">
        <v>200</v>
      </c>
      <c r="D3355">
        <v>5000</v>
      </c>
      <c r="E3355">
        <v>25</v>
      </c>
      <c r="F3355" s="40" t="s">
        <v>4096</v>
      </c>
    </row>
    <row r="3356" spans="1:6" x14ac:dyDescent="0.25">
      <c r="A3356" t="s">
        <v>4152</v>
      </c>
      <c r="B3356" s="40" t="s">
        <v>22</v>
      </c>
      <c r="C3356">
        <v>200</v>
      </c>
      <c r="D3356">
        <v>5000</v>
      </c>
      <c r="E3356">
        <v>25</v>
      </c>
      <c r="F3356" s="40" t="s">
        <v>4096</v>
      </c>
    </row>
  </sheetData>
  <conditionalFormatting sqref="A3179:A3182 A1:A688 A690:A3177 A3195:A3196 A3198:A3204 A3210:A3212 A3215:A3230 A3233 A3238:A3356">
    <cfRule type="duplicateValues" dxfId="21" priority="11"/>
  </conditionalFormatting>
  <conditionalFormatting sqref="A3178">
    <cfRule type="duplicateValues" dxfId="20" priority="10"/>
  </conditionalFormatting>
  <conditionalFormatting sqref="A3183:A3187">
    <cfRule type="duplicateValues" dxfId="19" priority="9"/>
  </conditionalFormatting>
  <conditionalFormatting sqref="A3193:A3194">
    <cfRule type="duplicateValues" dxfId="18" priority="8"/>
  </conditionalFormatting>
  <conditionalFormatting sqref="A3197">
    <cfRule type="duplicateValues" dxfId="17" priority="7"/>
  </conditionalFormatting>
  <conditionalFormatting sqref="A3205:A3209">
    <cfRule type="duplicateValues" dxfId="16" priority="6"/>
  </conditionalFormatting>
  <conditionalFormatting sqref="A3211">
    <cfRule type="containsText" dxfId="15" priority="5" operator="containsText" text="Grand Total">
      <formula>NOT(ISERROR(SEARCH("Grand Total",A3211)))</formula>
    </cfRule>
  </conditionalFormatting>
  <conditionalFormatting sqref="A3213:A3214">
    <cfRule type="duplicateValues" dxfId="14" priority="4"/>
  </conditionalFormatting>
  <conditionalFormatting sqref="A3231:A3232">
    <cfRule type="duplicateValues" dxfId="13" priority="3"/>
  </conditionalFormatting>
  <conditionalFormatting sqref="A3188:A3192 F3188:F3305">
    <cfRule type="duplicateValues" dxfId="12" priority="12"/>
  </conditionalFormatting>
  <conditionalFormatting sqref="A3234:A3235">
    <cfRule type="duplicateValues" dxfId="11" priority="13"/>
  </conditionalFormatting>
  <conditionalFormatting sqref="A3236:A3237">
    <cfRule type="duplicateValues" dxfId="10" priority="2"/>
  </conditionalFormatting>
  <conditionalFormatting sqref="F3306:F3356">
    <cfRule type="duplicateValues" dxfId="9" priority="1"/>
  </conditionalFormatting>
  <pageMargins left="0.7" right="0.7" top="0.75" bottom="0.75" header="0.3" footer="0.3"/>
  <pageSetup paperSize="11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IMPORT</vt:lpstr>
      <vt:lpstr>PV</vt:lpstr>
      <vt:lpstr>KIEMHANG</vt:lpstr>
      <vt:lpstr>DASHBOARD</vt:lpstr>
      <vt:lpstr>PVHANGCONT</vt:lpstr>
      <vt:lpstr>LSHANGCONT</vt:lpstr>
      <vt:lpstr>IMPORTLISTCONT</vt:lpstr>
      <vt:lpstr>BLOCK CONT</vt:lpstr>
      <vt:lpstr>LIST LPN BLOCK</vt:lpstr>
      <vt:lpstr>LISTBLOCK</vt:lpstr>
      <vt:lpstr>CONT</vt:lpstr>
      <vt:lpstr>ĐƠN MẪU</vt:lpstr>
      <vt:lpstr>LISTCONT</vt:lpstr>
      <vt:lpstr>PACK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nguyenvu</dc:creator>
  <cp:lastModifiedBy>nguyenvu</cp:lastModifiedBy>
  <cp:lastPrinted>2026-02-04T01:47:04Z</cp:lastPrinted>
  <dcterms:created xsi:type="dcterms:W3CDTF">2025-03-31T05:45:14Z</dcterms:created>
  <dcterms:modified xsi:type="dcterms:W3CDTF">2026-02-12T05:56:11Z</dcterms:modified>
</cp:coreProperties>
</file>